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4ae19668c4688cff/Desktop/class91/class94/"/>
    </mc:Choice>
  </mc:AlternateContent>
  <xr:revisionPtr revIDLastSave="9" documentId="13_ncr:1_{CCDAFCF2-4B19-4A2A-811A-721521ACF018}" xr6:coauthVersionLast="47" xr6:coauthVersionMax="47" xr10:uidLastSave="{007CDD03-A7DB-46AB-83F4-35E84B9F19D7}"/>
  <bookViews>
    <workbookView xWindow="-120" yWindow="-120" windowWidth="29040" windowHeight="15720" activeTab="6" xr2:uid="{36A654E1-F734-4EF1-9A77-5A921B7BD357}"/>
  </bookViews>
  <sheets>
    <sheet name="Ques&amp;KPIs" sheetId="11" r:id="rId1"/>
    <sheet name="data" sheetId="1" r:id="rId2"/>
    <sheet name="pivotes4" sheetId="7" r:id="rId3"/>
    <sheet name="pivotes2" sheetId="9" r:id="rId4"/>
    <sheet name="Pivotes3" sheetId="8" r:id="rId5"/>
    <sheet name="Pivotes" sheetId="2" r:id="rId6"/>
    <sheet name="Dashboard" sheetId="3" r:id="rId7"/>
  </sheets>
  <externalReferences>
    <externalReference r:id="rId8"/>
  </externalReferences>
  <definedNames>
    <definedName name="_xlchart.v5.0" hidden="1">Pivotes!$H$81:$I$81</definedName>
    <definedName name="_xlchart.v5.1" hidden="1">Pivotes!$H$82:$I$139</definedName>
    <definedName name="_xlchart.v5.10" hidden="1">Pivotes!$J$81</definedName>
    <definedName name="_xlchart.v5.11" hidden="1">Pivotes!$J$82:$J$139</definedName>
    <definedName name="_xlchart.v5.12" hidden="1">Pivotes!$P$81:$Q$81</definedName>
    <definedName name="_xlchart.v5.13" hidden="1">Pivotes!$P$82:$Q$139</definedName>
    <definedName name="_xlchart.v5.14" hidden="1">Pivotes!$R$81</definedName>
    <definedName name="_xlchart.v5.15" hidden="1">Pivotes!$R$82:$R$139</definedName>
    <definedName name="_xlchart.v5.2" hidden="1">Pivotes!$J$81</definedName>
    <definedName name="_xlchart.v5.3" hidden="1">Pivotes!$J$82:$J$139</definedName>
    <definedName name="_xlchart.v5.4" hidden="1">Pivotes!$P$81:$Q$81</definedName>
    <definedName name="_xlchart.v5.5" hidden="1">Pivotes!$P$82:$Q$139</definedName>
    <definedName name="_xlchart.v5.6" hidden="1">Pivotes!$R$81</definedName>
    <definedName name="_xlchart.v5.7" hidden="1">Pivotes!$R$82:$R$139</definedName>
    <definedName name="_xlchart.v5.8" hidden="1">Pivotes!$H$81:$I$81</definedName>
    <definedName name="_xlchart.v5.9" hidden="1">Pivotes!$H$82:$I$139</definedName>
    <definedName name="Slicer_Gender_Value1">#N/A</definedName>
    <definedName name="Slicer_Order_Mode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K30" i="2"/>
  <c r="L30" i="2"/>
  <c r="M30" i="2"/>
  <c r="N30" i="2"/>
  <c r="J31" i="2"/>
  <c r="K31" i="2"/>
  <c r="L31" i="2"/>
  <c r="M31" i="2"/>
  <c r="N31" i="2"/>
  <c r="J32" i="2"/>
  <c r="K32" i="2"/>
  <c r="L32" i="2"/>
  <c r="M32" i="2"/>
  <c r="N32" i="2"/>
  <c r="J33" i="2"/>
  <c r="K33" i="2"/>
  <c r="L33" i="2"/>
  <c r="M33" i="2"/>
  <c r="N33" i="2"/>
  <c r="J34" i="2"/>
  <c r="K34" i="2"/>
  <c r="L34" i="2"/>
  <c r="M34" i="2"/>
  <c r="N34" i="2"/>
  <c r="J35" i="2"/>
  <c r="K35" i="2"/>
  <c r="L35" i="2"/>
  <c r="M35" i="2"/>
  <c r="N35" i="2"/>
  <c r="H4" i="2"/>
  <c r="L4" i="2"/>
  <c r="J4" i="2"/>
  <c r="K4" i="2"/>
  <c r="I4" i="2"/>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c r="O2330" i="1" a="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c r="O2312" i="1" a="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c r="O2198" i="1" a="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c r="O2120" i="1" a="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c r="O2056" i="1" a="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c r="O1976" i="1" a="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c r="O1952" i="1" a="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c r="O1888" i="1" a="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c r="O1837" i="1" a="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c r="O1822" i="1" a="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c r="O1792" i="1" a="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c r="O1763" i="1" a="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c r="O1715" i="1" a="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c r="O1607" i="1" a="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c r="O1416" i="1" a="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c r="O1395" i="1" a="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c r="O1380" i="1" a="1"/>
  <c r="N1380" i="1"/>
  <c r="M1380" i="1"/>
  <c r="O1379" i="1" a="1"/>
  <c r="O1379" i="1" s="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c r="O1193" i="1" a="1"/>
  <c r="N1193" i="1"/>
  <c r="M1193" i="1"/>
  <c r="O1192" i="1" a="1"/>
  <c r="O1192" i="1" s="1"/>
  <c r="N1192" i="1"/>
  <c r="M1192" i="1"/>
  <c r="O1191" i="1" a="1"/>
  <c r="O1191" i="1" s="1"/>
  <c r="N1191" i="1"/>
  <c r="M1191" i="1"/>
  <c r="O1190" i="1" a="1"/>
  <c r="O1190" i="1" s="1"/>
  <c r="N1190" i="1"/>
  <c r="M1190" i="1"/>
  <c r="O1189" i="1" a="1"/>
  <c r="O1189" i="1" s="1"/>
  <c r="N1189" i="1"/>
  <c r="M1189" i="1"/>
  <c r="O1188" i="1"/>
  <c r="O1188" i="1" a="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c r="O1089" i="1" a="1"/>
  <c r="N1089" i="1"/>
  <c r="M1089" i="1"/>
  <c r="O1088" i="1" a="1"/>
  <c r="O1088" i="1" s="1"/>
  <c r="N1088" i="1"/>
  <c r="M1088" i="1"/>
  <c r="O1087" i="1" a="1"/>
  <c r="O1087" i="1" s="1"/>
  <c r="N1087" i="1"/>
  <c r="M1087" i="1"/>
  <c r="O1086" i="1" a="1"/>
  <c r="O1086" i="1" s="1"/>
  <c r="N1086" i="1"/>
  <c r="M1086" i="1"/>
  <c r="O1085" i="1" a="1"/>
  <c r="O1085" i="1" s="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a="1"/>
  <c r="O1078" i="1" s="1"/>
  <c r="N1078" i="1"/>
  <c r="M1078" i="1"/>
  <c r="O1077" i="1" a="1"/>
  <c r="O1077" i="1" s="1"/>
  <c r="N1077" i="1"/>
  <c r="M1077" i="1"/>
  <c r="O1076" i="1" a="1"/>
  <c r="O1076" i="1" s="1"/>
  <c r="N1076" i="1"/>
  <c r="M1076" i="1"/>
  <c r="O1075" i="1"/>
  <c r="O1075" i="1" a="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c r="O715" i="1" a="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c r="O480" i="1" a="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c r="O128" i="1" a="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c r="O110" i="1" a="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c r="O100" i="1" a="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c r="O66" i="1" a="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c r="O32" i="1" a="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<sst xmlns="http://schemas.openxmlformats.org/spreadsheetml/2006/main" count="14892" uniqueCount="2532">
  <si>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</si>
  <si>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</si>
  <si>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</si>
  <si>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</si>
  <si>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</si>
  <si>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</si>
  <si>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</si>
  <si>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</si>
  <si>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</si>
  <si>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</si>
  <si>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</si>
  <si>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</si>
  <si>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</si>
  <si>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</si>
  <si>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</si>
  <si>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</si>
  <si>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</si>
  <si>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</si>
  <si>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</si>
  <si>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</si>
  <si>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</si>
  <si>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</si>
  <si>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</si>
  <si>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</si>
  <si>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</si>
  <si>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</si>
  <si>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</si>
  <si>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</si>
  <si>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</si>
  <si>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</si>
  <si>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</si>
  <si>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</si>
  <si>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</si>
  <si>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</si>
  <si>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</si>
  <si>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</si>
  <si>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</si>
  <si>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</si>
  <si>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</si>
  <si>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</si>
  <si>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</si>
  <si>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</si>
  <si>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</si>
  <si>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</si>
  <si>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</si>
  <si>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</si>
  <si>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</si>
  <si>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</si>
  <si>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</si>
  <si>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</si>
  <si>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</si>
  <si>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</si>
  <si>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</si>
  <si>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</si>
  <si>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</si>
  <si>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</si>
  <si>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</si>
  <si>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</si>
  <si>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</si>
  <si>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</si>
  <si>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</si>
  <si>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</si>
  <si>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</si>
  <si>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</si>
  <si>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</si>
  <si>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</si>
  <si>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</si>
  <si>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</si>
  <si>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</si>
  <si>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</si>
  <si>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</si>
  <si>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</si>
  <si>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</si>
  <si>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</si>
  <si>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</si>
  <si>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</si>
  <si>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</si>
  <si>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</si>
  <si>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</si>
  <si>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</si>
  <si>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</si>
  <si>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</si>
  <si>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</si>
  <si>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</si>
  <si>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</si>
  <si>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</si>
  <si>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</si>
  <si>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</si>
  <si>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</si>
  <si>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</si>
  <si>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</si>
  <si>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</si>
  <si>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</si>
  <si>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</si>
  <si>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</si>
  <si>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</si>
  <si>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</si>
  <si>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</si>
  <si>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</si>
  <si>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</si>
  <si>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</si>
  <si>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</si>
  <si>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</si>
  <si>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</si>
  <si>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</si>
  <si>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</si>
  <si>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</si>
  <si>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</si>
  <si>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</si>
  <si>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</si>
  <si>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</si>
  <si>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</si>
  <si>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</si>
  <si>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</si>
  <si>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</si>
  <si>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</si>
  <si>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</si>
  <si>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</si>
  <si>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</si>
  <si>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</si>
  <si>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</si>
  <si>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</si>
  <si>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</si>
  <si>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</si>
  <si>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</si>
  <si>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</si>
  <si>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</si>
  <si>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</si>
  <si>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</si>
  <si>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</si>
  <si>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</si>
  <si>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</si>
  <si>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</si>
  <si>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</si>
  <si>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</si>
  <si>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</si>
  <si>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</si>
  <si>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</si>
  <si>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</si>
  <si>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</si>
  <si>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</si>
  <si>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</si>
  <si>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</si>
  <si>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</si>
  <si>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</si>
  <si>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</si>
  <si>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</si>
  <si>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</si>
  <si>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</si>
  <si>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</si>
  <si>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</si>
  <si>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</si>
  <si>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</si>
  <si>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</si>
  <si>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</si>
  <si>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</si>
  <si>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</si>
  <si>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</si>
  <si>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</si>
  <si>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</si>
  <si>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</si>
  <si>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</si>
  <si>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</si>
  <si>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</si>
  <si>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</si>
  <si>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</si>
  <si>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</si>
  <si>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</si>
  <si>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</si>
  <si>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</si>
  <si>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</si>
  <si>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</si>
  <si>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</si>
  <si>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</si>
  <si>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</si>
  <si>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</si>
  <si>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</si>
  <si>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</si>
  <si>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</si>
  <si>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</si>
  <si>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</si>
  <si>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</si>
  <si>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</si>
  <si>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</si>
  <si>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</si>
  <si>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</si>
  <si>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</si>
  <si>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</si>
  <si>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</si>
  <si>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</si>
  <si>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</si>
  <si>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</si>
  <si>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</si>
  <si>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</si>
  <si>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</si>
  <si>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</si>
  <si>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</si>
  <si>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</si>
  <si>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</si>
  <si>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</si>
  <si>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</si>
  <si>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</si>
  <si>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</si>
  <si>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</si>
  <si>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</si>
  <si>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</si>
  <si>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</si>
  <si>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</si>
  <si>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</si>
  <si>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</si>
  <si>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</si>
  <si>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</si>
  <si>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</si>
  <si>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</si>
  <si>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</si>
  <si>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</si>
  <si>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</si>
  <si>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</si>
  <si>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</si>
  <si>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</si>
  <si>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</si>
  <si>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</si>
  <si>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</si>
  <si>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</si>
  <si>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</si>
  <si>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</si>
  <si>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</si>
  <si>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</si>
  <si>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</si>
  <si>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</si>
  <si>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</si>
  <si>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</si>
  <si>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</si>
  <si>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</si>
  <si>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</si>
  <si>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</si>
  <si>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</si>
  <si>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</si>
  <si>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</si>
  <si>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</si>
  <si>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</si>
  <si>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</si>
  <si>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</si>
  <si>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</si>
  <si>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</si>
  <si>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</si>
  <si>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</si>
  <si>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</si>
  <si>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</si>
  <si>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</si>
  <si>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</si>
  <si>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</si>
  <si>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</si>
  <si>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</si>
  <si>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</si>
  <si>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</si>
  <si>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</si>
  <si>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</si>
  <si>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</si>
  <si>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</si>
  <si>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</si>
  <si>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</si>
  <si>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</si>
  <si>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</si>
  <si>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</si>
  <si>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</si>
  <si>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</si>
  <si>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</si>
  <si>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</si>
  <si>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</si>
  <si>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</si>
  <si>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</si>
  <si>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</si>
  <si>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</si>
  <si>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</si>
  <si>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</si>
  <si>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</si>
  <si>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</si>
  <si>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</si>
  <si>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</si>
  <si>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</si>
  <si>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</si>
  <si>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</si>
  <si>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</si>
  <si>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</si>
  <si>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</si>
  <si>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</si>
  <si>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</si>
  <si>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</si>
  <si>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</si>
  <si>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</si>
  <si>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</si>
  <si>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</si>
  <si>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</si>
  <si>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</si>
  <si>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</si>
  <si>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</si>
  <si>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</si>
  <si>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</si>
  <si>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</si>
  <si>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</si>
  <si>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</si>
  <si>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</si>
  <si>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</si>
  <si>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</si>
  <si>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</si>
  <si>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</si>
  <si>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</si>
  <si>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</si>
  <si>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</si>
  <si>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</si>
  <si>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</si>
  <si>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</si>
  <si>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</si>
  <si>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</si>
  <si>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</si>
  <si>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</si>
  <si>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</si>
  <si>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</si>
  <si>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</si>
  <si>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</si>
  <si>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</si>
  <si>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</si>
  <si>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</si>
  <si>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</si>
  <si>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</si>
  <si>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</si>
  <si>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</si>
  <si>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</si>
  <si>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</si>
  <si>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</si>
  <si>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</si>
  <si>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</si>
  <si>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</si>
  <si>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</si>
  <si>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</si>
  <si>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</si>
  <si>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</si>
  <si>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</si>
  <si>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</si>
  <si>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</si>
  <si>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</si>
  <si>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</si>
  <si>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</si>
  <si>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</si>
  <si>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</si>
  <si>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</si>
  <si>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</si>
  <si>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</si>
  <si>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</si>
  <si>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</si>
  <si>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</si>
  <si>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</si>
  <si>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</si>
  <si>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</si>
  <si>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</si>
  <si>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</si>
  <si>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</si>
  <si>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</si>
  <si>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</si>
  <si>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</si>
  <si>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</si>
  <si>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</si>
  <si>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</si>
  <si>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</si>
  <si>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</si>
  <si>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</si>
  <si>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</si>
  <si>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</si>
  <si>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</si>
  <si>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</si>
  <si>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</si>
  <si>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</si>
  <si>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</si>
  <si>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</si>
  <si>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</si>
  <si>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</si>
  <si>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</si>
  <si>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</si>
  <si>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</si>
  <si>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</si>
  <si>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</si>
  <si>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</si>
  <si>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</si>
  <si>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</si>
  <si>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</si>
  <si>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</si>
  <si>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</si>
  <si>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</si>
  <si>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</si>
  <si>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</si>
  <si>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</si>
  <si>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</si>
  <si>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</si>
  <si>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</si>
  <si>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</si>
  <si>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</si>
  <si>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</si>
  <si>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</si>
  <si>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</si>
  <si>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</si>
  <si>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</si>
  <si>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</si>
  <si>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</si>
  <si>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</si>
  <si>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</si>
  <si>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</si>
  <si>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</si>
  <si>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</si>
  <si>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</si>
  <si>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</si>
  <si>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</si>
  <si>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</si>
  <si>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</si>
  <si>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</si>
  <si>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</si>
  <si>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</si>
  <si>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</si>
  <si>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</si>
  <si>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</si>
  <si>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</si>
  <si>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</si>
  <si>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</si>
  <si>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</si>
  <si>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</si>
  <si>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</si>
  <si>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</si>
  <si>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</si>
  <si>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</si>
  <si>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</si>
  <si>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</si>
  <si>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</si>
  <si>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</si>
  <si>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</si>
  <si>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</si>
  <si>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</si>
  <si>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</si>
  <si>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</si>
  <si>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</si>
  <si>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</si>
  <si>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</si>
  <si>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</si>
  <si>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</si>
  <si>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</si>
  <si>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</si>
  <si>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</si>
  <si>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</si>
  <si>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</si>
  <si>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</si>
  <si>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</si>
  <si>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</si>
  <si>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</si>
  <si>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</si>
  <si>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</si>
  <si>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</si>
  <si>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</si>
  <si>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</si>
  <si>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</si>
  <si>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</si>
  <si>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</si>
  <si>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</si>
  <si>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</si>
  <si>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</si>
  <si>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</si>
  <si>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</si>
  <si>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</si>
  <si>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</si>
  <si>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</si>
  <si>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</si>
  <si>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</si>
  <si>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</si>
  <si>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</si>
  <si>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</si>
  <si>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</si>
  <si>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</si>
  <si>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</si>
  <si>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</si>
  <si>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</si>
  <si>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</si>
  <si>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</si>
  <si>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</si>
  <si>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</si>
  <si>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</si>
  <si>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</si>
  <si>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</si>
  <si>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</si>
  <si>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</si>
  <si>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</si>
  <si>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</si>
  <si>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</si>
  <si>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</si>
  <si>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</si>
  <si>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</si>
  <si>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</si>
  <si>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</si>
  <si>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</si>
  <si>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</si>
  <si>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</si>
  <si>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</si>
  <si>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</si>
  <si>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</si>
  <si>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</si>
  <si>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</si>
  <si>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</si>
  <si>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</si>
  <si>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</si>
  <si>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</si>
  <si>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</si>
  <si>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</si>
  <si>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</si>
  <si>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</si>
  <si>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</si>
  <si>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</si>
  <si>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</si>
  <si>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</si>
  <si>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</si>
  <si>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</si>
  <si>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</si>
  <si>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</si>
  <si>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</si>
  <si>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</si>
  <si>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</si>
  <si>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</si>
  <si>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</si>
  <si>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</si>
  <si>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</si>
  <si>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</si>
  <si>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</si>
  <si>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</si>
  <si>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</si>
  <si>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</si>
  <si>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</si>
  <si>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</si>
  <si>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</si>
  <si>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</si>
  <si>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</si>
  <si>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</si>
  <si>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</si>
  <si>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</si>
  <si>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</si>
  <si>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</si>
  <si>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</si>
  <si>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</si>
  <si>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</si>
  <si>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</si>
  <si>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</si>
  <si>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</si>
  <si>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</si>
  <si>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</si>
  <si>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</si>
  <si>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</si>
  <si>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</si>
  <si>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</si>
  <si>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</si>
  <si>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</si>
  <si>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</si>
  <si>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</si>
  <si>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</si>
  <si>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</si>
  <si>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</si>
  <si>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</si>
  <si>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</si>
  <si>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</si>
  <si>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</si>
  <si>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</si>
  <si>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</si>
  <si>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</si>
  <si>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</si>
  <si>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</si>
  <si>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</si>
  <si>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</si>
  <si>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</si>
  <si>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</si>
  <si>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</si>
  <si>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</si>
  <si>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</si>
  <si>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</si>
  <si>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</si>
  <si>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</si>
  <si>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</si>
  <si>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</si>
  <si>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</si>
  <si>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</si>
  <si>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</si>
  <si>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</si>
  <si>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</si>
  <si>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</si>
  <si>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</si>
  <si>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</si>
  <si>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</si>
  <si>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</si>
  <si>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</si>
  <si>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</si>
  <si>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</si>
  <si>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</si>
  <si>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</si>
  <si>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</si>
  <si>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</si>
  <si>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</si>
  <si>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</si>
  <si>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</si>
  <si>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</si>
  <si>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</si>
  <si>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</si>
  <si>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</si>
  <si>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</si>
  <si>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</si>
  <si>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</si>
  <si>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</si>
  <si>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</si>
  <si>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</si>
  <si>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</si>
  <si>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</si>
  <si>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</si>
  <si>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</si>
  <si>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</si>
  <si>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</si>
  <si>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</si>
  <si>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</si>
  <si>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</si>
  <si>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</si>
  <si>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</si>
  <si>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</si>
  <si>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</si>
  <si>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</si>
  <si>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</si>
  <si>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</si>
  <si>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</si>
  <si>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</si>
  <si>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</si>
  <si>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</si>
  <si>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</si>
  <si>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</si>
  <si>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</si>
  <si>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</si>
  <si>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</si>
  <si>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</si>
  <si>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</si>
  <si>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</si>
  <si>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</si>
  <si>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</si>
  <si>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</si>
  <si>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</si>
  <si>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</si>
  <si>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</si>
  <si>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</si>
  <si>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</si>
  <si>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</si>
  <si>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</si>
  <si>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</si>
  <si>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</si>
  <si>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</si>
  <si>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</si>
  <si>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</si>
  <si>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</si>
  <si>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</si>
  <si>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</si>
  <si>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</si>
  <si>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</si>
  <si>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</si>
  <si>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</si>
  <si>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</si>
  <si>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</si>
  <si>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</si>
  <si>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</si>
  <si>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</si>
  <si>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</si>
  <si>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</si>
  <si>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</si>
  <si>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</si>
  <si>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</si>
  <si>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</si>
  <si>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</si>
  <si>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</si>
  <si>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</si>
  <si>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</si>
  <si>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</si>
  <si>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</si>
  <si>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</si>
  <si>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</si>
  <si>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</si>
  <si>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</si>
  <si>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</si>
  <si>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</si>
  <si>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</si>
  <si>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</si>
  <si>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</si>
  <si>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</si>
  <si>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</si>
  <si>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</si>
  <si>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</si>
  <si>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</si>
  <si>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</si>
  <si>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</si>
  <si>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</si>
  <si>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</si>
  <si>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</si>
  <si>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</si>
  <si>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</si>
  <si>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</si>
  <si>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</si>
  <si>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</si>
  <si>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</si>
  <si>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</si>
  <si>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</si>
  <si>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</si>
  <si>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</si>
  <si>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</si>
  <si>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</si>
  <si>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</si>
  <si>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</si>
  <si>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</si>
  <si>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</si>
  <si>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</si>
  <si>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</si>
  <si>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</si>
  <si>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</si>
  <si>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</si>
  <si>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</si>
  <si>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</si>
  <si>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</si>
  <si>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</si>
  <si>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</si>
  <si>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</si>
  <si>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</si>
  <si>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</si>
  <si>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</si>
  <si>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</si>
  <si>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</si>
  <si>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</si>
  <si>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</si>
  <si>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</si>
  <si>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</si>
  <si>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</si>
  <si>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</si>
  <si>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</si>
  <si>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</si>
  <si>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</si>
  <si>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</si>
  <si>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</si>
  <si>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</si>
  <si>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</si>
  <si>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</si>
  <si>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</si>
  <si>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</si>
  <si>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</si>
  <si>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</si>
  <si>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</si>
  <si>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</si>
  <si>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</si>
  <si>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</si>
  <si>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</si>
  <si>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</si>
  <si>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</si>
  <si>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</si>
  <si>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</si>
  <si>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</si>
  <si>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</si>
  <si>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</si>
  <si>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</si>
  <si>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</si>
  <si>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</si>
  <si>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</si>
  <si>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</si>
  <si>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</si>
  <si>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</si>
  <si>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</si>
  <si>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</si>
  <si>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</si>
  <si>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</si>
  <si>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</si>
  <si>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</si>
  <si>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</si>
  <si>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</si>
  <si>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</si>
  <si>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</si>
  <si>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</si>
  <si>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</si>
  <si>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</si>
  <si>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</si>
  <si>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</si>
  <si>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</si>
  <si>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</si>
  <si>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</si>
  <si>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</si>
  <si>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</si>
  <si>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</si>
  <si>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</si>
  <si>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</si>
  <si>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</si>
  <si>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</si>
  <si>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</si>
  <si>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</si>
  <si>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</si>
  <si>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</si>
  <si>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</si>
  <si>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</si>
  <si>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</si>
  <si>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</si>
  <si>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</si>
  <si>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</si>
  <si>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</si>
  <si>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</si>
  <si>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</si>
  <si>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</si>
  <si>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</si>
  <si>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</si>
  <si>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</si>
  <si>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</si>
  <si>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</si>
  <si>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</si>
  <si>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</si>
  <si>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</si>
  <si>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</si>
  <si>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</si>
  <si>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</si>
  <si>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</si>
  <si>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</si>
  <si>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</si>
  <si>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</si>
  <si>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</si>
  <si>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</si>
  <si>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</si>
  <si>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</si>
  <si>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</si>
  <si>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</si>
  <si>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</si>
  <si>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</si>
  <si>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</si>
  <si>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</si>
  <si>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</si>
  <si>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</si>
  <si>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</si>
  <si>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</si>
  <si>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</si>
  <si>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</si>
  <si>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</si>
  <si>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</si>
  <si>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</si>
  <si>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</si>
  <si>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</si>
  <si>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</si>
  <si>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</si>
  <si>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</si>
  <si>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</si>
  <si>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</si>
  <si>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</si>
  <si>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</si>
  <si>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</si>
  <si>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</si>
  <si>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</si>
  <si>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</si>
  <si>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</si>
  <si>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</si>
  <si>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</si>
  <si>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</si>
  <si>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</si>
  <si>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</si>
  <si>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</si>
  <si>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</si>
  <si>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</si>
  <si>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</si>
  <si>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</si>
  <si>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</si>
  <si>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</si>
  <si>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</si>
  <si>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</si>
  <si>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</si>
  <si>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</si>
  <si>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</si>
  <si>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</si>
  <si>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</si>
  <si>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</si>
  <si>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</si>
  <si>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</si>
  <si>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</si>
  <si>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</si>
  <si>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</si>
  <si>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</si>
  <si>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</si>
  <si>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</si>
  <si>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</si>
  <si>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</si>
  <si>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</si>
  <si>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</si>
  <si>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</si>
  <si>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</si>
  <si>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</si>
  <si>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</si>
  <si>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</si>
  <si>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</si>
  <si>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</si>
  <si>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</si>
  <si>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</si>
  <si>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</si>
  <si>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</si>
  <si>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</si>
  <si>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</si>
  <si>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</si>
  <si>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</si>
  <si>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</si>
  <si>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</si>
  <si>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</si>
  <si>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</si>
  <si>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</si>
  <si>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</si>
  <si>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</si>
  <si>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</si>
  <si>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</si>
  <si>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</si>
  <si>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</si>
  <si>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</si>
  <si>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</si>
  <si>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</si>
  <si>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</si>
  <si>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</si>
  <si>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</si>
  <si>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</si>
  <si>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</si>
  <si>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</si>
  <si>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</si>
  <si>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</si>
  <si>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</si>
  <si>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</si>
  <si>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</si>
  <si>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</si>
  <si>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</si>
  <si>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</si>
  <si>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</si>
  <si>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</si>
  <si>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</si>
  <si>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</si>
  <si>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</si>
  <si>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</si>
  <si>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</si>
  <si>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</si>
  <si>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</si>
  <si>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</si>
  <si>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</si>
  <si>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</si>
  <si>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</si>
  <si>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</si>
  <si>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</si>
  <si>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</si>
  <si>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</si>
  <si>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</si>
  <si>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</si>
  <si>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</si>
  <si>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</si>
  <si>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</si>
  <si>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</si>
  <si>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</si>
  <si>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</si>
  <si>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</si>
  <si>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</si>
  <si>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</si>
  <si>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</si>
  <si>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</si>
  <si>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</si>
  <si>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</si>
  <si>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</si>
  <si>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</si>
  <si>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</si>
  <si>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</si>
  <si>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</si>
  <si>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</si>
  <si>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</si>
  <si>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</si>
  <si>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</si>
  <si>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</si>
  <si>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</si>
  <si>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</si>
  <si>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</si>
  <si>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</si>
  <si>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</si>
  <si>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</si>
  <si>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</si>
  <si>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</si>
  <si>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</si>
  <si>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</si>
  <si>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</si>
  <si>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</si>
  <si>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</si>
  <si>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</si>
  <si>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</si>
  <si>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</si>
  <si>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</si>
  <si>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</si>
  <si>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</si>
  <si>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</si>
  <si>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</si>
  <si>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</si>
  <si>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</si>
  <si>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</si>
  <si>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</si>
  <si>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</si>
  <si>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</si>
  <si>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</si>
  <si>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</si>
  <si>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</si>
  <si>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</si>
  <si>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</si>
  <si>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</si>
  <si>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</si>
  <si>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</si>
  <si>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</si>
  <si>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</si>
  <si>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</si>
  <si>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</si>
  <si>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</si>
  <si>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</si>
  <si>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</si>
  <si>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</si>
  <si>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</si>
  <si>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</si>
  <si>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</si>
  <si>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</si>
  <si>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</si>
  <si>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</si>
  <si>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</si>
  <si>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</si>
  <si>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</si>
  <si>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</si>
  <si>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</si>
  <si>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</si>
  <si>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</si>
  <si>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</si>
  <si>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</si>
  <si>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</si>
  <si>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</si>
  <si>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</si>
  <si>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</si>
  <si>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</si>
  <si>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</si>
  <si>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</si>
  <si>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</si>
  <si>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</si>
  <si>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</si>
  <si>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</si>
  <si>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</si>
  <si>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</si>
  <si>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</si>
  <si>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</si>
  <si>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</si>
  <si>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</si>
  <si>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</si>
  <si>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</si>
  <si>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</si>
  <si>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</si>
  <si>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</si>
  <si>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</si>
  <si>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</si>
  <si>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</si>
  <si>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</si>
  <si>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</si>
  <si>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</si>
  <si>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</si>
  <si>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</si>
  <si>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</si>
  <si>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</si>
  <si>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</si>
  <si>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</si>
  <si>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</si>
  <si>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</si>
  <si>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</si>
  <si>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</si>
  <si>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</si>
  <si>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</si>
  <si>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</si>
  <si>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</si>
  <si>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</si>
  <si>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</si>
  <si>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</si>
  <si>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</si>
  <si>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</si>
  <si>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</si>
  <si>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</si>
  <si>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</si>
  <si>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</si>
  <si>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</si>
  <si>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</si>
  <si>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</si>
  <si>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</si>
  <si>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</si>
  <si>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</si>
  <si>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</si>
  <si>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</si>
  <si>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</si>
  <si>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</si>
  <si>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</si>
  <si>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</si>
  <si>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</si>
  <si>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</si>
  <si>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</si>
  <si>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</si>
  <si>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</si>
  <si>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</si>
  <si>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</si>
  <si>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</si>
  <si>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</si>
  <si>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</si>
  <si>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</si>
  <si>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</si>
  <si>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</si>
  <si>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</si>
  <si>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</si>
  <si>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</si>
  <si>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</si>
  <si>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</si>
  <si>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</si>
  <si>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</si>
  <si>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</si>
  <si>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</si>
  <si>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</si>
  <si>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</si>
  <si>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</si>
  <si>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</si>
  <si>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</si>
  <si>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</si>
  <si>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</si>
  <si>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</si>
  <si>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</si>
  <si>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</si>
  <si>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</si>
  <si>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</si>
  <si>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</si>
  <si>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</si>
  <si>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</si>
  <si>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</si>
  <si>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</si>
  <si>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</si>
  <si>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</si>
  <si>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</si>
  <si>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</si>
  <si>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</si>
  <si>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</si>
  <si>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</si>
  <si>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</si>
  <si>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</si>
  <si>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</si>
  <si>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</si>
  <si>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</si>
  <si>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</si>
  <si>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</si>
  <si>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</si>
  <si>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</si>
  <si>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</si>
  <si>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</si>
  <si>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</si>
  <si>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</si>
  <si>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</si>
  <si>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</si>
  <si>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</si>
  <si>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</si>
  <si>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</si>
  <si>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</si>
  <si>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</si>
  <si>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</si>
  <si>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</si>
  <si>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</si>
  <si>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</si>
  <si>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</si>
  <si>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</si>
  <si>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</si>
  <si>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</si>
  <si>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</si>
  <si>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</si>
  <si>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</si>
  <si>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</si>
  <si>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</si>
  <si>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</si>
  <si>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</si>
  <si>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</si>
  <si>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</si>
  <si>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</si>
  <si>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</si>
  <si>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</si>
  <si>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</si>
  <si>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</si>
  <si>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</si>
  <si>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</si>
  <si>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</si>
  <si>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</si>
  <si>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</si>
  <si>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</si>
  <si>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</si>
  <si>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</si>
  <si>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</si>
  <si>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</si>
  <si>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</si>
  <si>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</si>
  <si>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</si>
  <si>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</si>
  <si>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</si>
  <si>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</si>
  <si>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</si>
  <si>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</si>
  <si>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</si>
  <si>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</si>
  <si>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</si>
  <si>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</si>
  <si>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</si>
  <si>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</si>
  <si>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</si>
  <si>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</si>
  <si>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</si>
  <si>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</si>
  <si>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</si>
  <si>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</si>
  <si>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</si>
  <si>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</si>
  <si>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</si>
  <si>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</si>
  <si>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</si>
  <si>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</si>
  <si>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</si>
  <si>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</si>
  <si>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</si>
  <si>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</si>
  <si>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</si>
  <si>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</si>
  <si>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</si>
  <si>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</si>
  <si>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</si>
  <si>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</si>
  <si>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</si>
  <si>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</si>
  <si>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</si>
  <si>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</si>
  <si>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</si>
  <si>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</si>
  <si>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</si>
  <si>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</si>
  <si>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</si>
  <si>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</si>
  <si>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</si>
  <si>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</si>
  <si>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</si>
  <si>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</si>
  <si>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</si>
  <si>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</si>
  <si>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</si>
  <si>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</si>
  <si>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</si>
  <si>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</si>
  <si>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</si>
  <si>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</si>
  <si>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</si>
  <si>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</si>
  <si>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</si>
  <si>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</si>
  <si>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</si>
  <si>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</si>
  <si>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</si>
  <si>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</si>
  <si>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</si>
  <si>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</si>
  <si>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</si>
  <si>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</si>
  <si>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</si>
  <si>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</si>
  <si>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</si>
  <si>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</si>
  <si>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</si>
  <si>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</si>
  <si>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</si>
  <si>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</si>
  <si>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</si>
  <si>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</si>
  <si>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</si>
  <si>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</si>
  <si>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</si>
  <si>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</si>
  <si>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</si>
  <si>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</si>
  <si>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</si>
  <si>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</si>
  <si>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</si>
  <si>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</si>
  <si>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</si>
  <si>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</si>
  <si>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</si>
  <si>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</si>
  <si>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</si>
  <si>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</si>
  <si>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</si>
  <si>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</si>
  <si>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</si>
  <si>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</si>
  <si>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</si>
  <si>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</si>
  <si>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</si>
  <si>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</si>
  <si>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</si>
  <si>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</si>
  <si>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</si>
  <si>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</si>
  <si>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</si>
  <si>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</si>
  <si>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</si>
  <si>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</si>
  <si>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</si>
  <si>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</si>
  <si>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</si>
  <si>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</si>
  <si>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</si>
  <si>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</si>
  <si>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</si>
  <si>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</si>
  <si>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</si>
  <si>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</si>
  <si>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</si>
  <si>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</si>
  <si>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</si>
  <si>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</si>
  <si>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</si>
  <si>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</si>
  <si>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</si>
  <si>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</si>
  <si>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</si>
  <si>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</si>
  <si>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</si>
  <si>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</si>
  <si>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</si>
  <si>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</si>
  <si>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</si>
  <si>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</si>
  <si>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</si>
  <si>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</si>
  <si>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</si>
  <si>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</si>
  <si>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</si>
  <si>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</si>
  <si>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</si>
  <si>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</si>
  <si>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</si>
  <si>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</si>
  <si>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</si>
  <si>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</si>
  <si>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</si>
  <si>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</si>
  <si>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</si>
  <si>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</si>
  <si>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</si>
  <si>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</si>
  <si>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</si>
  <si>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</si>
  <si>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</si>
  <si>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</si>
  <si>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</si>
  <si>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</si>
  <si>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</si>
  <si>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</si>
  <si>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</si>
  <si>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</si>
  <si>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</si>
  <si>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</si>
  <si>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</si>
  <si>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</si>
  <si>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</si>
  <si>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</si>
  <si>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</si>
  <si>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</si>
  <si>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</si>
  <si>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</si>
  <si>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</si>
  <si>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</si>
  <si>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</si>
  <si>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</si>
  <si>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</si>
  <si>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</si>
  <si>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</si>
  <si>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</si>
  <si>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</si>
  <si>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</si>
  <si>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</si>
  <si>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</si>
  <si>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</si>
  <si>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</si>
  <si>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</si>
  <si>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</si>
  <si>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</si>
  <si>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</si>
  <si>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</si>
  <si>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</si>
  <si>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</si>
  <si>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</si>
  <si>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</si>
  <si>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</si>
  <si>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</si>
  <si>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</si>
  <si>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</si>
  <si>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</si>
  <si>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</si>
  <si>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</si>
  <si>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</si>
  <si>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</si>
  <si>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</si>
  <si>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</si>
  <si>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</si>
  <si>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</si>
  <si>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</si>
  <si>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</si>
  <si>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</si>
  <si>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</si>
  <si>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</si>
  <si>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</si>
  <si>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</si>
  <si>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</si>
  <si>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</si>
  <si>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</si>
  <si>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</si>
  <si>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</si>
  <si>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</si>
  <si>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</si>
  <si>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</si>
  <si>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</si>
  <si>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</si>
  <si>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</si>
  <si>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</si>
  <si>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</si>
  <si>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</si>
  <si>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</si>
  <si>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</si>
  <si>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</si>
  <si>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</si>
  <si>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</si>
  <si>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</si>
  <si>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</si>
  <si>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</si>
  <si>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</si>
  <si>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</si>
  <si>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</si>
  <si>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</si>
  <si>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</si>
  <si>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</si>
  <si>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</si>
  <si>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</si>
  <si>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</si>
  <si>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</si>
  <si>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</si>
  <si>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</si>
  <si>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</si>
  <si>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</si>
  <si>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</si>
  <si>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</si>
  <si>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</si>
  <si>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</si>
  <si>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</si>
  <si>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</si>
  <si>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</si>
  <si>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</si>
  <si>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</si>
  <si>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</si>
  <si>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</si>
  <si>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</si>
  <si>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</si>
  <si>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</si>
  <si>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</si>
  <si>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</si>
  <si>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</si>
  <si>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</si>
  <si>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</si>
  <si>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</si>
  <si>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</si>
  <si>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</si>
  <si>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</si>
  <si>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</si>
  <si>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</si>
  <si>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</si>
  <si>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</si>
  <si>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</si>
  <si>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</si>
  <si>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</si>
  <si>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</si>
  <si>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</si>
  <si>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</si>
  <si>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</si>
  <si>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</si>
  <si>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</si>
  <si>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</si>
  <si>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</si>
  <si>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</si>
  <si>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</si>
  <si>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</si>
  <si>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</si>
  <si>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</si>
  <si>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</si>
  <si>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</si>
  <si>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</si>
  <si>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</si>
  <si>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</si>
  <si>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</si>
  <si>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</si>
  <si>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</si>
  <si>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</si>
  <si>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</si>
  <si>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</si>
  <si>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</si>
  <si>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</si>
  <si>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</si>
  <si>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</si>
  <si>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</si>
  <si>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</si>
  <si>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</si>
  <si>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</si>
  <si>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</si>
  <si>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</si>
  <si>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</si>
  <si>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</si>
  <si>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</si>
  <si>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</si>
  <si>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</si>
  <si>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</si>
  <si>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</si>
  <si>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</si>
  <si>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</si>
  <si>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</si>
  <si>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</si>
  <si>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</si>
  <si>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</si>
  <si>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</si>
  <si>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</si>
  <si>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</si>
  <si>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</si>
  <si>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</si>
  <si>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</si>
  <si>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</si>
  <si>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</si>
  <si>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</si>
  <si>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</si>
  <si>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</si>
  <si>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</si>
  <si>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</si>
  <si>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</si>
  <si>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</si>
  <si>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</si>
  <si>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</si>
  <si>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</si>
  <si>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</si>
  <si>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</si>
  <si>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</si>
  <si>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</si>
  <si>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</si>
  <si>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</si>
  <si>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</si>
  <si>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</si>
  <si>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</si>
  <si>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</si>
  <si>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</si>
  <si>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</si>
  <si>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</si>
  <si>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</si>
  <si>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</si>
  <si>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</si>
  <si>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</si>
  <si>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</si>
  <si>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</si>
  <si>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</si>
  <si>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</si>
  <si>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</si>
  <si>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</si>
  <si>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</si>
  <si>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</si>
  <si>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</si>
  <si>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</si>
  <si>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</si>
  <si>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</si>
  <si>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</si>
  <si>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</si>
  <si>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</si>
  <si>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</si>
  <si>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</si>
  <si>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</si>
  <si>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</si>
  <si>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</si>
  <si>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</si>
  <si>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</si>
  <si>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</si>
  <si>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</si>
  <si>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</si>
  <si>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</si>
  <si>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</si>
  <si>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</si>
  <si>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</si>
  <si>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</si>
  <si>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</si>
  <si>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</si>
  <si>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</si>
  <si>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</si>
  <si>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</si>
  <si>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</si>
  <si>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</si>
  <si>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</si>
  <si>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</si>
  <si>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</si>
  <si>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</si>
  <si>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</si>
  <si>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</si>
  <si>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</si>
  <si>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</si>
  <si>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</si>
  <si>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</si>
  <si>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</si>
  <si>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</si>
  <si>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</si>
  <si>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</si>
  <si>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</si>
  <si>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</si>
  <si>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</si>
  <si>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</si>
  <si>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</si>
  <si>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</si>
  <si>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</si>
  <si>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</si>
  <si>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</si>
  <si>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</si>
  <si>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</si>
  <si>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</si>
  <si>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</si>
  <si>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</si>
  <si>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</si>
  <si>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</si>
  <si>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</si>
  <si>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</si>
  <si>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</si>
  <si>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</si>
  <si>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</si>
  <si>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</si>
  <si>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</si>
  <si>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</si>
  <si>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</si>
  <si>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</si>
  <si>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</si>
  <si>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</si>
  <si>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</si>
  <si>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</si>
  <si>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</si>
  <si>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</si>
  <si>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</si>
  <si>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</si>
  <si>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</si>
  <si>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</si>
  <si>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</si>
  <si>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</si>
  <si>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</si>
  <si>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</si>
  <si>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</si>
  <si>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</si>
  <si>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</si>
  <si>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</si>
  <si>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</si>
  <si>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</si>
  <si>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</si>
  <si>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</si>
  <si>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</si>
  <si>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</si>
  <si>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</si>
  <si>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</si>
  <si>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</si>
  <si>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</si>
  <si>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</si>
  <si>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</si>
  <si>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</si>
  <si>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</si>
  <si>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</si>
  <si>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</si>
  <si>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</si>
  <si>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</si>
  <si>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</si>
  <si>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</si>
  <si>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</si>
  <si>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</si>
  <si>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</si>
  <si>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</si>
  <si>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</si>
  <si>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</si>
  <si>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</si>
  <si>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</si>
  <si>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</si>
  <si>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</si>
  <si>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</si>
  <si>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</si>
  <si>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</si>
  <si>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</si>
  <si>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</si>
  <si>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</si>
  <si>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</si>
  <si>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</si>
  <si>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</si>
  <si>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</si>
  <si>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</si>
  <si>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</si>
  <si>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</si>
  <si>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</si>
  <si>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</si>
  <si>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</si>
  <si>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</si>
  <si>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</si>
  <si>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</si>
  <si>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</si>
  <si>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</si>
  <si>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</si>
  <si>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</si>
  <si>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</si>
  <si>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</si>
  <si>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</si>
  <si>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</si>
  <si>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</si>
  <si>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</si>
  <si>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</si>
  <si>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</si>
  <si>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</si>
  <si>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</si>
  <si>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</si>
  <si>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</si>
  <si>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</si>
  <si>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</si>
  <si>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</si>
  <si>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</si>
  <si>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</si>
  <si>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</si>
  <si>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</si>
  <si>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</si>
  <si>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</si>
  <si>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</si>
  <si>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</si>
  <si>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</si>
  <si>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</si>
  <si>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</si>
  <si>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</si>
  <si>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</si>
  <si>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</si>
  <si>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</si>
  <si>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</si>
  <si>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</si>
  <si>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</si>
  <si>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</si>
  <si>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</si>
  <si>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</si>
  <si>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</si>
  <si>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</si>
  <si>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</si>
  <si>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</si>
  <si>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</si>
  <si>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</si>
  <si>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</si>
  <si>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</si>
  <si>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</si>
  <si>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</si>
  <si>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</si>
  <si>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</si>
  <si>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</si>
  <si>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</si>
  <si>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</si>
  <si>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</si>
  <si>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</si>
  <si>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</si>
  <si>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</si>
  <si>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</si>
  <si>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</si>
  <si>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</si>
  <si>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</si>
  <si>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</si>
  <si>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</si>
  <si>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</si>
  <si>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</si>
  <si>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</si>
  <si>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</si>
  <si>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</si>
  <si>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</si>
  <si>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</si>
  <si>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</si>
  <si>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</si>
  <si>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</si>
  <si>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</si>
  <si>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</si>
  <si>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</si>
  <si>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</si>
  <si>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</si>
  <si>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</si>
  <si>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</si>
  <si>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</si>
  <si>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</si>
  <si>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</si>
  <si>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</si>
  <si>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</si>
  <si>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</si>
  <si>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</si>
  <si>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</si>
  <si>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</si>
  <si>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</si>
  <si>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</si>
  <si>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</si>
  <si>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</si>
  <si>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</si>
  <si>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</si>
  <si>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</si>
  <si>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</si>
  <si>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</si>
  <si>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</si>
  <si>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</si>
  <si>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</si>
  <si>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</si>
  <si>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</si>
  <si>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</si>
  <si>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</si>
  <si>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</si>
  <si>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</si>
  <si>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</si>
  <si>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</si>
  <si>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</si>
  <si>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</si>
  <si>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</si>
  <si>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</si>
  <si>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</si>
  <si>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</si>
  <si>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</si>
  <si>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</si>
  <si>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</si>
  <si>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</si>
  <si>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</si>
  <si>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</si>
  <si>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</si>
  <si>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</si>
  <si>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</si>
  <si>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</si>
  <si>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</si>
  <si>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</si>
  <si>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</si>
  <si>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</si>
  <si>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</si>
  <si>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</si>
  <si>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</si>
  <si>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</si>
  <si>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</si>
  <si>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</si>
  <si>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</si>
  <si>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</si>
  <si>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</si>
  <si>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</si>
  <si>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</si>
  <si>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</si>
  <si>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</si>
  <si>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</si>
  <si>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</si>
  <si>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</si>
  <si>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</si>
  <si>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</si>
  <si>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</si>
  <si>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</si>
  <si>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</si>
  <si>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</si>
  <si>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</si>
  <si>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</si>
  <si>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</si>
  <si>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</si>
  <si>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</si>
  <si>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</si>
  <si>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</si>
  <si>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</si>
  <si>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</si>
  <si>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</si>
  <si>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</si>
  <si>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</si>
  <si>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</si>
  <si>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</si>
  <si>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</si>
  <si>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</si>
  <si>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</si>
  <si>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</si>
  <si>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</si>
  <si>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</si>
  <si>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</si>
  <si>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</si>
  <si>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</si>
  <si>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</si>
  <si>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</si>
  <si>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</si>
  <si>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</si>
  <si>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</si>
  <si>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</si>
  <si>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</si>
  <si>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</si>
  <si>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</si>
  <si>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</si>
  <si>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</si>
  <si>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</si>
  <si>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</si>
  <si>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</si>
  <si>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</si>
  <si>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</si>
  <si>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</si>
  <si>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</si>
  <si>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</si>
  <si>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</si>
  <si>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</si>
  <si>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</si>
  <si>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</si>
  <si>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</si>
  <si>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</si>
  <si>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</si>
  <si>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</si>
  <si>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</si>
  <si>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</si>
  <si>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</si>
  <si>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</si>
  <si>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</si>
  <si>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</si>
  <si>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</si>
  <si>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</si>
  <si>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</si>
  <si>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</si>
  <si>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</si>
  <si>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</si>
  <si>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</si>
  <si>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</si>
  <si>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</si>
  <si>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</si>
  <si>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</si>
  <si>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</si>
  <si>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</si>
  <si>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</si>
  <si>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</si>
  <si>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</si>
  <si>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</si>
  <si>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</si>
  <si>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</si>
  <si>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</si>
  <si>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</si>
  <si>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</si>
  <si>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</si>
  <si>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</si>
  <si>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</si>
  <si>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</si>
  <si>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</si>
  <si>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</si>
  <si>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</si>
  <si>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</si>
  <si>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</si>
  <si>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</si>
  <si>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</si>
  <si>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</si>
  <si>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</si>
  <si>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</si>
  <si>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</si>
  <si>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</si>
  <si>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</si>
  <si>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</si>
  <si>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</si>
  <si>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</si>
  <si>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</si>
  <si>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</si>
  <si>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</si>
  <si>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</si>
  <si>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</si>
  <si>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</si>
  <si>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</si>
  <si>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</si>
  <si>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</si>
  <si>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</si>
  <si>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</si>
  <si>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</si>
  <si>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</si>
  <si>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</si>
  <si>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</si>
  <si>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</si>
  <si>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</si>
  <si>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</si>
  <si>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</si>
  <si>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</si>
  <si>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</si>
  <si>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</si>
  <si>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</si>
  <si>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</si>
  <si>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</si>
  <si>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</si>
  <si>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</si>
  <si>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</si>
  <si>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</si>
  <si>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</si>
  <si>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</si>
  <si>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</si>
  <si>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</si>
  <si>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</si>
  <si>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</si>
  <si>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</si>
  <si>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</si>
  <si>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</si>
  <si>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</si>
  <si>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</si>
  <si>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</si>
  <si>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</si>
  <si>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</si>
  <si>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</si>
  <si>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</si>
  <si>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</si>
  <si>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</si>
  <si>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</si>
  <si>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</si>
  <si>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</si>
  <si>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</si>
  <si>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</si>
  <si>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</si>
  <si>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</si>
  <si>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</si>
  <si>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</si>
  <si>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</si>
  <si>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</si>
  <si>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</si>
  <si>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</si>
  <si>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</si>
  <si>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</si>
  <si>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</si>
  <si>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</si>
  <si>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</si>
  <si>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</si>
  <si>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</si>
  <si>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</si>
  <si>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</si>
  <si>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</si>
  <si>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</si>
  <si>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</si>
  <si>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</si>
  <si>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</si>
  <si>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</si>
  <si>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</si>
  <si>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</si>
  <si>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</si>
  <si>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</si>
  <si>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</si>
  <si>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</si>
  <si>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</si>
  <si>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</si>
  <si>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</si>
  <si>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</si>
  <si>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</si>
  <si>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</si>
  <si>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</si>
  <si>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</si>
  <si>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</si>
  <si>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</si>
  <si>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</si>
  <si>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</si>
  <si>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</si>
  <si>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</si>
  <si>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</si>
  <si>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</si>
  <si>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</si>
  <si>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</si>
  <si>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</si>
  <si>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</si>
  <si>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</si>
  <si>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</si>
  <si>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</si>
  <si>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</si>
  <si>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</si>
  <si>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</si>
  <si>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</si>
  <si>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</si>
  <si>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</si>
  <si>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</si>
  <si>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</si>
  <si>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</si>
  <si>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</si>
  <si>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</si>
  <si>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</si>
  <si>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</si>
  <si>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</si>
  <si>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</si>
  <si>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</si>
  <si>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</si>
  <si>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</si>
  <si>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</si>
  <si>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</si>
  <si>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</si>
  <si>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</si>
  <si>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</si>
  <si>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</si>
  <si>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</si>
  <si>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</si>
  <si>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</si>
  <si>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</si>
  <si>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</si>
  <si>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</si>
  <si>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</si>
  <si>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</si>
  <si>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</si>
  <si>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</si>
  <si>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</si>
  <si>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</si>
  <si>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</si>
  <si>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</si>
  <si>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</si>
  <si>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</si>
  <si>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</si>
  <si>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</si>
  <si>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</si>
  <si>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</si>
  <si>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</si>
  <si>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</si>
  <si>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</si>
  <si>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</si>
  <si>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</si>
  <si>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</si>
  <si>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</si>
  <si>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</si>
  <si>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</si>
  <si>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</si>
  <si>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</si>
  <si>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</si>
  <si>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</si>
  <si>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</si>
  <si>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</si>
  <si>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</si>
  <si>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</si>
  <si>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</si>
  <si>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</si>
  <si>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</si>
  <si>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</si>
  <si>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</si>
  <si>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</si>
  <si>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</si>
  <si>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</si>
  <si>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</si>
  <si>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</si>
  <si>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</si>
  <si>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</si>
  <si>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</si>
  <si>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</si>
  <si>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</si>
  <si>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</si>
  <si>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</si>
  <si>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</si>
  <si>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</si>
  <si>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</si>
  <si>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</si>
  <si>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</si>
  <si>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</si>
  <si>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</si>
  <si>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</si>
  <si>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</si>
  <si>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</si>
  <si>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</si>
  <si>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</si>
  <si>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</si>
  <si>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</si>
  <si>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</si>
  <si>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</si>
  <si>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</si>
  <si>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</si>
  <si>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</si>
  <si>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</si>
  <si>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</si>
  <si>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</si>
  <si>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</si>
  <si>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</si>
  <si>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</si>
  <si>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</si>
  <si>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</si>
  <si>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</si>
  <si>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</si>
  <si>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</si>
  <si>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</si>
  <si>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</si>
  <si>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</si>
  <si>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</si>
  <si>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</si>
  <si>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</si>
  <si>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</si>
  <si>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</si>
  <si>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</si>
  <si>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</si>
  <si>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</si>
  <si>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</si>
  <si>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</si>
  <si>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</si>
  <si>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</si>
  <si>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</si>
  <si>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</si>
  <si>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</si>
  <si>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</si>
  <si>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</si>
  <si>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</si>
  <si>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</si>
  <si>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</si>
  <si>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</si>
  <si>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</si>
  <si>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</si>
  <si>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</si>
  <si>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</si>
  <si>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</si>
  <si>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</si>
  <si>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</si>
  <si>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</si>
  <si>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</si>
  <si>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</si>
  <si>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</si>
  <si>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</si>
  <si>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</si>
  <si>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</si>
  <si>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</si>
  <si>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</si>
  <si>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</si>
  <si>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</si>
  <si>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</si>
  <si>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</si>
  <si>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</si>
  <si>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</si>
  <si>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</si>
  <si>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</si>
  <si>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</si>
  <si>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</si>
  <si>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</si>
  <si>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</si>
  <si>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</si>
  <si>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</si>
  <si>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</si>
  <si>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</si>
  <si>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</si>
  <si>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</si>
  <si>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</si>
  <si>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</si>
  <si>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</si>
  <si>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</si>
  <si>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</si>
  <si>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</si>
  <si>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</si>
  <si>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</si>
  <si>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</si>
  <si>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</si>
  <si>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</si>
  <si>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</si>
  <si>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</si>
  <si>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</si>
  <si>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</si>
  <si>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</si>
  <si>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</si>
  <si>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</si>
  <si>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</si>
  <si>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</si>
  <si>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</si>
  <si>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</si>
  <si>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</si>
  <si>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</si>
  <si>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</si>
  <si>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</si>
  <si>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</si>
  <si>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</si>
  <si>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</si>
  <si>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</si>
  <si>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</si>
  <si>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</si>
  <si>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</si>
  <si>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</si>
  <si>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</si>
  <si>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</si>
  <si>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</si>
  <si>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</si>
  <si>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</si>
  <si>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</si>
  <si>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</si>
  <si>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</si>
  <si>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</si>
  <si>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</si>
  <si>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</si>
  <si>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</si>
  <si>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</si>
  <si>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</si>
  <si>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</si>
  <si>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</si>
  <si>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</si>
  <si>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</si>
  <si>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</si>
  <si>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</si>
  <si>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</si>
  <si>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</si>
  <si>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</si>
  <si>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</si>
  <si>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</si>
  <si>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</si>
  <si>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</si>
  <si>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</si>
  <si>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</si>
  <si>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</si>
  <si>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</si>
  <si>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</si>
  <si>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</si>
  <si>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</si>
  <si>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</si>
  <si>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</si>
  <si>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</si>
  <si>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</si>
  <si>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</si>
  <si>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</si>
  <si>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</si>
  <si>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</si>
  <si>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</si>
  <si>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</si>
  <si>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</si>
  <si>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</si>
  <si>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</si>
  <si>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</si>
  <si>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</si>
  <si>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</si>
  <si>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</si>
  <si>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</si>
  <si>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</si>
  <si>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</si>
  <si>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</si>
  <si>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</si>
  <si>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</si>
  <si>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</si>
  <si>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</si>
  <si>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</si>
  <si>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</si>
  <si>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</si>
  <si>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</si>
  <si>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</si>
  <si>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</si>
  <si>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</si>
  <si>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</si>
  <si>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</si>
  <si>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</si>
  <si>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</si>
  <si>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</si>
  <si>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</si>
  <si>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</si>
  <si>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</si>
  <si>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</si>
  <si>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</si>
  <si>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</si>
  <si>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</si>
  <si>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</si>
  <si>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</si>
  <si>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</si>
  <si>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</si>
  <si>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</si>
  <si>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</si>
  <si>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</si>
  <si>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</si>
  <si>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</si>
  <si>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</si>
  <si>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</si>
  <si>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</si>
  <si>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</si>
  <si>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</si>
  <si>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</si>
  <si>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</si>
  <si>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</si>
  <si>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</si>
  <si>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</si>
  <si>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</si>
  <si>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</si>
  <si>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</si>
  <si>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</si>
  <si>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</si>
  <si>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</si>
  <si>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</si>
  <si>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</si>
  <si>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</si>
  <si>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</si>
  <si>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</si>
  <si>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</si>
  <si>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</si>
  <si>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</si>
  <si>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</si>
  <si>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</si>
  <si>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</si>
  <si>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</si>
  <si>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</si>
  <si>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</si>
  <si>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</si>
  <si>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</si>
  <si>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</si>
  <si>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</si>
  <si>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</si>
  <si>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</si>
  <si>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</si>
  <si>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</si>
  <si>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</si>
  <si>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</si>
  <si>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</si>
  <si>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</si>
  <si>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</si>
  <si>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</si>
  <si>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</si>
  <si>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</si>
  <si>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</si>
  <si>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</si>
  <si>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</si>
  <si>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</si>
  <si>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</si>
  <si>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</si>
  <si>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</si>
  <si>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</si>
  <si>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</si>
  <si>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</si>
  <si>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</si>
  <si>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</si>
  <si>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</si>
  <si>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</si>
  <si>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</si>
  <si>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</si>
  <si>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</si>
  <si>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</si>
  <si>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</si>
  <si>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</si>
  <si>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</si>
  <si>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</si>
  <si>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</si>
  <si>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</si>
  <si>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</si>
  <si>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</si>
  <si>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</si>
  <si>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</si>
  <si>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</si>
  <si>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</si>
  <si>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</si>
  <si>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</si>
  <si>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</si>
  <si>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</si>
  <si>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</si>
  <si>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</si>
  <si>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</si>
  <si>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</si>
  <si>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</si>
  <si>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</si>
  <si>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</si>
  <si>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</si>
  <si>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</si>
  <si>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</si>
  <si>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</si>
  <si>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</si>
  <si>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</si>
  <si>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</si>
  <si>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</si>
  <si>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</si>
  <si>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</si>
  <si>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</si>
  <si>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</si>
  <si>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</si>
  <si>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</si>
  <si>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</si>
  <si>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</si>
  <si>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</si>
  <si>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</si>
  <si>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</si>
  <si>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</si>
  <si>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</si>
  <si>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</si>
  <si>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</si>
  <si>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</si>
  <si>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</si>
  <si>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</si>
  <si>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</si>
  <si>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</si>
  <si>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</si>
  <si>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</si>
  <si>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</si>
  <si>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</si>
  <si>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</si>
  <si>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</si>
  <si>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</si>
  <si>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</si>
  <si>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</si>
  <si>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</si>
  <si>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</si>
  <si>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</si>
  <si>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</si>
  <si>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</si>
  <si>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</si>
  <si>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</si>
  <si>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</si>
  <si>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</si>
  <si>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</si>
  <si>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</si>
  <si>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</si>
  <si>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</si>
  <si>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</si>
  <si>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</si>
  <si>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</si>
  <si>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</si>
  <si>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</si>
  <si>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</si>
  <si>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</si>
  <si>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</si>
  <si>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</si>
  <si>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TX ID</t>
  </si>
  <si>
    <t>Product</t>
  </si>
  <si>
    <t>Quantity</t>
  </si>
  <si>
    <t>Unit Price</t>
  </si>
  <si>
    <t>Amount</t>
  </si>
  <si>
    <t>Order Date</t>
  </si>
  <si>
    <t>Ship Date</t>
  </si>
  <si>
    <t>Customer Gender</t>
  </si>
  <si>
    <t>Order Mode</t>
  </si>
  <si>
    <t>Rating C</t>
  </si>
  <si>
    <t>State</t>
  </si>
  <si>
    <t>County</t>
  </si>
  <si>
    <t>Days to Deliver</t>
  </si>
  <si>
    <t>Weeknum</t>
  </si>
  <si>
    <t>Gender Value</t>
  </si>
  <si>
    <t>Count of TX ID</t>
  </si>
  <si>
    <t>Sum of Quantity</t>
  </si>
  <si>
    <t>Sum of Amount</t>
  </si>
  <si>
    <t>Average of Rating C</t>
  </si>
  <si>
    <t>Average of Days to Deliver</t>
  </si>
  <si>
    <t>Orders</t>
  </si>
  <si>
    <t>QTY</t>
  </si>
  <si>
    <t>Avg rating</t>
  </si>
  <si>
    <t>Avg Days to deliver</t>
  </si>
  <si>
    <t>Row Labels</t>
  </si>
  <si>
    <t>Grand Total</t>
  </si>
  <si>
    <t>Column Labels</t>
  </si>
  <si>
    <t>Female</t>
  </si>
  <si>
    <t>Male</t>
  </si>
  <si>
    <t>Other</t>
  </si>
  <si>
    <t>Unknown</t>
  </si>
  <si>
    <t>pie chart</t>
  </si>
  <si>
    <t>California Total</t>
  </si>
  <si>
    <t>`State</t>
  </si>
  <si>
    <t>Qty</t>
  </si>
  <si>
    <t>Jan</t>
  </si>
  <si>
    <t>Feb</t>
  </si>
  <si>
    <t>Mar</t>
  </si>
  <si>
    <t>Customer satisfication</t>
  </si>
  <si>
    <t>Shipment Duration analysis</t>
  </si>
  <si>
    <t>Group1</t>
  </si>
  <si>
    <t>Group2</t>
  </si>
  <si>
    <t>6-10</t>
  </si>
  <si>
    <t>More than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</si>
</sst>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sz val="11"/>
      <color theme="1"/>
      <name val="Aldhabi"/>
      <charset val="178"/>
    </font>
    <font>
      <sz val="11"/>
      <color theme="1"/>
      <name val="Amasis MT Pro Medium"/>
      <family val="1"/>
    </font>
  </fonts>
  <fills count="5">
    <fill>
      <patternFill patternType="none"/>
    </fill>
    <fill>
      <patternFill patternType="gray125"/>
    </fill>
    <fill>
      <patternFill patternType="solid">
        <fgColor theme="0" tint="-0.14999847407452621"/>
        <bgColor theme="0" tint="-0.14999847407452621"/>
      </patternFill>
    </fill>
    <fill>
      <patternFill patternType="solid">
        <fgColor theme="9"/>
        <bgColor indexed="64"/>
      </patternFill>
    </fill>
    <fill>
      <patternFill patternType="solid">
        <fgColor theme="4" tint="0.79998168889431442"/>
        <bgColor theme="4" tint="0.79998168889431442"/>
      </patternFill>
    </fill>
  </fills>
  <borders count="5">
    <border>
      <left/>
      <right/>
      <top/>
      <bottom/>
      <diagonal/>
    </border>
    <border>
      <left/>
      <right/>
      <top/>
      <bottom style="medium">
        <color theme="1"/>
      </bottom>
      <diagonal/>
    </border>
    <border>
      <left/>
      <right/>
      <top/>
      <bottom style="thin">
        <color theme="4" tint="0.39997558519241921"/>
      </bottom>
      <diagonal/>
    </border>
    <border>
      <left/>
      <right/>
      <top style="thin">
        <color theme="4" tint="0.39997558519241921"/>
      </top>
      <bottom/>
      <diagonal/>
    </border>
    <border>
      <left style="thick">
        <color theme="5" tint="-0.24994659260841701"/>
      </left>
      <right style="thick">
        <color theme="5" tint="-0.24994659260841701"/>
      </right>
      <top style="thick">
        <color theme="5" tint="-0.24994659260841701"/>
      </top>
      <bottom style="thick">
        <color theme="5" tint="-0.24994659260841701"/>
      </bottom>
      <diagonal/>
    </border>
  </borders>
  <cellStyleXfs count="1">
    <xf numFmtId="0" fontId="0" fillId="0" borderId="0"/>
  </cellStyleXfs>
  <cellXfs count="21">
    <xf numFmtId="0" fontId="0" fillId="0" borderId="0" xfId="0"/>
    <xf numFmtId="0" fontId="0" fillId="2" borderId="0" xfId="0" applyFill="1"/>
    <xf numFmtId="15" fontId="0" fillId="2" borderId="0" xfId="0" applyNumberFormat="1" applyFill="1"/>
    <xf numFmtId="15" fontId="0" fillId="0" borderId="0" xfId="0" applyNumberFormat="1"/>
    <xf numFmtId="0" fontId="0" fillId="0" borderId="1" xfId="0" applyBorder="1"/>
    <xf numFmtId="15" fontId="0" fillId="0" borderId="1" xfId="0" applyNumberFormat="1" applyBorder="1"/>
    <xf numFmtId="0" fontId="0" fillId="3" borderId="0" xfId="0" applyFill="1"/>
    <xf numFmtId="0" fontId="1" fillId="4" borderId="2" xfId="0" applyFont="1" applyFill="1" applyBorder="1"/>
    <xf numFmtId="0" fontId="0" fillId="0" borderId="0" xfId="0" pivotButton="1"/>
    <xf numFmtId="0" fontId="0" fillId="0" borderId="0" xfId="0" applyAlignment="1">
      <alignment horizontal="left"/>
    </xf>
    <xf numFmtId="0" fontId="1" fillId="4" borderId="0" xfId="0" applyFont="1" applyFill="1"/>
    <xf numFmtId="10" fontId="0" fillId="0" borderId="0" xfId="0" applyNumberFormat="1"/>
    <xf numFmtId="164" fontId="0" fillId="0" borderId="0" xfId="0" applyNumberFormat="1"/>
    <xf numFmtId="0" fontId="0" fillId="0" borderId="0" xfId="0" applyAlignment="1">
      <alignment horizontal="left" indent="1"/>
    </xf>
    <xf numFmtId="0" fontId="1" fillId="0" borderId="0" xfId="0" applyFont="1"/>
    <xf numFmtId="0" fontId="1" fillId="0" borderId="2" xfId="0" applyFont="1" applyBorder="1"/>
    <xf numFmtId="0" fontId="2" fillId="0" borderId="0" xfId="0" applyFont="1"/>
    <xf numFmtId="10" fontId="1" fillId="4" borderId="3" xfId="0" applyNumberFormat="1" applyFont="1" applyFill="1" applyBorder="1"/>
    <xf numFmtId="0" fontId="3" fillId="0" borderId="4" xfId="0" applyFont="1" applyBorder="1"/>
    <xf numFmtId="164" fontId="3" fillId="0" borderId="4" xfId="0" applyNumberFormat="1" applyFont="1" applyBorder="1"/>
    <xf numFmtId="0" fontId="0" fillId="0" borderId="0" xfId="0" applyNumberFormat="1"/>
  </cellXfs>
  <cellStyles count="1">
    <cellStyle name="Normal" xfId="0" builtinId="0"/>
  </cellStyles>
  <dxfs count="3">
    <dxf>
      <numFmt numFmtId="20" formatCode="dd/mmm/yy"/>
    </dxf>
    <dxf>
      <numFmt numFmtId="20" formatCode="dd/mmm/yy"/>
    </dxf>
    <dxf>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[Excel_dashboard.xlsx]pivotes2!how they buy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pivotes2!$B$3</c:f>
              <c:strCache>
                <c:ptCount val="1"/>
                <c:pt idx="0">
                  <c:v>Total</c:v>
                </c:pt>
              </c:strCache>
            </c:strRef>
          </c:tx>
          <c:spPr>
            <a:solidFill>
              <a:schemeClr val="accent1"/>
            </a:solidFill>
            <a:ln>
              <a:noFill/>
            </a:ln>
            <a:effectLst/>
          </c:spPr>
          <c:invertIfNegative val="0"/>
          <c:cat>
            <c:strRef>
              <c:f>pivotes2!$A$4:$A$11</c:f>
              <c:strCache>
                <c:ptCount val="7"/>
                <c:pt idx="0">
                  <c:v>1</c:v>
                </c:pt>
                <c:pt idx="1">
                  <c:v>2</c:v>
                </c:pt>
                <c:pt idx="2">
                  <c:v>3</c:v>
                </c:pt>
                <c:pt idx="3">
                  <c:v>4</c:v>
                </c:pt>
                <c:pt idx="4">
                  <c:v>5</c:v>
                </c:pt>
                <c:pt idx="5">
                  <c:v>6-10</c:v>
                </c:pt>
                <c:pt idx="6">
                  <c:v>More than 10</c:v>
                </c:pt>
              </c:strCache>
            </c:strRef>
          </c:cat>
          <c:val>
            <c:numRef>
              <c:f>pivotes2!$B$4:$B$11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95E-49C8-80D6-A434823A4063}"/>
            </c:ext>
          </c:extLst>
        </c:ser>
        <c:dLbls>
          <c:showLegendKey val="0"/>
          <c:showVal val="0"/>
          <c:showCatName val="0"/>
          <c:showSerName val="0"/>
          <c:showPercent val="0"/>
          <c:showBubbleSize val="0"/>
        </c:dLbls>
        <c:gapWidth val="219"/>
        <c:overlap val="-27"/>
        <c:axId val="32813087"/>
        <c:axId val="32822687"/>
      </c:barChart>
      <c:catAx>
        <c:axId val="328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2687"/>
        <c:crosses val="autoZero"/>
        <c:auto val="1"/>
        <c:lblAlgn val="ctr"/>
        <c:lblOffset val="100"/>
        <c:noMultiLvlLbl val="0"/>
      </c:catAx>
      <c:valAx>
        <c:axId val="3282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[Excel_dashboard.xlsx]Pivotes!Trend</c:name>
    <c:fmtId val="1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Pivotes!$B$9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ADB6-4042-884B-BEA14AE2305D}"/>
            </c:ext>
          </c:extLst>
        </c:ser>
        <c:ser>
          <c:idx val="1"/>
          <c:order val="1"/>
          <c:tx>
            <c:strRef>
              <c:f>Pivotes!$C$9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Pivotes!$C$10:$C$23</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ADB6-4042-884B-BEA14AE2305D}"/>
            </c:ext>
          </c:extLst>
        </c:ser>
        <c:dLbls>
          <c:showLegendKey val="0"/>
          <c:showVal val="0"/>
          <c:showCatName val="0"/>
          <c:showSerName val="0"/>
          <c:showPercent val="0"/>
          <c:showBubbleSize val="0"/>
        </c:dLbls>
        <c:marker val="1"/>
        <c:smooth val="0"/>
        <c:axId val="474020575"/>
        <c:axId val="474005695"/>
      </c:lineChart>
      <c:catAx>
        <c:axId val="47402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05695"/>
        <c:crosses val="autoZero"/>
        <c:auto val="1"/>
        <c:lblAlgn val="ctr"/>
        <c:lblOffset val="100"/>
        <c:noMultiLvlLbl val="0"/>
      </c:catAx>
      <c:valAx>
        <c:axId val="47400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2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[Excel_dashboard.xlsx]Pivotes!PivotTable13</c:name>
    <c:fmtId val="1"/>
  </c:pivotSource>
  <c:chart>
    <c:title>
      <c:layout>
        <c:manualLayout>
          <c:xMode val="edge"/>
          <c:yMode val="edge"/>
          <c:x val="0.42982633420822403"/>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Pivotes!$L$172</c:f>
              <c:strCache>
                <c:ptCount val="1"/>
                <c:pt idx="0">
                  <c:v>Total</c:v>
                </c:pt>
              </c:strCache>
            </c:strRef>
          </c:tx>
          <c:spPr>
            <a:solidFill>
              <a:schemeClr val="accent1"/>
            </a:solidFill>
            <a:ln>
              <a:noFill/>
            </a:ln>
            <a:effectLst/>
          </c:spPr>
          <c:invertIfNegative val="0"/>
          <c:cat>
            <c:multiLvlStrRef>
              <c:f>Pivotes!$K$173:$K$228</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38</c:v>
                  </c:pt>
                  <c:pt idx="37">
                    <c:v>40</c:v>
                  </c:pt>
                  <c:pt idx="38">
                    <c:v>41</c:v>
                  </c:pt>
                  <c:pt idx="39">
                    <c:v>42</c:v>
                  </c:pt>
                  <c:pt idx="40">
                    <c:v>43</c:v>
                  </c:pt>
                  <c:pt idx="41">
                    <c:v>45</c:v>
                  </c:pt>
                  <c:pt idx="42">
                    <c:v>47</c:v>
                  </c:pt>
                  <c:pt idx="43">
                    <c:v>49</c:v>
                  </c:pt>
                  <c:pt idx="44">
                    <c:v>62</c:v>
                  </c:pt>
                  <c:pt idx="45">
                    <c:v>63</c:v>
                  </c:pt>
                  <c:pt idx="46">
                    <c:v>70</c:v>
                  </c:pt>
                  <c:pt idx="47">
                    <c:v>87</c:v>
                  </c:pt>
                </c:lvl>
                <c:lvl>
                  <c:pt idx="0">
                    <c:v>1</c:v>
                  </c:pt>
                  <c:pt idx="1">
                    <c:v>2</c:v>
                  </c:pt>
                  <c:pt idx="2">
                    <c:v>3</c:v>
                  </c:pt>
                  <c:pt idx="3">
                    <c:v>4</c:v>
                  </c:pt>
                  <c:pt idx="4">
                    <c:v>5</c:v>
                  </c:pt>
                  <c:pt idx="5">
                    <c:v>Group1</c:v>
                  </c:pt>
                  <c:pt idx="10">
                    <c:v>Group2</c:v>
                  </c:pt>
                </c:lvl>
              </c:multiLvlStrCache>
            </c:multiLvlStrRef>
          </c:cat>
          <c:val>
            <c:numRef>
              <c:f>Pivotes!$L$173:$L$228</c:f>
              <c:numCache>
                <c:formatCode>General</c:formatCode>
                <c:ptCount val="48"/>
                <c:pt idx="0">
                  <c:v>397</c:v>
                </c:pt>
                <c:pt idx="1">
                  <c:v>540</c:v>
                </c:pt>
                <c:pt idx="2">
                  <c:v>375</c:v>
                </c:pt>
                <c:pt idx="3">
                  <c:v>246</c:v>
                </c:pt>
                <c:pt idx="4">
                  <c:v>195</c:v>
                </c:pt>
                <c:pt idx="5">
                  <c:v>122</c:v>
                </c:pt>
                <c:pt idx="6">
                  <c:v>114</c:v>
                </c:pt>
                <c:pt idx="7">
                  <c:v>73</c:v>
                </c:pt>
                <c:pt idx="8">
                  <c:v>52</c:v>
                </c:pt>
                <c:pt idx="9">
                  <c:v>53</c:v>
                </c:pt>
                <c:pt idx="10">
                  <c:v>37</c:v>
                </c:pt>
                <c:pt idx="11">
                  <c:v>33</c:v>
                </c:pt>
                <c:pt idx="12">
                  <c:v>23</c:v>
                </c:pt>
                <c:pt idx="13">
                  <c:v>17</c:v>
                </c:pt>
                <c:pt idx="14">
                  <c:v>15</c:v>
                </c:pt>
                <c:pt idx="15">
                  <c:v>13</c:v>
                </c:pt>
                <c:pt idx="16">
                  <c:v>10</c:v>
                </c:pt>
                <c:pt idx="17">
                  <c:v>10</c:v>
                </c:pt>
                <c:pt idx="18">
                  <c:v>13</c:v>
                </c:pt>
                <c:pt idx="19">
                  <c:v>4</c:v>
                </c:pt>
                <c:pt idx="20">
                  <c:v>4</c:v>
                </c:pt>
                <c:pt idx="21">
                  <c:v>4</c:v>
                </c:pt>
                <c:pt idx="22">
                  <c:v>4</c:v>
                </c:pt>
                <c:pt idx="23">
                  <c:v>3</c:v>
                </c:pt>
                <c:pt idx="24">
                  <c:v>3</c:v>
                </c:pt>
                <c:pt idx="25">
                  <c:v>4</c:v>
                </c:pt>
                <c:pt idx="26">
                  <c:v>4</c:v>
                </c:pt>
                <c:pt idx="27">
                  <c:v>5</c:v>
                </c:pt>
                <c:pt idx="28">
                  <c:v>2</c:v>
                </c:pt>
                <c:pt idx="29">
                  <c:v>4</c:v>
                </c:pt>
                <c:pt idx="30">
                  <c:v>1</c:v>
                </c:pt>
                <c:pt idx="31">
                  <c:v>1</c:v>
                </c:pt>
                <c:pt idx="32">
                  <c:v>1</c:v>
                </c:pt>
                <c:pt idx="33">
                  <c:v>2</c:v>
                </c:pt>
                <c:pt idx="34">
                  <c:v>2</c:v>
                </c:pt>
                <c:pt idx="35">
                  <c:v>2</c:v>
                </c:pt>
                <c:pt idx="36">
                  <c:v>1</c:v>
                </c:pt>
                <c:pt idx="37">
                  <c:v>1</c:v>
                </c:pt>
                <c:pt idx="38">
                  <c:v>1</c:v>
                </c:pt>
                <c:pt idx="39">
                  <c:v>1</c:v>
                </c:pt>
                <c:pt idx="40">
                  <c:v>1</c:v>
                </c:pt>
                <c:pt idx="41">
                  <c:v>1</c:v>
                </c:pt>
                <c:pt idx="42">
                  <c:v>1</c:v>
                </c:pt>
                <c:pt idx="43">
                  <c:v>1</c:v>
                </c:pt>
                <c:pt idx="44">
                  <c:v>1</c:v>
                </c:pt>
                <c:pt idx="45">
                  <c:v>1</c:v>
                </c:pt>
                <c:pt idx="46">
                  <c:v>1</c:v>
                </c:pt>
                <c:pt idx="47">
                  <c:v>1</c:v>
                </c:pt>
              </c:numCache>
            </c:numRef>
          </c:val>
          <c:extLst>
            <c:ext xmlns:c16="http://schemas.microsoft.com/office/drawing/2014/chart" uri="{C3380CC4-5D6E-409C-BE32-E72D297353CC}">
              <c16:uniqueId val="{00000000-55FD-43BD-8203-19C8E4564185}"/>
            </c:ext>
          </c:extLst>
        </c:ser>
        <c:dLbls>
          <c:showLegendKey val="0"/>
          <c:showVal val="0"/>
          <c:showCatName val="0"/>
          <c:showSerName val="0"/>
          <c:showPercent val="0"/>
          <c:showBubbleSize val="0"/>
        </c:dLbls>
        <c:gapWidth val="219"/>
        <c:overlap val="-27"/>
        <c:axId val="467667087"/>
        <c:axId val="432020975"/>
      </c:barChart>
      <c:catAx>
        <c:axId val="46766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020975"/>
        <c:crosses val="autoZero"/>
        <c:auto val="1"/>
        <c:lblAlgn val="ctr"/>
        <c:lblOffset val="100"/>
        <c:noMultiLvlLbl val="0"/>
      </c:catAx>
      <c:valAx>
        <c:axId val="43202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6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1">
                <a:solidFill>
                  <a:schemeClr val="accent4">
                    <a:lumMod val="75000"/>
                  </a:schemeClr>
                </a:solidFill>
              </a:rPr>
              <a:t>last</a:t>
            </a:r>
            <a:r>
              <a:rPr lang="en-IN" sz="1200" b="1" i="1" baseline="0">
                <a:solidFill>
                  <a:schemeClr val="accent4">
                    <a:lumMod val="75000"/>
                  </a:schemeClr>
                </a:solidFill>
              </a:rPr>
              <a:t> 13 week Trends-Qty &amp;Amount</a:t>
            </a:r>
            <a:endParaRPr lang="en-IN" sz="1200" b="1" i="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Pivotes!$B$9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E54-4269-9AB8-B7B002C551C2}"/>
            </c:ext>
          </c:extLst>
        </c:ser>
        <c:dLbls>
          <c:showLegendKey val="0"/>
          <c:showVal val="0"/>
          <c:showCatName val="0"/>
          <c:showSerName val="0"/>
          <c:showPercent val="0"/>
          <c:showBubbleSize val="0"/>
        </c:dLbls>
        <c:marker val="1"/>
        <c:smooth val="0"/>
        <c:axId val="426366831"/>
        <c:axId val="426355791"/>
      </c:lineChart>
      <c:lineChart>
        <c:grouping val="standard"/>
        <c:varyColors val="0"/>
        <c:ser>
          <c:idx val="1"/>
          <c:order val="1"/>
          <c:tx>
            <c:strRef>
              <c:f>Pivotes!$C$9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Pivotes!$C$10:$C$23</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E54-4269-9AB8-B7B002C551C2}"/>
            </c:ext>
          </c:extLst>
        </c:ser>
        <c:dLbls>
          <c:showLegendKey val="0"/>
          <c:showVal val="0"/>
          <c:showCatName val="0"/>
          <c:showSerName val="0"/>
          <c:showPercent val="0"/>
          <c:showBubbleSize val="0"/>
        </c:dLbls>
        <c:marker val="1"/>
        <c:smooth val="0"/>
        <c:axId val="426358671"/>
        <c:axId val="426356751"/>
      </c:lineChart>
      <c:catAx>
        <c:axId val="42636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55791"/>
        <c:crosses val="autoZero"/>
        <c:auto val="1"/>
        <c:lblAlgn val="ctr"/>
        <c:lblOffset val="100"/>
        <c:noMultiLvlLbl val="0"/>
      </c:catAx>
      <c:valAx>
        <c:axId val="42635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66831"/>
        <c:crosses val="autoZero"/>
        <c:crossBetween val="between"/>
      </c:valAx>
      <c:valAx>
        <c:axId val="4263567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58671"/>
        <c:crosses val="max"/>
        <c:crossBetween val="between"/>
      </c:valAx>
      <c:catAx>
        <c:axId val="426358671"/>
        <c:scaling>
          <c:orientation val="minMax"/>
        </c:scaling>
        <c:delete val="1"/>
        <c:axPos val="b"/>
        <c:numFmt formatCode="General" sourceLinked="1"/>
        <c:majorTickMark val="out"/>
        <c:minorTickMark val="none"/>
        <c:tickLblPos val="nextTo"/>
        <c:crossAx val="4263567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[Excel_dashboard.xlsx]pivotes4!PivotTable7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accent4">
                    <a:lumMod val="50000"/>
                  </a:schemeClr>
                </a:solidFill>
                <a:latin typeface="+mn-lt"/>
              </a:rPr>
              <a:t>Which Products are Popular?</a:t>
            </a:r>
          </a:p>
        </c:rich>
      </c:tx>
      <c:layout>
        <c:manualLayout>
          <c:xMode val="edge"/>
          <c:yMode val="edge"/>
          <c:x val="0.27517755133549482"/>
          <c:y val="2.8725319597453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pivotes4!$B$3:$B$4</c:f>
              <c:strCache>
                <c:ptCount val="1"/>
              </c:strCache>
            </c:strRef>
          </c:tx>
          <c:spPr>
            <a:solidFill>
              <a:schemeClr val="accent1"/>
            </a:solidFill>
            <a:ln>
              <a:noFill/>
            </a:ln>
            <a:effectLst/>
          </c:spPr>
          <c:invertIfNegative val="0"/>
          <c:cat>
            <c:strRef>
              <c:f>pivotes4!$A$5:$A$25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pivotes4!$B$5:$B$25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C1D9-476E-A341-B83A3E0BF8C2}"/>
            </c:ext>
          </c:extLst>
        </c:ser>
        <c:ser>
          <c:idx val="1"/>
          <c:order val="1"/>
          <c:tx>
            <c:strRef>
              <c:f>pivotes4!$C$3:$C$4</c:f>
              <c:strCache>
                <c:ptCount val="1"/>
                <c:pt idx="0">
                  <c:v>F</c:v>
                </c:pt>
              </c:strCache>
            </c:strRef>
          </c:tx>
          <c:spPr>
            <a:solidFill>
              <a:schemeClr val="accent2"/>
            </a:solidFill>
            <a:ln>
              <a:noFill/>
            </a:ln>
            <a:effectLst/>
          </c:spPr>
          <c:invertIfNegative val="0"/>
          <c:cat>
            <c:strRef>
              <c:f>pivotes4!$A$5:$A$25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pivotes4!$C$5:$C$25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CF92-4A7A-94C8-B6228358CA8B}"/>
            </c:ext>
          </c:extLst>
        </c:ser>
        <c:ser>
          <c:idx val="2"/>
          <c:order val="2"/>
          <c:tx>
            <c:strRef>
              <c:f>pivotes4!$D$3:$D$4</c:f>
              <c:strCache>
                <c:ptCount val="1"/>
                <c:pt idx="0">
                  <c:v>M</c:v>
                </c:pt>
              </c:strCache>
            </c:strRef>
          </c:tx>
          <c:spPr>
            <a:solidFill>
              <a:schemeClr val="accent3"/>
            </a:solidFill>
            <a:ln>
              <a:noFill/>
            </a:ln>
            <a:effectLst/>
          </c:spPr>
          <c:invertIfNegative val="0"/>
          <c:cat>
            <c:strRef>
              <c:f>pivotes4!$A$5:$A$25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pivotes4!$D$5:$D$25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CF92-4A7A-94C8-B6228358CA8B}"/>
            </c:ext>
          </c:extLst>
        </c:ser>
        <c:ser>
          <c:idx val="3"/>
          <c:order val="3"/>
          <c:tx>
            <c:strRef>
              <c:f>pivotes4!$E$3:$E$4</c:f>
              <c:strCache>
                <c:ptCount val="1"/>
                <c:pt idx="0">
                  <c:v>O</c:v>
                </c:pt>
              </c:strCache>
            </c:strRef>
          </c:tx>
          <c:spPr>
            <a:solidFill>
              <a:schemeClr val="accent4"/>
            </a:solidFill>
            <a:ln>
              <a:noFill/>
            </a:ln>
            <a:effectLst/>
          </c:spPr>
          <c:invertIfNegative val="0"/>
          <c:cat>
            <c:strRef>
              <c:f>pivotes4!$A$5:$A$25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pivotes4!$E$5:$E$25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CF92-4A7A-94C8-B6228358CA8B}"/>
            </c:ext>
          </c:extLst>
        </c:ser>
        <c:dLbls>
          <c:showLegendKey val="0"/>
          <c:showVal val="0"/>
          <c:showCatName val="0"/>
          <c:showSerName val="0"/>
          <c:showPercent val="0"/>
          <c:showBubbleSize val="0"/>
        </c:dLbls>
        <c:gapWidth val="150"/>
        <c:overlap val="100"/>
        <c:axId val="870030895"/>
        <c:axId val="870047695"/>
      </c:barChart>
      <c:catAx>
        <c:axId val="87003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47695"/>
        <c:crosses val="autoZero"/>
        <c:auto val="1"/>
        <c:lblAlgn val="ctr"/>
        <c:lblOffset val="100"/>
        <c:noMultiLvlLbl val="0"/>
      </c:catAx>
      <c:valAx>
        <c:axId val="87004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3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[Excel_dashboard.xlsx]pivotes4!RATING</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1">
                <a:solidFill>
                  <a:schemeClr val="accent4">
                    <a:lumMod val="50000"/>
                  </a:schemeClr>
                </a:solidFill>
              </a:rPr>
              <a:t>How Satisfied are</a:t>
            </a:r>
            <a:r>
              <a:rPr lang="en-IN" sz="1200" b="1" i="1" baseline="0">
                <a:solidFill>
                  <a:schemeClr val="accent4">
                    <a:lumMod val="50000"/>
                  </a:schemeClr>
                </a:solidFill>
              </a:rPr>
              <a:t> our customer</a:t>
            </a:r>
            <a:endParaRPr lang="en-IN" sz="1200" b="1" i="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5"/>
          </a:solidFill>
          <a:ln>
            <a:noFill/>
          </a:ln>
          <a:effectLst/>
        </c:spPr>
      </c:pivotFmt>
    </c:pivotFmts>
    <c:plotArea>
      <c:layout>
        <c:manualLayout>
          <c:layoutTarget val="inner"/>
          <c:xMode val="edge"/>
          <c:yMode val="edge"/>
          <c:x val="0.13182216500197269"/>
          <c:y val="0.10884353741496598"/>
          <c:w val="0.7681519474496612"/>
          <c:h val="0.76790294070384058"/>
        </c:manualLayout>
      </c:layout>
      <c:barChart>
        <c:barDir val="col"/>
        <c:grouping val="clustered"/>
        <c:varyColors val="0"/>
        <c:ser>
          <c:idx val="0"/>
          <c:order val="0"/>
          <c:tx>
            <c:strRef>
              <c:f>pivotes4!$C$41:$C$42</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pivotes4!$B$43:$B$46</c:f>
              <c:strCache>
                <c:ptCount val="3"/>
                <c:pt idx="0">
                  <c:v>Jan</c:v>
                </c:pt>
                <c:pt idx="1">
                  <c:v>Feb</c:v>
                </c:pt>
                <c:pt idx="2">
                  <c:v>Mar</c:v>
                </c:pt>
              </c:strCache>
            </c:strRef>
          </c:cat>
          <c:val>
            <c:numRef>
              <c:f>pivotes4!$C$43:$C$46</c:f>
              <c:numCache>
                <c:formatCode>General</c:formatCode>
                <c:ptCount val="3"/>
                <c:pt idx="0">
                  <c:v>7</c:v>
                </c:pt>
                <c:pt idx="1">
                  <c:v>8</c:v>
                </c:pt>
                <c:pt idx="2">
                  <c:v>6</c:v>
                </c:pt>
              </c:numCache>
            </c:numRef>
          </c:val>
          <c:extLst>
            <c:ext xmlns:c16="http://schemas.microsoft.com/office/drawing/2014/chart" uri="{C3380CC4-5D6E-409C-BE32-E72D297353CC}">
              <c16:uniqueId val="{00000000-7363-487A-88A4-94CEF19314BA}"/>
            </c:ext>
          </c:extLst>
        </c:ser>
        <c:ser>
          <c:idx val="1"/>
          <c:order val="1"/>
          <c:tx>
            <c:strRef>
              <c:f>pivotes4!$D$41:$D$42</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pivotes4!$B$43:$B$46</c:f>
              <c:strCache>
                <c:ptCount val="3"/>
                <c:pt idx="0">
                  <c:v>Jan</c:v>
                </c:pt>
                <c:pt idx="1">
                  <c:v>Feb</c:v>
                </c:pt>
                <c:pt idx="2">
                  <c:v>Mar</c:v>
                </c:pt>
              </c:strCache>
            </c:strRef>
          </c:cat>
          <c:val>
            <c:numRef>
              <c:f>pivotes4!$D$43:$D$46</c:f>
              <c:numCache>
                <c:formatCode>General</c:formatCode>
                <c:ptCount val="3"/>
                <c:pt idx="0">
                  <c:v>37</c:v>
                </c:pt>
                <c:pt idx="1">
                  <c:v>51</c:v>
                </c:pt>
                <c:pt idx="2">
                  <c:v>39</c:v>
                </c:pt>
              </c:numCache>
            </c:numRef>
          </c:val>
          <c:extLst>
            <c:ext xmlns:c16="http://schemas.microsoft.com/office/drawing/2014/chart" uri="{C3380CC4-5D6E-409C-BE32-E72D297353CC}">
              <c16:uniqueId val="{00000001-7363-487A-88A4-94CEF19314BA}"/>
            </c:ext>
          </c:extLst>
        </c:ser>
        <c:ser>
          <c:idx val="2"/>
          <c:order val="2"/>
          <c:tx>
            <c:strRef>
              <c:f>pivotes4!$E$41:$E$42</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pivotes4!$B$43:$B$46</c:f>
              <c:strCache>
                <c:ptCount val="3"/>
                <c:pt idx="0">
                  <c:v>Jan</c:v>
                </c:pt>
                <c:pt idx="1">
                  <c:v>Feb</c:v>
                </c:pt>
                <c:pt idx="2">
                  <c:v>Mar</c:v>
                </c:pt>
              </c:strCache>
            </c:strRef>
          </c:cat>
          <c:val>
            <c:numRef>
              <c:f>pivotes4!$E$43:$E$46</c:f>
              <c:numCache>
                <c:formatCode>General</c:formatCode>
                <c:ptCount val="3"/>
                <c:pt idx="0">
                  <c:v>150</c:v>
                </c:pt>
                <c:pt idx="1">
                  <c:v>182</c:v>
                </c:pt>
                <c:pt idx="2">
                  <c:v>163</c:v>
                </c:pt>
              </c:numCache>
            </c:numRef>
          </c:val>
          <c:extLst>
            <c:ext xmlns:c16="http://schemas.microsoft.com/office/drawing/2014/chart" uri="{C3380CC4-5D6E-409C-BE32-E72D297353CC}">
              <c16:uniqueId val="{00000002-7363-487A-88A4-94CEF19314BA}"/>
            </c:ext>
          </c:extLst>
        </c:ser>
        <c:ser>
          <c:idx val="3"/>
          <c:order val="3"/>
          <c:tx>
            <c:strRef>
              <c:f>pivotes4!$F$41:$F$42</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pivotes4!$B$43:$B$46</c:f>
              <c:strCache>
                <c:ptCount val="3"/>
                <c:pt idx="0">
                  <c:v>Jan</c:v>
                </c:pt>
                <c:pt idx="1">
                  <c:v>Feb</c:v>
                </c:pt>
                <c:pt idx="2">
                  <c:v>Mar</c:v>
                </c:pt>
              </c:strCache>
            </c:strRef>
          </c:cat>
          <c:val>
            <c:numRef>
              <c:f>pivotes4!$F$43:$F$46</c:f>
              <c:numCache>
                <c:formatCode>General</c:formatCode>
                <c:ptCount val="3"/>
                <c:pt idx="0">
                  <c:v>312</c:v>
                </c:pt>
                <c:pt idx="1">
                  <c:v>373</c:v>
                </c:pt>
                <c:pt idx="2">
                  <c:v>351</c:v>
                </c:pt>
              </c:numCache>
            </c:numRef>
          </c:val>
          <c:extLst>
            <c:ext xmlns:c16="http://schemas.microsoft.com/office/drawing/2014/chart" uri="{C3380CC4-5D6E-409C-BE32-E72D297353CC}">
              <c16:uniqueId val="{00000007-7363-487A-88A4-94CEF19314BA}"/>
            </c:ext>
          </c:extLst>
        </c:ser>
        <c:ser>
          <c:idx val="4"/>
          <c:order val="4"/>
          <c:tx>
            <c:strRef>
              <c:f>pivotes4!$G$41:$G$42</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pivotes4!$B$43:$B$46</c:f>
              <c:strCache>
                <c:ptCount val="3"/>
                <c:pt idx="0">
                  <c:v>Jan</c:v>
                </c:pt>
                <c:pt idx="1">
                  <c:v>Feb</c:v>
                </c:pt>
                <c:pt idx="2">
                  <c:v>Mar</c:v>
                </c:pt>
              </c:strCache>
            </c:strRef>
          </c:cat>
          <c:val>
            <c:numRef>
              <c:f>pivotes4!$G$43:$G$46</c:f>
              <c:numCache>
                <c:formatCode>General</c:formatCode>
                <c:ptCount val="3"/>
                <c:pt idx="0">
                  <c:v>224</c:v>
                </c:pt>
                <c:pt idx="1">
                  <c:v>247</c:v>
                </c:pt>
                <c:pt idx="2">
                  <c:v>250</c:v>
                </c:pt>
              </c:numCache>
            </c:numRef>
          </c:val>
          <c:extLst>
            <c:ext xmlns:c16="http://schemas.microsoft.com/office/drawing/2014/chart" uri="{C3380CC4-5D6E-409C-BE32-E72D297353CC}">
              <c16:uniqueId val="{00000001-7150-4477-8E1A-2C3B82D81C9F}"/>
            </c:ext>
          </c:extLst>
        </c:ser>
        <c:dLbls>
          <c:dLblPos val="outEnd"/>
          <c:showLegendKey val="0"/>
          <c:showVal val="1"/>
          <c:showCatName val="0"/>
          <c:showSerName val="0"/>
          <c:showPercent val="0"/>
          <c:showBubbleSize val="0"/>
        </c:dLbls>
        <c:gapWidth val="219"/>
        <c:overlap val="-27"/>
        <c:axId val="946942191"/>
        <c:axId val="946948431"/>
      </c:barChart>
      <c:catAx>
        <c:axId val="94694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48431"/>
        <c:crosses val="autoZero"/>
        <c:auto val="1"/>
        <c:lblAlgn val="ctr"/>
        <c:lblOffset val="100"/>
        <c:noMultiLvlLbl val="0"/>
      </c:catAx>
      <c:valAx>
        <c:axId val="94694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4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[Excel_dashboard.xlsx]pivotes4!dURATION ANALYSIS</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solidFill>
                  <a:schemeClr val="accent4">
                    <a:lumMod val="50000"/>
                  </a:schemeClr>
                </a:solidFill>
                <a:latin typeface="+mn-lt"/>
              </a:rPr>
              <a:t>How long we take to ship</a:t>
            </a:r>
          </a:p>
        </c:rich>
      </c:tx>
      <c:layout>
        <c:manualLayout>
          <c:xMode val="edge"/>
          <c:yMode val="edge"/>
          <c:x val="0.30321108943950814"/>
          <c:y val="5.1416593759113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625238021718"/>
          <c:y val="0.17241169853768276"/>
          <c:w val="0.82885698111265516"/>
          <c:h val="0.64287626546681664"/>
        </c:manualLayout>
      </c:layout>
      <c:barChart>
        <c:barDir val="col"/>
        <c:grouping val="clustered"/>
        <c:varyColors val="0"/>
        <c:ser>
          <c:idx val="0"/>
          <c:order val="0"/>
          <c:tx>
            <c:strRef>
              <c:f>pivotes4!$C$50</c:f>
              <c:strCache>
                <c:ptCount val="1"/>
                <c:pt idx="0">
                  <c:v>Total</c:v>
                </c:pt>
              </c:strCache>
            </c:strRef>
          </c:tx>
          <c:spPr>
            <a:solidFill>
              <a:schemeClr val="accent1"/>
            </a:solidFill>
            <a:ln w="76200">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pivotes4!$B$51:$B$66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pivotes4!$C$51:$C$66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C4F-46DB-BE2E-B0D8A6E770B3}"/>
            </c:ext>
          </c:extLst>
        </c:ser>
        <c:dLbls>
          <c:dLblPos val="outEnd"/>
          <c:showLegendKey val="0"/>
          <c:showVal val="1"/>
          <c:showCatName val="0"/>
          <c:showSerName val="0"/>
          <c:showPercent val="0"/>
          <c:showBubbleSize val="0"/>
        </c:dLbls>
        <c:gapWidth val="27"/>
        <c:overlap val="-52"/>
        <c:axId val="968209407"/>
        <c:axId val="968236287"/>
      </c:barChart>
      <c:catAx>
        <c:axId val="96820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236287"/>
        <c:crosses val="autoZero"/>
        <c:auto val="1"/>
        <c:lblAlgn val="ctr"/>
        <c:lblOffset val="100"/>
        <c:noMultiLvlLbl val="0"/>
      </c:catAx>
      <c:valAx>
        <c:axId val="96823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209407"/>
        <c:crosses val="autoZero"/>
        <c:crossBetween val="between"/>
      </c:valAx>
      <c:spPr>
        <a:noFill/>
        <a:ln w="19050">
          <a:solidFill>
            <a:schemeClr val="bg1">
              <a:lumMod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[Excel_dashboard.xlsx]pivotes4!PivotTable8</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pivotes4!$B$31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0D-4D7E-9589-791F02BD49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0D-4D7E-9589-791F02BD49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0D-4D7E-9589-791F02BD49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0D-4D7E-9589-791F02BD4989}"/>
              </c:ext>
            </c:extLst>
          </c:dPt>
          <c:cat>
            <c:strRef>
              <c:f>pivotes4!$A$32:$A$36</c:f>
              <c:strCache>
                <c:ptCount val="4"/>
                <c:pt idx="0">
                  <c:v>Female</c:v>
                </c:pt>
                <c:pt idx="1">
                  <c:v>Male</c:v>
                </c:pt>
                <c:pt idx="2">
                  <c:v>Other</c:v>
                </c:pt>
                <c:pt idx="3">
                  <c:v>Unknown</c:v>
                </c:pt>
              </c:strCache>
            </c:strRef>
          </c:cat>
          <c:val>
            <c:numRef>
              <c:f>pivotes4!$B$32:$B$36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30D-4D7E-9589-791F02BD49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[Excel_dashboard.xlsx]pivotes2!how they buy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accent1">
                    <a:lumMod val="75000"/>
                  </a:schemeClr>
                </a:solidFill>
                <a:latin typeface="+mn-lt"/>
              </a:rPr>
              <a:t>How Many they buy?</a:t>
            </a:r>
          </a:p>
        </c:rich>
      </c:tx>
      <c:layout>
        <c:manualLayout>
          <c:xMode val="edge"/>
          <c:yMode val="edge"/>
          <c:x val="0.29233315120441533"/>
          <c:y val="4.04650246090163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pivotes2!$B$3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pivotes2!$A$4:$A$11</c:f>
              <c:strCache>
                <c:ptCount val="7"/>
                <c:pt idx="0">
                  <c:v>1</c:v>
                </c:pt>
                <c:pt idx="1">
                  <c:v>2</c:v>
                </c:pt>
                <c:pt idx="2">
                  <c:v>3</c:v>
                </c:pt>
                <c:pt idx="3">
                  <c:v>4</c:v>
                </c:pt>
                <c:pt idx="4">
                  <c:v>5</c:v>
                </c:pt>
                <c:pt idx="5">
                  <c:v>6-10</c:v>
                </c:pt>
                <c:pt idx="6">
                  <c:v>More than 10</c:v>
                </c:pt>
              </c:strCache>
            </c:strRef>
          </c:cat>
          <c:val>
            <c:numRef>
              <c:f>pivotes2!$B$4:$B$11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DD7-4A05-83B4-B9F14212988E}"/>
            </c:ext>
          </c:extLst>
        </c:ser>
        <c:dLbls>
          <c:dLblPos val="outEnd"/>
          <c:showLegendKey val="0"/>
          <c:showVal val="1"/>
          <c:showCatName val="0"/>
          <c:showSerName val="0"/>
          <c:showPercent val="0"/>
          <c:showBubbleSize val="0"/>
        </c:dLbls>
        <c:gapWidth val="99"/>
        <c:overlap val="-27"/>
        <c:axId val="32813087"/>
        <c:axId val="32822687"/>
      </c:barChart>
      <c:catAx>
        <c:axId val="328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2687"/>
        <c:crosses val="autoZero"/>
        <c:auto val="1"/>
        <c:lblAlgn val="ctr"/>
        <c:lblOffset val="100"/>
        <c:noMultiLvlLbl val="0"/>
      </c:catAx>
      <c:valAx>
        <c:axId val="3282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F058F77-43F6-468D-9232-11CA509BAD09}">
          <cx:dataId val="0"/>
          <cx:layoutPr>
            <cx:geography cultureLanguage="en-US" cultureRegion="IN" attribution="Powered by Bing">
              <cx:geoCache provider="{E9337A44-BEBE-4D9F-B70C-5C5E7DAFC167}">
                <cx:binary>3H1Zc9tIsvVfcfj5Ql2FWjExPRFdAElRuyV5fUHQkgwU9n379TcpyR4RpNzQ9zUfLtk902GTWUjU
qSXzZFbWv++6f91FD6viXRdHSfmvu+7P935VZf/644/yzn+IV+VRrO+KtEx/VEd3afxH+uOHvnv4
475YtTrx/jARpn/c+auieuje/+ff0Jr3kJ6ld6tKp8mH+qHorx/KOqrK33y386t3q/tYJ44uq0Lf
VfjP9/Yq0j/SItGr95vfmX++v0mjVZK+s9M6qfr37x6SSlf9bZ89/Pl+oxnz/bs/xk/b0uxdBMpX
9T0IE3lkMkylEAQ9fvD7d1GaeM9fG9g0jxC1JEOU/3zsxSoGyekaPeqzur8vHsoSXuzxv1vyG28B
ffHX3/bB3bov1r3vARB/vv+Y6Orh/t1NtaoeyvfvdJk+dlbR2+n6RT/ePPbMH5v4/effo7+Avhr9
zQuIxx37d19tovg3CP8VQbfer/YAsTiSiEpTcmI9fsQ2xKYwqeAweJ4G1hPCb9BoN8TjBiZgPBY5
MJDtNKrLfWBsHZnIMgnH7GkaA5Rb0xhJwi3KNkGertFujEfyEyAeSRwYwp9gBtXFPiCmR6YECBER
T9NYjiDGMAYsghFH8M3LefwGlXZjPG5gAshjkQND+Swt3/2VeA/RQ7mHBZseIWaaRFL2CtKwaVNC
qMDi5579Eu83Krcb812NTMB9l9iBYf9XlOnkYQ+wyyNuEQZLOH0FdutIwIcxQTcn+HSNdmM9kp8A
80jiwBB2HqJ3FykY/P88yBQfCUaFMLF8AnnLGINlHlECxtjIGnuTUrtx3m5iAtTbQgeGtp2CG7He
sMtqH9u2PEJrrMlr2zY4WJhQyQQebdtv1Ws35jtbmQD7TrkDQ/6veHWfFv/8JAenGjZnjkwJC/Wm
GY5gCTfBTEPWrp17ukK7wR7JT4B5JHFgAN+sknfqoUhWxb3eC3tCjzCY5FiSZ/aEjPDGAmxyiixh
be7Yb1dsN+CvtDMB+FckD2wAqLraxy5OrCOGTULRa6aaiY8YoxxjE/i0l7b5ZIV2470pPgHmTYED
Q/e2Bjol3ostLo4sCTOX0qd1Gm3RouiISBNjacKUfwnwW3TajfFWCxNg3pI5MKRv/NVerDOKjsCb
4kSSJ08a7eDNiIQ1Xppj+nuyRrtRHr3RBIxHEgeGMAQ/Vs1DsdoHnyKPsMVNbIrXQEZHXK7p03GM
401K7cZ5u4kJUG8LHRjat3W0KvbgXhN+BKYYNtGzfb21bj+SpFJKzLbW7aka7cZ59EYTQB5JHBjC
YF+CO61WxffVnthwaiLJhYWfeBQwsDc8LQCaW5JQDDGPx8/mNv1m9XajvruZCeDvFjywMTCL3jlp
AT72XlxsYVqcmc8xTWuMvwmetmVBZJvxXZ72m1Tbjf12ExNw3xY6MMzPV4XO0r3EOMURldQUTMLy
vv6MbXKY8hanQpoC7Zryb9FsN+JbLUwAfEvmwPCeQ1bHXqgVfiQI5ozh1xd4IRn8g0cR7eka7UZ5
JD8B45HEgSG8iB6SZA8rOHAoJmLYWntWG1v3mhG3JBaEjUIgkzXZDeym+ARcNwUODNabNTW2D/Lb
gniGaYK79Txxx3kKwI3xdc4ZtcYu9WSNduM7eqMJAI8kDgzh8/Q+vfvnJy6EMIEVs5iFny3rrfkL
pAo1gRrFIx9rskK78d0UnwDvpsCBoXtcx9/T6L7aA8BgOksOE3R7ZYZ4B8cEQTLhLgvrLSrthnir
hQkob8kcGNBf02g/DhQXgkJwCsynze0XUhQE5BYB0ps+81RFdkO7IT0B1o3fHxikyzh7KPQq+ufn
LjHB7TUlo5AI+PjZikiyIwZWNcMQn15/Rhi/RbPdOG+1MAHrLZkDw/sUDhLsg9gGthNIbZP+TBQc
kyBrEgy+A1MM0oxeRqkmK7Qb403xCQBvChwYusuk38cCzSFt3wQXCRbpn5vtxjqN12ENi3NgszfB
narPbmw3pCdAu/H7A0P2FHJH9rBGsyMiHpMHnpbgXUTWOmcM3KjxtJ2oz25kN95mArIbvz8wZM9W
4T7CTxYcliKQlQ0JXo+fHeFkCzPMpRj5vlP12Y3shvQEZDd+f3DIluXDHmYtpApQSM2W1jP7jMaW
FUQcOHxNISi1uR6fraZq9Bq6G/KT8N2QODCEz1f3kCiwh3WZQ/zABNZRPB+iGgcYAGHEIVeX4lE6
33SNdiM8kp+A8Eji4BAu9B6mMIGsLkEZwPscNdyiJs0jBtmcEFUemVTrKM4khV7D96X4JHhfChwY
uhD7hqxcOK67J6uZAbsM03i31QzsM0UmAnprtAO/TavdOO9oYwLYO6QODPHzhwSo6P2kYEO4Ye0g
CfFMeGwt2gQO1AhOiDXalt+k1G68t5uYAPe20IGhDUfwE11Gq3oflIcAIwtBaJC/ZmHjI4TWpyPF
aAl/m1a78d7RxgTAd0gdGOLnD8Ud1F6w//HqFOKIIG5xyZ/jDVsbNhjlEltwEJY++lsjNnO6Xrvx
HslPwHokcWA4X2tI0S31/T5cZwIZ94gR8syJbJMiMBYggReozJHx/SalduO83cQEqLeFDgzt83Qv
iT3rijMMAozPU3q9LW/ymlDHwJTSAhZl04+eqs9ujDekJ8C78fvDQxZyPx76PazY/IgLCCwS9Jxr
v8WSQPYH43DkYlxtBvp7sk6vIrzZwjSUN2UODOmLVbYPpgTmsAVxJwgsPfGcWyibUKxkHVuWoxSu
qfrsRnhDegK6G78/MGTXXuNZrct3l991me3DlWaAockxMJpPIG95VkB4wm4NhxxHC/X/g2q78X6t
oQnQvyZ6YKPg4qFZ7aVoGGzC3BRQbuiZC92a4eBnwdCALK8RjzJdo92Yj+QnQD2SODCEL4sVFBra
w05NIFMEzkdI/lq5Gagbx6BQAR/niEzXaDfCI/kJCI8kDgzhq2h1t5dMXHkEVvQa4+dDzLvmsFhn
Cpm/uNKXSSLT9dqN80h+As4jiQPD+UaXoe7T+p+fy+uqQgSDsfWzxCNsyBs+FaTUc+DMGISvNn2q
t+i0G+WtFibgvCVzaEg/Hn604UTpPoxvIEKgvAykGLxGiuGj9QlX2JtHJ2PAJlqXOJqq1it472hk
CuQ7xA4M9SsoRrGX8+twro1wAWcdn09UjBkTiEuDkQ4Z+WQE+HSNdmM9kp8A80jiwBC+Wd0VUKU3
2UvkUkIpCigACN7W0268hfL63MX6H0gdW39GXPfbdNuN9442JmC+Q+rAcL+FaDzU297Dxg1HLSDL
D1ISns/SbIFuwtSGU3JQ2Xdz436DSruxHjcwAeixyIGhvKYMHP3g7YNLgbR8DChDav7IMoMKYRjq
z0AJseeEhU2Y36TTbqC3m5gA9bbQAYI9B9f6Tpd36c8+/ycK6gs4PIWQAAvsl1M1NsWhcgUY62QH
a/ZLoylLzetwbzczEfJtwQOE/SRd5fW0dK43XqYA+WUwyakJAD9+djjcpgXHNSzriVUbrenrSfcG
5V7Hf9zIRPTHYgeI/TncDrGP9f2xNoUAp+x5Fd+xj0NQEzKV6A7MJyv1OuKbTUzEe1PowND+Wn9f
TVlF3zjF1+lmGI7PQXj68bOV4Q+VHyG7X0KE8+eu8nSbxlR9dmO8IT0B3o3fHxiysEyuaYyiHvaA
L+SAC4op+nm4fWyvre/DgewEKDA2inu8TavdKO9oYwLWO6QODXH9UOyFSoMaJBxBIU/55FLvOtMB
X0KdMbgAaf0ZL96T9XoF7035KVhvShwazpBxFO9j1ZZHlFgcUhZey0p59M84hbMdm6v2zWSNXkF4
U34KwpsSB4bw7YO/2gfCcDoLTrRzuDfllXJRsG5DfU/I+l8Xh9yeydP12o3zSH4CziOJ/wM4/17F
jVde33X218+ZtMOrfustdVBGHcppcyj2+AjednIoHHTHMLvBNnvyun8++8n2gnqqv27We4pw7tJp
N7IvZTfe8ekVf98p+7mF7vUb6n5d9eesqtXs8ZLAF5fU/f7bx9eHuw1Hos91A3Z02K/UruX9n+8h
EYzAJYGwQf66f3Dd0EbVgWdDZR1/+onPpugDVHn+8z1cOojhzAZUAIOIpQX5vhyYkvbh+SuYx+v8
fuDLwI+G2f7+XQJXtfhwleGjDwbnApiE6iVwhgt8sDKtH7+Cs/RwAwcUjDQRMKkEWLifb3uVRr2X
Jr+65vnP75I6vkp1UpV/vqcYvX+XPf1urS+DJyApLCQpgUoaT8cBs7vV9brKA/TE/wjs4SgqWHpp
yiJSZtWZNm77ftZ1SazMzsPL1g3nEemXSZyYmbIS/2tsiZO40XNpVQuo+HIh6nwZMONyMNwZonFv
R4FIzyIt0stAF596RL9IK0OOLPteSaOaNX14ywv3MkDVoLLQC1WSBuJD55HBU8UQZGgWSY5SR7IW
zXCHLgZfN4410Gbhu35kh0wmKkGVb2tszYagyBT2egdLbza4qVYWYulxzdvYMVx60fUZUX0/BDa3
Sub4XdU5TYM+NrhyRNDPWrMqncqioc2RLhQr2B2H97SzGNrNLTee102UKtS1WrlJcGdpS856N01U
Hfuhinp/OSTUXUZZwG0Ud7M0MdACpSQ6Zcxoz1ztW8pt4sSmRfBR53GojKjCduEFl6lR2SzotWoH
Oq94DcR1zu0ozD9y4V1mOW4VIe0Z7XQ+J7lbKzdLaicxosxuKcptq4A+DfP6PMuCzA77NJoPjbHI
CnbCEvNTHDTXVuCC3m3A1NDiY0HyQPWhvm8wOfeS4WIw48auIblC1UHxJaoM263TWoU6O6t9GagM
ci5sL6xtY+gqOw3dUJVpQFRWBcSJTL4MKv4hdHtfkbZsHXPwZjmN5bw10rvcNLUyUXlhknZGc2OR
ovgsjvUljupTQobCjml5mjcwZty6vMo1r5QMoWtQ09czaqWqTDy7DOpFnpNzwfxwXlmpYedNkB6H
OHHCzFgUgXEVdml5PoR5Bejpwq4lv4aksHMri9JZ0TedTWMqbDNMMkXSQauIVuUsCJFQUevOSq+8
7azOnzdBcu5R91ufN/08MuTCKwl3WIU+0Tz/FpBcODgKnD6vuCO198Fr8RnuYmfwuou8tO4L3mZO
3JTQhyVfernGauDsrKrLS52WufEhTUU0PPRdFB6LOHasMPsUul5uN0NzWuqBnid1mJ0ElfU1DdF1
xYp7mfV2kScqG7y5l3AnK9sTqzLmBTJP08i/0Gl60gXlRZJGV00Shk5e+vUicut2yV32Y+BGHaig
JXSha1c0iibNcGPy4dzLi3KBI93OPc061RIOz6WLLCoWrRjKWS/843YgVwX7WhrYU3FtfUwsrKLA
Oy3MQqu4YsvWJ8rLhqt6MI/dRreqZ/UHWOxU0VaOabJMGdqD0Ze7V6SsziBLK1WhrE7TWl/DURjb
7b2bIesKxYuaKL/TgTKLCiZKLJKF5WEyL/pIz0nIF5GnveM8MmBZMn05S/uIKaOGkZNkOFAJNqmK
h/hKdsYXQRO4nRbdx9IMbZpGn4bEO2M4JKrLM+ow4jcKFa5QIsi+y9pwz6zQP9edhGUCoas4jWEy
iBxftiR6IIPoZmhoH+rSGFTMu2vS9tmSJM03nMbznKIvvRbnMsrnVhn7TtzBfJG0pIuu9j4nnVU7
YZvMM9kvGjd1UFZcWTo6RTyYD2XW2Cx3LwJRaUfz8DhNeutEGOyjrF0HntzYxKK3GIzFhc/S0hly
nM2yLuhmuWGedzANrkRqXbO+PO4iqu0kamIlIlOZWYCVTompmKgceFetqrCktqXzlZ9noV31Vad4
FM2wTH941p3OxHVZkesQ+gT2AWybXhKpKpJXcWXOkW8Aik1IVeaKQjVDq+22CRZ+ngulg8hSfWXc
a2hOyjB3GPNOIuZd+IEZKl7r5pQaOJkBoP0xM7vrLokcHGe+46UaO7VMjq0ulzBtC2/ZpZ3tGk4o
yalvSW7XkfiGykEvYTlWXkeZ8mg3N/z8xtTugg99YXs+r2edxoOyvPIuNH1tGyVZFEwMqsnzc69k
BYya7KZm3RlFZWAbJF/UCaz1YXbRplm0zHB76VXdNerTmeGSfs64OE1z69jARnvrD309b2vzIbTq
TpVCfIh9EcyGaCD2y8t6N7bouzTrC+35z/ct//rjf27TGP59vL33v3+5vq75v39aPKRre7Ac/2ht
T/361X9vAF7bL7+uAx5ZRU93Pv80It7y5ZvsKQL002/tqZcp4Ns21Vr8p00FtaCogJPR6wIW0pIU
HN1fNhWG+6okghOVFgIrac2C/LSpGCSJggxkEBKweZgFUj9tKrrOLlznhmMEI+qtNtWWRWVhqOVr
rSMnGIMXB9+/sKgKOM8NmwZs3l7kqdI81dRXL7pml9W2jpi/sNokRF0kUD2QBicRFhBxhc55+YwY
pwi2tr678EKxTPzamnemGRRzEXfnHel464ikLxdD3wQzbmRFoHAl2Y1ZZRqMqsri56IQVrlMPDc/
rwtD5nZcE56fc26gbkbLuvdgpcJimJVggaVZi7Lj0I/jWWFQtOi6fFgUqWfOWii9tyh8ms/KtA0W
hGdIJQ2/CkTiLbIwRk6desVCG15kzrwiDYxFErdDepMUg/8jDqpmTrB2wTSTJTJmVtRTM7CtCP40
wxmN8cynMSI3VZKFgZ3lXf6h6kALnQ/zwcCwA3T+F5LhU7/zC4UiI1ehFS5Jky8awc/ammMlKuOi
9ptPLCS3uVXeFOFw5iXNJ87iREmew46k6Vle0JlH8zPfD5bY88IlLmrteB0/bXGkJIqlarx0gXSH
FAKDakj7k4Khr1kQgMEbCa5Qml8WmgfHYDue1R367vOwP/UzImzq0kHJCD/4URo5vWXN+pQHqrK0
CasZiedV17FFQtzhNO+z08Y1Fl0cHleweS7iiBWOJoPtDdksb/V53DIycwnNledni2Eolm6hr32W
R4sgYYnjGeGyGFJXeSVeJmVXzAo/vgHP49QnXauMHvG7vglLuy+81kYmn3cZDNUO6xmllacMmYAN
4y67LD9vaaIVDnzo1kraTMomUF7AbhjtU0U6Wh+XScJU4lqmE7u0slFfnee8MWzPKpZN2PXgIaAH
yut7HDO5KCIenxIrNiLlh0x/yBIZO7ijmtk4jBUW2DixwgAvSonuQgMMa25cVFh8rHxjEfkuV7Iv
Zm4IewXBZ0MsPzRJMrcC0wkKsOOwYce8DY/byFzItjKdnEDHs0Qcl6j5jIcqVRnzHCi3/23gzXmK
KqJ00Z2wCF0N0GiDk/NY+mqgeFFnxsos8YNhdMuUDmfENY4t8alzv6VyOBHxIOcs8GaFYB/zASu/
6b43dQi3WIF5Q+PwjJn9lecG2CZmyJUbWl8jz/y65vacAsxGi4Jl29LL3D/uY+rb/gAGEBvyufCN
W9mVH2nYzDov7Bzme1e0yUyFNNj64HidVmm4ZAJFamjwp8zwb6WMPxpZqoaknQsv+2GK7iS3jJOu
Q4MqA36SB9Yi4lGtpCgdkuJ6SWtaXdM2OIH3O2UB+kZqAxwDEoH3lBb+3CRZcBHTLjzujNj8mrZS
fCllCsZ11/fux7hyw+vOFaXqugjPaOEWYOpVvpMbYIMGUeXZftXXKjcN5LQwLc6ajOmLmg5Gr6Ki
cUu7zsAycDxINknBy6qamcxd+X3g0nN8xj8ZpclnTckvXD9zZ26UNaqiVgmDmYQK3IPotJeGZ3sm
u64QKhTJ29zxmkwqjIPTJu1v4ixswfRNM9VkpTcPLfqF85sAkHfy2hgc0ZXJiSQRP3czHzp7yLQK
efqdekGgeN77MOUswIjdIi8Dryfow4XXe2dBDJZGH7ofwir9XneWHbiBIwMzV66BblwOKJPsW1mH
syENjpug+iGK9jJiQzD3XHAYSRt9NYN67nPxLe0NVcvSVBTn8dpLy1RVJlIFoj8rXeb0vbaDSMyC
3LyPedUtspw5QdJ8bYi7YLTK1KDrb2VF51kBMIft3HTFZ5yUn1idfGZgoSqrC266qD9LrPa4ysGS
N9rgs+f3S93CFO2688aNF17sJrB+8uuqGi5Zyb92PrtIAwqWbPO5BUcNt+mJFkMzb6gFiwUqbEBj
lvDw25DrUlkBX9CAMdVFOZiaUi+9svNnPklSO2D8Bg+AWhnhUHmJuM0bfVIRXtmlRl9hJzjN3RSc
Yp1caT1Ux2ngfWY9WJYEFccsJjNYbhyj7s5JAm8PpteZrMVxEXonuGJfraxx3CG1MxleEiaPw5iq
snRjFZvhypCGw1p9XEdDq/LaXaEqPIG+dvTQJcoyrRNa9x/KDIGatDwJkHFcMP7NRdmy6SNFq+bG
pcKRkg3zsgOHNNb+FaLdDxe1TPVD8g1RcIbNQZ9bLFrkbn4bJ9XghEl63HhNfiytuD/DmDiBaZ7V
hf7G3fQUFQQcHTOt5kmMsEopba/gvLivwAAms1AWXxLke3MDyUtktalqkzw/LbHw7MrvYrBN+Z0G
T8jJkWd8aTMO42XA0axHmasI1dF9V2nhmCT2udP25nnrl+6P3xshkI87MkEsCESAE00YgRL36xjx
SxMEhwzHceIaF0HwkYefQus7ZYv/v0eAxfbyET2MYh7W8AiU94qLyzq77IKr3z8DQp07XgPYdrAN
CYdD+5vPMM26j1tLe5eohV1eXA7VWdfdGobz+8cAl7f1GLgsGdJp4LQwFQgIvZev4qVBT0TYeJd1
PMzywAfDEOZh/rGmV22DFS8L8JxPHp/5TJlevWT7Xpr8Lz2AA3AlXroCDFJSXvT7Fiv7kuB+Iscf
Sc5HqV/OAxT+JnAfPYJrqYHxZC8JWQoFlSA6CmVZJBD0awb42XmgECoHQxvM7TUrDzdeg8H903kw
odAWNAipchLu3oNal28hZPGmZQ98rAVhHaiqyOHcOYH0q/W0e+E9VANJs7yuu4ukJdasaWHzUykJ
RGiHom0+cIP1J0EHRM8MobD6WqW0+RjSsstVaSX55xe99zyAXtLD69q6L4btozZw5SsU5oWiJHR9
gnZTG5r0WWj5dXNh5gkGZ2NIXCBGUu7bXVOllmpaWn8VTQbkQBHLKrfzAFZl5Q6lgJ3DEsm9VVXo
Etrwa8eMIvxxYIbEi54z9wH3Bu7mv9fYXK8JG3w23JsDx/bBNYT8Najuvua7X/Qf1cIHbPvqgnTM
8xzeDdFH2LEkmVeiTxkYDh0OHC1cqQbBgXftQ0QWcVP02CmatLr3u7LEtjYy5pSVTsHoiH3UKFGw
0JvBPPavwto6iUvLLx0I0VqfSj8/DaOWdTNdGvxcF34T/81CuA0D0K8IqmHDXeqw0j6+9IuXEr3h
tUYWAclXudan1JMY7AWgOTIFZHB31XaFdZO5OPry+87cXOIZAgIOrvIWsMrDWIT/W6v14rEMdR4F
wym5SOSAL3Do1xdJWdhauv6n3z9p7a++RG39JAtqmYETDqe0waPdfFKW0H7ICz+9kBmiq7xNi2jh
VrI3VZj5M5TD7m0T1EvYpAlr478bNOMgCLwlRGIYxGIgMgerw+jxUANC+14S6wuRh2wVBzVbhdFa
BzbE5YwXaQq8IEC/aKO8NVUepuKhisB/bq2ennWcFMgmbZCGNvi98UdSZCZxfNn3D5nRZA4yhljY
zEopWDOED/Xf8AHra4JG3Qd5WrBswAVxsLlAleXN7kO8ZgljrnGOazde6aIqPYWNsEqoIn2feCet
r8PvHgRhzroh9+c8hXiCbeJG/KjEAKZT73vgpKZB86ALIu4blvniaTeC3QYCbVdPYL5cSyjbAplQ
AoNofTwAsgeZGG21vJAaFX5FzgOaZ64lIeTiDwsIxhBrXjV1bRddjj5ALIDVyvd9YRc4WZRmkS0i
mpl2GOXxdRaxuAOCs/U+t0GcLvuyqsCly7OPvAyl4+aJa9dpEGilKxK0yg3K5KLNjPIyNwYy8zxs
BcoY3CS2zcaPjxmvomsz8K68PiGdioD1vajAhqvM2CAOb2CXxro3YW2g9TAo1MrgLPKZ/Oqimp74
XIIT6nUNeAkIiAobukkvDVn0sWp7OTi4ZYYzBN1dVubVTY0M4as2rsTcLXNwwVzTvM193IYLVxgY
OAU/dL/DabmiUTrJjW91LGIny0pzGaZJtsS5Fd3rJuMw70kc3mjL7QQQnNQ7AfertnvohwWmpnWZ
txCFom2RzzHucDOLGAT67Kb1gOhpTN+dxSUpnDqzLn3X8JCDcVodw1ZjtnaCAnCyKxF96WLkn5qF
ld0wUrFFbQWGOS95PKwkT4tZibpgmDehBDsV/EzwlaP2R+llGbMHs0K1Sjyz8eZdFaQwOdp21ntN
LedF6vpOVJH4OIGfKljOixQ6Om6ECsogMGzhtkDMp6wbwPqOXJtURhIvCh4CPVP36ENLMHV0WYD7
G8BIquakaq1y0RHRnfFwGCL3Q93mVRyrXkd9UtxDxNA0h69la3Qi9pVVwFKe3pk9sE+kAH+9rjN0
UYVVHHYnQI8Pi8aqK3cZF1pnKjCj9AYJgyzBgiO1XQMGrupzZHUAVyylk7gu7IdVFLb5jIeth+wC
gnvupZ8jLiBK1YvWdyDiY1VnHAh2GFGtm+KytWvYC+fc8AP3soGpwz07l5mEAUfCMp4nkS4sFeWw
ebmzrtHcNlxIKgCfw0UJtVNwcGLbt+rWnbeRiOJZ6YJVMGeJFw+2HBismIkZ0tqO/QLYlqbsvfKq
1AZweKmn5Q+jboRGDkrNaqGprOUFM1zPPUmIqAQL7KQr86EH3gRWN3+Web6IZ27ZAEFhFWWi5z0w
Of0xKss4s4HqiLQtOtZHC6DmtGEDrOZnI4sH7ECdrDB24H/IuIzAvyqhy5PkcxDHVrwkhVVFs9Cv
+PVQV4TMAyM1gc0Dh0UkSvimXy3cosmSG9iMyUngDWY4rzPQYJZWkTfMJO7AR5dBn7XA3PQwtA2Y
KoXjYlyfFBD0jhzPJV4NhGgDcGpRgn2SDAEZHqIQyBgHgthR7JA+9vMlRpoee1qEHEKFYU4cnWrX
GWo3BKKxLTLrKgAPndpE5wGEgrJgME6RG9E5zlyPgbqWyGa494d06WvcejOgHPxWrX+nMESNExg+
HsltCCRDKKnqtPGtgIr8QAFomEfmBR4SDcFJ2VCD3PZRa9YXPLP61EmsvDoHhx62JK8UIQhYMYHe
gsgyTr6C65f4J3kfR928bNmgT3HlVbc0MNmKdW7sKolh8M7rpBNkVvJBg/I1DmInIjnwgBJCoBrr
/GvUtmBZBF7Q3JSMt98z4FqOG9F67kyGDJkqkS60w6I06OZJ0eCLocsI/VBWDN/iyoBftNwopV3h
HoJmjRkH+rgAarpdJsIrzUttCOtTgvL14AyCvFyIqPTLq66nwC6ivAVs/DYBxdISFt1T2MGsT8Dm
w+iOYZUsHCig16XLqrRc8yoo6jC8NmVi0WVHg7Y+r7pqbXz6fXfFQoNDHL6N4dFpOgyN6sy4GhYo
FOuXX6vewvoEemUxvqAsgbeocwZd5YdpONhW2MDUAVo01B+SQsCUL2qwCjz4DtZUs0r8yxzTvkgU
yXwEcLdFV5/Hhp+VSqM67+YdlJUis77JzfWiAZPJhjeCBaSz8NpOrpL4kwtXgp7IRmuppM9CGBe9
x1dtQkCNrgj6a1J1qDz1wMwNTtMsCYMbCbvFokwQvsgtL/8K9WF5rnzqa/Pkf9k7s+ZMcaxb/yI6
xCTg8mN4R89T2nlD2GmnAAECJCTErz8LZ2d1VeWpjqiIcy6+iOq+a/ebaadBe++1nrUlYpbM57IS
TOd2ikaDBtf6+8HDP2tGotF+4y0Pb5ZZEnEYCRTgL4Z2TB660um+2zXZzpB6bKscc0DsF7VnK7kb
aJd8cQgYiM4MbEyjAMecnUx1Vwslz0nHmzAPvcljOPYwAae68pInWPKaFa3X4zUBFeInx6AX7vjR
4UC2J+AyeDfMdmIXTejgX3SB/12gyJjxDNndo1mZtEqj0vqaoPUem69TopMHx6JNP62Jmtx3qGRW
pp3rRhpCFgTPYuncas0Cwyg7Dvi1mMzhCd2tQmt1udiovW+0HDcF9BB0iw4Pq6H45XDiyhW2Nxfi
sqdLcOEoEoiiGvtOn5k1Q5XFIYzdB3Qi8p0kPY4RHJ1Sp7ySBsqX0fGIKmDH+5aNbv3sitWPdbqi
A7OPg/KdBH+YLKeiihxIVk45mLeKEUdnbQSB41gnxL1dpFPCU5lHWRf1OuMhrT0AFjcLb9fwqqND
26bjoAm9DNwqWDKL7kYWphrwWzNxX2/cTNTh7JASli48oCnXLZie/RqPePp5sLAot6UlMisHSccv
JrTuQ1NNeNZQ6ZInPOudvOmT3sUB6w1Js4uhHpl0mV+8eDaxm3Kuo8fQ60eTm5Cp4DIo21jfjaVM
JhR3PNHFAJ9i3GFwsMtF7SsuLqJpqPwbb4G0eCwXkeDnWhaHXfLJGUzeyRJnBrqxWV22bYnvf0o4
28kq5lVuFkKOdgzw3ltKYWAHZRVdfg4e/681ksv62ySk+K7+7Lf+QWz532fKbtei/bUpu+0c+738
8gOM2z7zU0zZIgTYP433GlcYA+sAR/ebE4s9HQH1gGm5GOv+QLdhmQvKv79NlgQzS4RP/RRTcBEM
9jDhK9hdDykGm29/GtP/HjH+G92GBat/GoxCKBcYlz8TEB7w+D+pKdMouyDU3nqNJhrukqeC7QGr
MDHYR7cZ92UVfwsM1OBymN/IXH6t6cIAegVnGZZtPnLnMdFjTkJ7Ga4DS0PVQV9vVUpYfU3rdmfL
+Ia0DIKBO3tw58ieL8ml8cML0Yk9TuTD3Hjg3DCJxXTlQL562H7U3NNQzDvlw16i/RllDeyWDthl
RDmQmYGjZI9hYT0VpiNYss6vjyQ0UTZ48VM0+DfSa6/DRNXpPPU6ufB1+8Sp3ZcLGBcbJreAdO4Z
zv0+JHFuw0akrBUktyr4MII1l+s6D8im4O+xod6vzsQyf2aZQ91D53CyY4uLHqo1VQGPkqjMY8Np
JowX3mCAvXlRkvNqzOo23CVj+8Zg5CiLb33Qcj+PU80zETT7BejMLiLVTsCTm/oefpZKMgBKGKda
9+hZcfZJW59cJzyVIF+yeCJDVvLowuA0zhJD73Gg0p2NJ5U5vcZPkUzBdYyzpDczScWa0DSUYXsE
43hFuZ/5fQ9TQZVfJYsfGicOj7XjHwJbfpCA9Cn8LMhStMtliOHQE/2SOkFwEFUpMdV35MHGiUzR
yB67vl/ygA13rtseliCOMlRoF4YQCrmoZXmkBqXJJRyAXJPs6l7OBSBFW4zoB9OQ8W+YXvtMj67O
lLN6d8noQnIKeYHpsd47xK1yR7lkpw1JNobQ6y45LfsjnZ3wwGJiMuPE/DjEYb5EAYa3AIQe9pw1
eyXCdjxMkonyPjaxc3Jp9c4cMRQxXMbTOgB/cdvpOI3sAe07bHHlHQJnUFmnaAE6LCw0LN5Y9+Lc
x9MlWvjvYgEME6zmTBb9PEgbpegSn2YPrGDtJ36my+FZw5MtIrleoI8ExEeCbIqb21XFOhOC7ZUJ
L3uYorZ0npRxCSrxemg8oJeUBdeRZPs5dndh3fSpDLhIEy73TeRdtBSuLEnU13XAIET4I0C8Me3C
8si8Mdxrq7qscce6mBohd3XVvyaEX1bMyZaWQRxKksu+TQ4q1CIzESCksn4Ujh0z5rAK8xt59+vh
Cf11DgjBplPsua96CguAPS86UBjIVXzpL6POXEv5LeXBVzWAxnOjd2BwZxsOV6sbnBnoPICP4fUi
hHfZT92+RR9bDBE9o9hm09SQ1PGqO80w+mJ50lcveuBOEdj4PNT1LtGNRGsK+7QfnIdaRy54rPY2
riMn88T0MjjqrqFzmfXOelOFpcior3LflHlXN4Xj0MMqYQSpshkzMskkmzh81Cq5hJd9jDS/rrsq
mwP81j0jzzpa2J5369eEarVT3ZTR+DCG4EBap4GJpMeL2azHZKjfwOiRFNNSHsMHSYe6uVdt+JZM
1ZjPi6zSfoyemAMkz+1KvMSiWlK/UkU34ixMk7Vd0I5ilr76/1KX//dVXPe/Vtwf9+v8WnO3T/2s
udvd8NhkBxkYle2HFfFbzQX9tP3POO2wiOGzsP40MNx/uWC84XPBwdguDYHE+bPmJv+CH4XACcVt
Ilii9/eIcjf8pebCSINvgYsrcKQCbN9kwN+pxnpOFqAI1Fxb48uoqHQJN32OEpszW1cYCsqzWjls
TttozZ/c2QUh4JK4VsdhrUm6aBTKC2kTsxbN4qm14GboxQgTFAbeN8BNUZe2w1SuhWJTbcEEToeF
uiz5npDOVfdWSjntYIAGZV7adU3ydhAG52DllA7cN8q8dUgnbuBarMINoCfOqHdF57FpLQDkd25a
xv6Qq5kDAyE8BreiWRA+tq5T0V3kT8facwFk9DRQB0i89rD4dm6+Gz9edqyJVwKlselUgctbyKHi
y9b1x+1bXQLgTZhxndQOVhdOO9FUd3WUJhW6EtKBwNDAz990iDdvXTt/r4h1qjQcWbAPbfWdGgeY
ax9/b3qUGdWxrogGfG1wIHk6ep72SyTMuWKDRFehq5TVnZe2amSALpz+jUQRTz1XoafuPM3TiTgk
nUNAAa6tySGeAKvVpelf3bhdUQMEOw2Qj24C21Zpu7jJPh76Dx6t4d5vfVaAmwj2Uqi6ILKnKWeg
IoNwbm84mWU2YjTvBu2l3TiaInbgv7DY/6ikIw7hhNIJrt5PO2BXBWiyKCXUeUPvww50befMTUS8
r6bpe2TKEnNsXaUReHYJnITh7FNetBeikydsKGhyDzoaGNy1S5mg4sSNzuq5ITk21qAcR8beJkkZ
7k0iMOXOVZhCG+CFPwVxauZSF/064duM/ee252CyxgYD1RTgZDQRSwFt2xRFYUxneHGApul4y+zo
pgsz6jaqodeu1h3dbLWWH6XwAOFDICykFgbFbhmKxY3mVHZyLMql5weU5yoby6Y7/HNsIo2zrfX8
b4PK/7RgYd9/mVV+fOznubldl7Ndv4D+DtlIP8Is8Nu56W3XGCI5+4mMuh6+9JMaxR4Mgj1VMFWQ
uINnjC/9PDcR0sHltHBeKFbYfQ4/f2NWgS7xy6wCZxkDE8J/QEcT/08mVLywMZnjakZmRg2nuE2C
y6lfznHfjlk4T08UeYGxUfzQf2YIKrHlCWYQYXZc6ww6aHubVEOPtsLeKhachOzEbmwl+D1woGnE
XWdftzpIg6HaMa6rI1RykrGhRF9jJKsyjDr9rouGdr63bHhJKjB+DqoGCEqA+Zg9ZHDSi7OewqFf
qjKzsa1Pc8tz64GNU84Ejrxf4Z2Scm9dZEgqlyfHdmb6aUji+OyBcL+M/R4mRX0/zH6FjrWzZDe4
cZ3rCWUg0kmfC39FsKQFGulRoEaTm5x5NKlixJgVKk/twmW4ikMw/NoXyU63K7r4UkH7rHpzmIy8
ciUaJNWPL5NhF9Y1RUVs7knvkgTsbFb0fKoZZhx0dkybOM7MjO69x3ibshLxJPxl7HtpBP2KzJAu
d2M4VinMG+jqlXQPyTTfVdy/jzHWzceBVo66rd1+PMB+yfqxoui0rOzvqSIJis5n6sKPymDvu0Dm
0xCpDL7FM7YFm4DQgcutXX9jkeGgwXDqkekYke2IkfEQyHo4Hc0Fsh8SGRDSrFlYD++m9+5qZET+
OTxweISEABL4a5UDptwsfzk7fnzqd2cH4HGIFQFYCHgx6Gl+d3ZEiNTHEVgSdDubBPLz7ACmDm0E
WAhsGcDl2zU+P8+O+F/w0ykOnR8KCLJ/f+Ps8DbF5A8GMHQOXLMaIGC4NVyfq+p/33MtpmQQvMvg
mq9DZAHNIsHypitfldcQU/2uu3Rg3h3iMmozZ67ubcACoI7BkPce5mi3pAigtSMv5kQFGI47ciCG
A2pcfISptHh17cqyOaxf11EueecDfpgkPbcdskuoYzfNCAWRlaoYOhmkOoaKGduVHOqEypzPbgmj
j+vUOJ0uqkm1eUXVee6HBMhv/UW79Lb2+z1tMamIJUdEaV+PyqSadCTljbhdmXlCXT/KQIZp3QoY
NArwZwJdFQDv+po00y2lIznMnUfTpPVuPKLaS+CmYgfros+h2gi4huN3v2SvczNjGHaiQtkPs3ig
LMOx0I7P8rbrLxcv+DL0bEhlbIZDIOEVT76BQDMA0POFgzE+TgBE6uXsrxjOvGn9mONyNwt9dhOz
dyF6YM39XvqAVWFues2mAbTI3Eza/1AJrGxTIqpCQA36F71dDyuknXRmQGirSGVoCB/iue1xBg6H
DtTJIpqHNnFypfrbYSLnypkzaKVQ3MPuVuNXOgMgLshST/1eOW68i+lwcsPurZfISoJ1uSDQiOB/
IVfVogUF8+pNt+4CWvBrM4FKLqQvWH/rrMoO+87t0VMTjljT2gB4pJp/80J/B8DeQJSevyWy2kEO
BL0c48v1bD7GwJVZAzwSdPJyULa6CvoyLhyz2N2oqu/GQffdxPaFkuRBrcutq92voCRORKwvtW6S
jIbSLyIWvNfecjKE2a9tNXKY+AO4BL/PYo0eKyTjoQmnW5gDh2iKnQu49Q+2xo+FkgUansXX5SJR
C6v1OwaUfK4UR8KHJoWilhzW6LvbiABWl3rSCj5HNwRe3sJ34yzx96FTw0YHkDC4YT6BCMocUX1j
fFyzdrbrLgabmzWW7T1HvtRGHARem6yPoSHBd0wHKCMYSBAwdKHpLyYooWY5N1BDnidFTnTwXSCg
zWNYVgyupRelsrQp3uYcKv2hjXiUQQg59aE0aQVPdR7jMEWC4Lus1PXQBa9alhe0XZuU2+YKPMt5
2GJsVCTnHgZw6vm+BsIapVOFRhnBCrMfF4j7qvLd1Eva157HL2skCuQJjkSyF5/7w/3q0Cp1qhjo
gxc+Rk51v3gO1BjzPFYBIldVclyX8VyyeDiXQj7TpdwDGbp3KD1WfnztJPK2IvRjCNarrpsOXODZ
XKld88FFThX8xJ3WYs9hOUEjRFSzSgoopH2Kt4d+lVoeK5DQd2WMUaXu2123mDNVkhf/lLYfpQ0o
01+Xtv9ph7r/+FVOIPjUz9IGOQFr3nzM/9sdCZ+Jqd9KGy6JRc4K//lBPaIH/1naUL/gLyOgDqAa
e/f/KOH7Hm6FxoZITLcogH+Ph/yFGkIxg5qMbzCGMwD6bSt9v5MT2BSZpvHj9tpxxxdWoyisc/vm
2vDYusjvNHTN5DQXUdilREe71WcXiR2vTNzBCjbdeOwQuMbh6mRTNHs7FpIdktn3ptZeEUdizjSz
F0SVOYWCmm5nQx17Q9a67cUWqcm0g7eTy1cEP1k6u8F76dUyG5wO0YNwOS+xfkd9G7OYo8fEgFFQ
q0NM0/1akNlpcZKEC15xFJxoTuYsQPomU4h57nphbzyLY8pj7XleQgj3TD37Wzgd1ua7IPQEVG7I
xwVnCtOSY1BGQgQ5kbSPkps1cb/oEnn5Jq45eCnHpG2E9E5DmzpbGdSJrmNlGpVHn6mdjZAHGmEu
pp5ZntaKXaqoPw/lcK7wM6XCIvfeed6dqXmuGVQF3nuXpes9lLZVaLHnLsXCX8CQUoO34qiBkKMP
nY90QhkPX+JwchCetwweQqjHmt0rrxm+wtF/smtgziqW14Ov5L51gVk34/R1YbBte77vBkPTYA5F
GhiMG7NfemlVxtB3vSd/lMjh1ubagdNUcD6vuRciXr4mcMzZlDh7R8x3vlO9h20p9qAHMhdMwFnQ
V7W8ApzYBQN9ldYX+3kie7SBiOsMphNPiVv19y1BTf6o2fpulupu9Qk6/3kQUcqnKo5fJ7e5KvF8
H4nqyWFRHnYkTGVyHXSlPNmkzIIEQ4OJ6EFNtklJReqsChJ75TcrzMpadGYP7uqL6ZHGgzoLjVl8
wIv1DkSwZEwnijqV/nPO/TjnMHf/9TmX4cKtz6VaUv3fGnl89udpBxEgxO4cXKHqInOBYfsPjTxm
/BCkcwI3+XNTx39OO5f4HohiHEU/XMnfGnnsSEXaE9tw6ZYfiP5mI09+beQ3+hW3QAJSxn9xeP7h
tEu6aE16HerrVtfg9JD8F+QE3S049cgSNVlDu0fbMA8elXMR98BMm7BDX93QvMLSCcQ8mweYbGce
L/eaLBe2RDZ+qGiSwsIHi1GvQNzUk+nsVdT5x7CmqY93Jx23F3RZ0KbMNFtwatZra9JOSsBqDMsr
omTZT77/3Y+ZysznLFpzm8Hv94qJI3W5xsFubpoYHSb8D7SIL5aWiDm0gS0SZbucTMMDYoAzXnbH
ywBTZ/6wkswalQYM5svUl1/axM2VR7HwQMo8rM0bRaCuKccuD93o29hEdaZp/UyB0yAPQo/+ghzg
CPkU0NgzXKZ9HA1rVhp/V6H3Sn3ZHTyqw1yL+CAX6Cc20BNYq+XNivKtU8s1EfCaQoD0NUlqLKPg
e86XYwwaeOcuZson7Yg0ZsM7IwGMOLd/HkTYwAHRfl7O6oOW3noluX2th7A8Y0ACtRp6XVoxWjh9
7N55MpryAMxjVm90jECTvDeGn91w1C9xoieccIhm7sDeZmsQIYJZRmLXWp9kLRDIIq4qAtdzxdHo
9fLSknjJOZrTHaJ4Axxax2YKT3M6SV4VTg0u05K6LHoi63NNRLuPE6PuvVCvT2bVVS4IWCYuW3Jp
aYdyaTh/EZP2kO2KKCy+rruTkzveVNSrj7E7LRdYgOLnyEKJE1ijad4M0+YCEjFCeY5YEGlasW5g
7Uj5tsS1E4MNccZj75FbLhLEdyszPBKLf/h9iYDBV6dJ2Pcgbuei2/QWg4wg8k5xZjvE5+SmyuhN
n5ETIDYINgqd5AIBZ4SQIyHogDdMMmecr6ZN6yk31SciekHdgBKE/SDYbwFxKNhUorEjwLE33QgC
EhhNlvJNU+o3dYluOtMacDcXm/YUbSqU+BSkvPo++qFQQasSm2rFN/0qAel5pFASYCJA3UJEFm0H
BK9lU74AAubLpoX9c5h/HuZbqOWvD/OfN6r82rZ+XgLyn71KATagueg/aeDhEs7fHeS4DgrbteIQ
HYmPLhRf+vdBvsV4EGdB9uc/CZ9/KzLYurYFexLk9lEAIKREf0eRcT9h9t8nGtCrIt+CS8c8ZArw
rfypbXWxzmbmExU3y0SiXa8DA901gE8QmEMV4TXS1uKxJYZc44cgZzCObp9SsKfHNibiuUaXcYk8
ErZN+P5438w0OIRg964ML4f3QSGyGaFGXFRtBLOewb3JhsQxcFNcZ7mRU6euR+DRLw6haueWXhhn
JRIiORI8PebdIXmPneoOWHJ4zVyErj1WGbBiKC+IXYQvrY6me+OFgCplFR35vBlw0ezwnRta8eTP
RKWVL70PAbPnOSRtf2ChTHKcCvJVQ/WC5BrXUFKhh0SNmc4I4A+3pumLdq4VNs6wIdfGDfR15fSB
/iagPwdnty9Xu+wQb5737qpm5yNgSVNdVcE23wM066fraNO4I+Yu1X3VJE4aQ7xF+VFYlmKu4sQR
COKzoFqCnWiRWe7TVg8GGVB02fWZOj3ix/Xc2rdGe2NXeCYBwFIuL9S0/qt1IjSizkL7HVaKhCc7
U3uvjFhft+1Z2FLl1eQMrAazKoMVVg6aveFJqjPSr+trKav1g9bL8+SMu57VJyfCxpbOpToz4TQc
ALwxFyjubPcc0eUzc5W94GIZsGAo4Uu6dAKgdm1YvZOd8rF6Sncgavj4BXWhPaI4PvoccfHBQRyy
IgaCCLiYA20kBRc6dEflqORxICO9WpKRwOATm8akQvFQSoJlIrpN3pzIOCe/VVE6LN11E7tOPim9
7LXjyKWABjiqfCnr4XvkCHm0Q9nfgQaVx5Cs9Ctb3Shfk6h5XEreXERN0FxKZ2xeXBStzIA3vZB8
FS/rvDhnPLyo8VFvrhs2lc/x2pnHHnJTMYulvnfqZbipdAseAu5Lm/dBoCViu4FbQA8CYCCXUOZs
soCeWB/Sg6e9D9AMadD6p2gx/q1FoASslqDuxyCGdTfWBDDmIGmqDKSTf87iz7N406v/+iz+cQf4
ryfx9qnfWmqoBBus9zsp4DcBAcvvkOhC2AcdLboQWF4/W+oIt3hB5MLNAhuc94kH/tTG6b/Qg/tY
QI67oQA6JMHfOYk97xceAdlMZG6hSiVoMKDH/7Gl9h3PgLjm/NolgZqwO6seSFbrLnC+xAKhyqKj
E7ZIzWMz3roRz2evO65Td1iOR1I2+74XYNJBxav4CWQ5XshaP8AomIBKtaJ6LlmDPUqq5yDpAi8D
0XptOaTzEP7/YfBCCLCmuxPcXi9Oq1Msdn0tIbpk8L/PA1lvgBzD1y6np8Xp90Mo1t0cY0In5p1i
I9PgC/wB/joc2BLukJ8REKQT+HvNdy0mr+iaDs+7S2gxGMUfS9bdOAF2hQAbUBlf3OtYlLemA3NF
kVk5MLpuaHl80HQTCDhaKGwrCND5p0agE9PN2gLmGnWRhEFzQMqoLZIpwuYPUVIwP9XzzHFA9OGA
TQjbJrh1IO7Or7ApanZ80AuGquqAsDkjoJVRNVMvwoG7tE57QCM7FBw7AvYSTN2ZjD27i1S0fKF6
2iz2Dpsqljq8hvziZcyt3St0jadxCbybqhfIQEi4dXSMFCImjdxVArg34An81V4TfymRkDhgHlpz
W0EqttpdELDgGNUbd+pv0av753iYsA2kSyxYNAnDrj4FEYjHI0g0FDbPbGslYJO+uaMf5PPspBFK
6GWl53Qu4yZXHH19j3kqYOuOQHoPmmQygPYFkKiJf7Ri/jJKfiEIYXkXYfpXnGdRGF5CqsA56eFB
6uo8HNq7pepPgze9eA6/aEyN+cvrHnyU4EJtROow3ngsuuq7BbJRpSJ+s60I9ApIvD6WcoRVs16C
8oEhyE3BB2wd9AMsbOFYRDh3ZZMu227CBV5z0a3s2/q5t5AgxDhsuwzFttUw3PYbBlh0GH5uPAwI
z4DaYDVItRTzthaxs49sk6Ks6sO81rrJrAXKV2KdIvDVLo+3DYsOA7FNsHRxqfH/bPDnVljHGFkg
85yEKL1hwpFFQu9vt/2NBIsco22jI59CBG8HLk+EqDNKJvyREAuC6lZCfO68r3TBoojSinsTLdhH
Yk2Slb2MwGgiv1XjdN9M+xR7uD66kr23Im4zvF2ZaqxKG6e5QR4Sq+ig8LlkjrJZWoSeXNBvvUC9
j/HoEzdgeU9g9OZlqLChzmECCyJqLK7kp14q8fBP/fisHwQpzr+uHwjkv+qP6VX+WkK2D/6+hGzb
bkFSgOH+VD1+KyFbXw6YDIINSPLPPvpnCcEtY9v9YgShV2R2/6BB475X3EUVwHJFJHbjNv5OCUGa
/8/2Km642W6PpXiscMFo9CdVpmex1q2OxTUB632Az7kHfhqncAXPc6Qt+AFPXiyzJ/Y+Wf19ssw3
fRMgstx3b1PgiVw68oA1oWGR+JPNmKF+2gTgp+cKB1LjGC+vVLydN3TN4Zp1NyNLvlQh1q5AIPAz
bPE5I3l1MYXBIRYJAjdOtceiqC9lzES2jvHlOlmol4JrLDpRJ9Y1WNgUhKc1rgFEBdElCuQjCzFd
qzq+TQzKXD/Vt4pMr14YwF4L2ZPusK3RIAiN6B/2DnK9XtI++oJOT2YQ1J6TVnyhiz4n3L0wUfvg
hN2lgkOaIQz02E8l8FcXoc7SnKM1uOv7Zucy58Wrl4yNbKfIGEGoHy6GSDwjNXDlV12TViE6zwUn
BR6KV+walGm/ADRzIlXUdK1SQC1t7k8LRepxtNgt2KNGaW2R6+2uJ1i3CJn6wLexZXQx85VpcVYz
bDndQ9LZNXS8WzhOLoDbfeZ4641f0m/YgfbAZ7tDoqVLfdbfLAEA86oD0tcpCF3yhs7RYzWWgNsC
+0xraOa1CYc8crEgtu1rsfNrK2GcR3s1rbfT0kc7t2pPi9t+VGuHgJHyHmk1Yb8rWMcMBt11oyPv
qi2jwxKz+/EqqEB5QzE28ZlaiHpY27+rI9DtASjnWq1NoXylEQaKnysK3WIeezB8ot7D8OhT3olv
PKIibxRkZ290d22MaA9hhVX2UGPlG5T/5m2a/A9cxAjcn7ADG4OrLRa1aICAluiuaGwbPPkhRwLU
xpATyxoi63jqQnpsQxdZw2qH9hrjHmKohV2wFthjCBjEnwJ5H86qMNq5rQfznqzcTBnqSAMwedyv
YwCCXo2nwBm9bAyGQ0JFlQoPdamPozjH5vqD57B+L6blFQHJB8hUOYSngmw0Eh5dPEfJF4FSl1Uj
1u/AXB6LOmFLwaMZtBNCQJm7zm4BSx1KXNjeJRqLHrzSTxHjP/YJvSi1dNHdTE3esgbvRQS5KW4G
dCqj8GBkULJzWr/NCJJWZ+uhPXCqbz4zwS3m6jtAkKBQEXs9DsAN0koZJMnWuZDYJApjfL0WAm9K
06FpAsJ0U0bhRdURkg+kCVLa4B+wp1+Vck9S3NZBANR0im/iuMNGNSquFqQqUq2wxNUT74FsMebZ
5rULuqGIuOS5szg8H1Y8HyYcseZhxL6yanX2vs2a9avH/Hc9XTQNKENT1GK0wC/wGOiufAXqqlPP
jpflyl3oXM79MgSH3q1Am47Vk8P4B5/xyni9wLM9hDuZwB1zMGMmgIoRF2sfEJ//ngBazLD3jkEZ
jvaB6FkRYGsAUimrwgq8sb9wvCW8dPvuwam78WrRiKPGCuBnlKxlvqxY/jaXANjZRLbWWV/qicco
1ki+tEl9X014msMAm6Wntqmgd+I3jpAqVj3Y9VaUAwWvBstadnrNBuvc+RAdc4K/Ka3WsQTkShFS
57zcIRnQ5GJUwQES6aKD6sSR6YYUON52gX9uhbwnJXkoQ+w8dD19KuMQLdS6oqOQArw+BG93euYJ
HPeCgl5tMjk353lGE5wp7XferjZlD+aullBqoU9c/NMTfPYEIerjX/cE/7568deOYPvYbx2B9y/I
e+jCgJBj1/m2b+e3jsD/1+fSqXDrBqAk/tT2wL5vIyaO4f/D3pktx42kTfZV/hdAG5YAELgcIPck
mclNpHgD44p93/H0/4GqS6ViqVVWY3MzZn3TZtUSBWZii/jc/ThWB5BUmL5+31HimMcg9aMR6x+4
rXBWfV4OCEqT4Ijq5O0XCufCoPlBkgZHMFoV0bJzDqJSXDZ6Bw9y6iI1M11jGnQHJl7fS/TY8pUZ
ztNczOGW7d2tUJBEDPtl6glWlV2wq1mPV2j4ANMIqnfCvlJbtGQl7lK3KEfh+oXTr8xggsdXWgyf
y+BKUfzE6/uwBTtXnJqpfVOW0JjpDG+iVAiuFqD1HAJnhYyOo5hT13DiS4U9BfejuSpCY74ib9+v
Wp8/s6f6TSlI4NRd/dIzmpuzZNqqunxRRm0TDq2G1BTsbLu9yuFrEwINfezow1eCR/dpO6VenGi3
htk+BtxeW0cCzWa1YJ0C7I1rfAUt9vKkXmtT8GzbM64os+9d/FPXUaSfClEBgpz1W+hL3N9ddD3q
6iFTzXfRZlujHp4bER2FPuGdUgj8SP0IMIC/7ewytX7siMUVY2et8iR4LBrr0YlfjAHGsjBeG8d5
rfXmVM/Rg1mMr4mANAnoZl4xrT2TDINRbQ67LIwU9vZKTk65CzaA0W+byLgC/ng1G5XvxSqawaRj
Uzcrme1jjWGjqS2pIVWcFXNIj1jQCAYqvJUIERzj0Aq2sdJZmypIL8OqU9eyGaGTMGIdqpr9f3uQ
Be9o1clO5SQcb0oqua/LXN9O7bAFsFms6qiDPj+lcpvYYb2KVVxzVu+Pa7PT0fhS/tSe9B34zi++
tDdp1J0ttUPMynlTKU61rVnTjbS4uUGS7HXSaO7YDgES+wxITa156ptElnTF30J3870B5xpx9auQ
U8HfrF9ipb5BODtDs9gHsT16lh6D9yvAPoqdo0HOS2brvmWVqWbBF/z/79hLFC+Z2eOajKqBkjjh
RnbzYx5X5SrQy4Nvlw9K1zWrtBnuFactIeUHKQhlpVobfXI7Kfq0xlmCf0orPrJGybyoKC/F5JwS
MQVuO/HqksUAWbUf1qMci5M9YMJQ4lqu4iLSyQ06u6FFYUxYMT63PqqM2pRgtGt2lUYSP3TJyk6j
e6NdgK5OhP2P5Cdzx87j9dVu2fblrjkwqR01Fm5GoR4XqoQgkbUCZGCsZkW5ZnkVrqe8gh6pZ1dR
rufuxMCYGQ1OyTGYl5DzcwLIZrnWboVxUKaPRMWBogT1TWE3a2Ma4xV0m7UUxRcyOR/kZ5FobfFR
z+pXp3EuINFdldN0SwzfJt2ohFhKSF1NWXUT4mRNBSGHaNrLYoZd6KRgckYkQrBWhL+XTN70oTf1
U6B0x6For9NSuWz7OCGi2K7mBIaiAw5fUwl/sElmrtUlJECcEAW2bT/wtRCuGdmQpKP9HGHUwBiv
8r5UiI0UUMbGQVqHtmPJ0UDyoumBbgcNN4M11Y3bp9Zri08VC5werXggH9HIRpAVHbDLuT+0Ph41
vQ5urHB8jiMzcEuRUHtQkVkvA5jjjah2FobnKox4B4fjbWtWIBMW2WAMB/K4DEHgzdbcdAW3hLQu
U4ZB62L0r4oUm6Do/NGzleCWOcWpKJ1bxxc7Y5ykZ+UAW7opvfHL8goMULUJWpk+1gN+QX/oLxSc
UKDGlxvbjB9swncYHwd4Ks4gYIyGL2OOstCJiMBmfuCBfjOJooejkGHX0btrtB3djXDz9BimtnhB
SGw2BtETi+m7zA+ga4WXVOlFE/bXSME5Uyt4n5HBYrmotXUepPxs39+aVix3c969ULKAkE7OiQWb
HnpWXAHVnZUPPFe8L8I6QtpVrsGHvFgG93aVMqajd0Hx0jEAceLPOdxEh8BzUT1qrD49hJ3UzSY2
U4ZOlDCELb0qeGbj5lc3MSnfTbrwTJ3ooWDh67H22UwkrFyNU+7yuqu9wQDiCZMi2DDS5TuFSrM3
jGHnBALaTsj+yCCbyrfU34dTcj3wTmQmIzGJmg3Gd9sMPARrLje5zFnB/cBERsMqlXlYMRm8nBTq
AUjcsP5Uh8FVEuvebKctjJQ3szDPcVC+j+DqidTEkFxJPw9ILa7V5Rd4MypmS/MlRmzyXHa+g829
Z4dQ47jSF4kZTa1K43TfzNW9oXPjp7nxoEzi1Ebt21ClG8eP73nZq8eIxaDL+3/fgIW0o+qOHc7O
UPBl2kB+YUSRbJiQ8XwsWwtm2y0WdW+ozZ60kf0ajYWyysgzedUiS0yFvNH8rFqbZiggz4w5a2/G
Zniq/L1aT8+WwsXQhr2+SRJ5x24ycaWvHKIgeK5je4WxO3THuNwWVcHP2+WZXb7mIu0ERFjN1zJG
6uraCBYIRoi4ss5qZ30phIU8lY67OTA+YnWwecZqHchRWD5yzEGAsSciiI6rTC0mLr9YaxfSlePC
Mv5qNf0VdSjRei45sbXCUzuccEcDpR08S4mfVdxhSTSAPYr82Kv68hgtUg7z9S1+L4AnBgQhknO7
OGhHgHHQTgkhJ4w5/dwrFhHIcuQbQ5QR50lQb+giUb0i63v8CRMdI/PyVLUeMolgFgS+6WWVcof/
+L52sBznkeMVQ3rRNQDAg062XtAU1UoX4S1eCCJWabvvAvJnmerci7w7BykDRKNpmfWX+FMri/vJ
IBg7Bhj0KAXZK6ycuCFj1Rv05qVkij7qvM/5tniFxLvKIo4N5vZ9oK9BKa0PS1XuFAPAl50toxIn
+bAhhEA41F/7qT7CH2T8aJuvTW9vK9nVqzzQSLgb+cqZe+GNVvIQZBkBubHWPYnlJlYy2MAvzFIv
WBgACxD4TrQuPpQmg4QSZ82VHhV7v6r5M5l8DRS2oNkQ32k1TThlp9zYGVl4HSSacIaHkTWXa4XE
HNuyyNdVawTQwTpKPJKKj8OcAd0U4HlRiKOsCnaneO8SG7sj990HKXPMlIxe10FibNS+eyx7bl1G
GtdpkNce18KlYUXtOjdjAFpJeWtFnCPThnJLPpjndI2LXtT5prbEQZPta5xNDJGi9qEaQ55BnXo/
E/sfp/ROF2BsBzjMha2+9P3MxU/O03Vae1hht7goiXLm6ihdFdQbj0O2lK0VvzusjcMe73I55u9z
Vh+wTUEmr+e9ruePUcy0HpWy7DHdN6zyQCaxzqy4MkOGXyDJI37Jzt6qY/1hhSzp7GL8amSs+XqA
3VEaP3Z2vvd9fxUm+bMvk5e47U5CMCCJWm0VZOMG2hZvSqPawSlmnq+tR3NxnFbF7dg4u1I4ewf2
W6XGZ5ie3hRpjC4MgMh+uiYveFHDMeoifKamivmmiTU28oGtJ9dpPluPUxFZ8qpSzJ7/wyR5uJqW
JgyzVP7rMfmNUrKgPv7zHpT6rv9ZRe/B97r0P8q7lh/8fReqWf+iuwsnyW8sEg3V8/ddKGX3IIOp
4oIgK8li/2EyMQzm0iZuaracS1Ab/fL7RnRhxQo2p8yRbblsYP/JXBpR8dNG1OYfg6NiGCzC8Kws
OacfN6Jc5iEJD4iK2AmJ/4OQgvvldZaZcJ3Ca6LLq59t5DChlvqIQ3Cab7vCXwUhfThGF9vPSZgD
2IOVoFJvZKeadh60BtBJ3E8lfqw+d05Z0c6HwOjSaF+1k37H4F0x91qj4rBzHKU9Zb7hM3qx8M9C
TYu128h2UnGcgzltXp08sIbL2ihr87rM0m1v5em7j0V4VeT4MEAWyC7eqhgR8GHIqL9pq6ndi1Rn
zT7DQ5zXvjp1T7OwsQLaVage9c7xj3UF0d7Lc/bRIWYHfJIYvTp1io4sGMSF78/MumPHd567Jqd9
S1T+MG9tgVs8oS/jHIJGg4z5ZCfBa2wJUtTCybzSMt/LNnu3nILXYZ9V4m1oyZOouadXAbCwWTU3
baJ0T4MVkNzW1YgaHOzfQEUGuC5RKx80BV+eQ8LndYysftcYub4neB5eKIme0VlV21BGu3E/l2W1
BU5TkAqaWx7M+eiZsuRdT1uw6/T+JSe3XFmA0Uhn+rR2ZEfZOYVn+rV9OZnmvE8Es/KIbIcrnHDL
SoV3dcBb1phkDCCwwyeTM0uUzrsU1CfIft6lmnMy4sjaTj7GS6WhiozYEQFQMT6KkMB8gkvQtS1z
W4Bag9Q3sgyvh6sEX7qnhuFINwd+9pq13DpWSv0EEya5VWikuMktK3+PVVEfsiqC79cLULFR9Zaz
ZTr+d3L2m5r2y8nZ/8me34r6r4OzZUD1+yNL/5bZwBEnBft7cwFH/P7IwvvMU0lYJCpUvBd/jM4M
CQGCWhz0tW8e5h/p1vJfOuWFKGn/tkX/I1sccZJPTyyMeljzGNIxpuMJKBazxg+js6I058Sc/Oak
psZdwoRWb8wjHXDXycgwf1iGuFgHhkwTu3ia4lW2DHr9ZeTbjp3vqhVPJRah3Qpo4o0q5tkLS1tz
B9FabjNrKFrLzNzh38rtAtgEQ/+9ExDtL8P0tl5G0HNe0BBRjJdKxVoiywl1cckrnjKa/go/QrxO
eyJQdTtUVyozbtuyzUu7n/MLAP6tW1j4VAOfJIG+TMcbAspyGZhbYRi4c53fhbkkvbxM1dW62VeM
2X3ZBusmgaxoi+wd/u4X2KXKErjaFQzplWVa71cNTCZuvdkMXpA0Y7cyO3zQDPnzmqnThbYM/sPn
2vBaJ9gVhR+shr6DRbwoBfaU4KBKx4T2vYZ+MAQFOnbKZZTz1iE1aG05IJnzgSje2DfIETjdSnfK
1wo0H5SKUcgnE+WiWCQMZzLVlYOqUQf1OVpkDtFLKOS4SRKLkshA7dbaAihqDbtx2yBo9vYimUAk
vdEXEcVBTRlRVeixAEi4CC2RFmobfRFfGrtHhqHtbV36RbtOF5HGTwYNEoW8APGwZ8/IrpmFdyxz
5Dv2iOoi9lQGCOVvBZKWA9vWAmi4DhZ5KGhVw/NRjCAgxS6m6C1rrkOT2HfCmZ+1RWjKJnatvJ3i
PnRWhU4DRwnTlNlDuRtYfZG7qw6GxmeZ0a8cI4u9xNdy9VyKNr+VPsKlZLhRJsVpFvVrVAzFXu+V
Mxf4s1Ng3qjjgA1+oj3WVX9Zw2RdKVIAGR+Md1TJ996epk3TYh2qGunvoEu9UEwHvYpfxUvIxKMz
dLcYFJtjJtVDH8dfy9k5UvVG2rsIt8WgXFS4L9xGRShsA5/dX+IPLib5qzaeuX36u5DNQxXacpcb
PLbZTdz6s8G7RMeSYuDfZGGwkyYNHhREkvaxso1sYE0F5n0dquGhbxd4Rzzf8m8OFxUBBDiVRUGe
0cKgtzBJ+xq4rOYsJ29EilIt31ppvnhgSoFIPTN1a2gCOjAKGbFi2LYbTlHlpk3aevPYFI+BCtYj
D8P6HFumQ9tgtRrzSWNGmH2ROqnGoA3BQMYIPzoFnvAbc/ZxMapblLBWmFqd7fiiI8YW9DC926uz
VPeVDPe25qdbi9/FrSyDROVyl0pQhk3czm5R5TvREhtVLIaEvGfjuIVkkCoUM5rUFYEsZbImQhss
Cx2gy2gFUOlKEcu0wcGu399rY3w06+5QGBOb4vq2txGZ5ybb8lbHEpoR5c0T7aofu/uoWEwvU3jO
RHedMJ2VzNuabH5s6BBxk54xe1bEX8BKH8So7gDV3LUA9NyqyymVKgr2Pel4kUAJsdW62GQTgrhe
j5d+bVwn+ZSux0Fb2wxT9Y6X+9R0xFxh1gXaCXb3FajxMxkJomh98+L7dDp2yfyYhoSoRCUle/zs
qclseItoqG6rl3cFntsF1rPGGYpdynemBGtvbO4iYeX4GBbBLCygIi8S2n9f4d9e4fovX+GX7/lb
8RrlP9l4LD/4/S2u/wsMmQGMCRUMIzl/9P0tLniLE1xy0KAWbewPTyUWdhWGPm0XcJCwnS82lt8V
MN7wJmZ0DDHLi/8fqF+m9WczDKgD1Vy8NUj13Ki2o33CuNtUO0lQScpJw3HF4ImyVjG/+wPvv8RM
mZEa6sbU4k09Baz31aisb5w6U651e0nYs9PO7ZsgIFDhOlCJVwxxanwskT29MlBm6hrS3KPrk9jG
FfdLo8uZATLzykY4YksLR80KeZBw4yMIw6XibGpNf6QeTn0NqjTzKn0sN0WIpXjoYMPTwYNBsuDv
GnYluCP0+omqXCLRQSpXc9ibhyG3D3FMEGdA8jdDlOimU7ad3r1Q5akiZfCuSJ3FgqHTUaVMl7Qw
k3RnBRw6or+SOR1bGe+ANZkEY0sfb8ibFa9cnYysF/AoG5OTrCXUKVf363I9G7TktmNzhk1vuPnU
pl97aU63mvYQCdwmmBGvoioIVxhnr+MZUYJ55eWkAnGUQ3QaovK1obXVkqgiENJ52vXmsLblOG+Z
mkSHnP2ZaxrRiCGQGr3GrJjaAogfXDmq3Oslfg9Oi3JiDDSBKnTQvwrWFRFuSwFeIemL8XqWsY0i
IpLrsVcZpYfhzkkgLvgKLWSoP3O0oSQnR+Y38pSQFjVbqJkMd2bdzh3qo4VcNdJWyP2jKgG4Ihlw
i0mk3PJ+o9+ZCzvfg5Dut1lTRAffUuRlJIaGx5DjQ0Lkh/NLjcKma60Lv4LcJwyfW88BcVp3aPAK
UjHwNdFYWflt+cHMLAOzGFykfpi50MBPqZoUDKqyj3A2aYEL2hMta5OX2dQAi1omnoNmuJgJ9nVf
2QcoeJrXxxOZgonTlGVbEfI/Ti09bTQ74q7fdN2oKwd+gfab4lv3gy4u6UpQDhMdfxp9z8bZNJtk
wWpNAW50Qr2eDnB8VVKIdlFXDnWIXGgnFozWpq7M6mgJnK1KUWCGWbQYOXdbI0yfiF+sWnXUPLSl
5oAhzCDGEEBPFL68ShCNlcx5g0NwYcXZddF1975iXDalrTPiVcqrSUEf0i0Mj7gad4tK6VLWm96p
sQ/JW763VL5FqU01pX0xhQWWTbotqnFaW9iP+cwnOeUXZoZy3StHU4suslAG8LRM/zKXJZkGaAab
LgxuMUQH+ypM93Xc75KKkyQpjiiHCBNPbKNcJPI56Ej4tlZ0GnvaVMYcJo7S9hlb5srTrHTvtOZa
1vVzVoPiKhLNK+QHtF8eLdkGpvGGAISn9k2xCXT1pqRhOixjiIfi6AyjN5ChwKFjItuM6b1M1ZMu
unurVyUXqVNYJ58RDc6P+aOstBtz7vZ2J1cAUdYWvRPsaOm+U6jt6Pvn0DK2Vt1TBg36IzbluUny
G1nobw4VB26WLuiO6UYg9q2yqryEurRREuGVnGMaQyJPMDIIqNLuZ7V0YRm/AgO7o78H7mwS7+su
PM/FeMokY4w4WGRCGqALXFUcniHgdZaPVxN2Hn2mat1flpDQQPD9zB1V0ZbqETLbWQ3Ft9CVeRJF
r5bsUFOIlXSOl6AnTmVxykuV97xabDXy10h7wVmHtRL1wW6EA0u+5ALzHOj+6Lli7zAlowc1/kPH
t+7X2ko4que36Xudvhd+dzMSEoklyxTVwgGXP5q0XzeE5zTBMVqm/b5+ArV127TWRpCyNIPxRozO
XRrP+spJU4QReLgZYwDmMFyBvoIEpNIaD228iq54wm0mJs7AnleWhB0SNOHe0GDpzfWjqrWH2ZS3
llU+Al26CfrpusuYJZTvlaqGaFyaS2vLJrLKDRyNVRKIBfLkBUZ4zdr+suiNG93PPjSlZQXF4grA
SqmqO8Xpd7JRNirbwdgsLgDX39f8prYP99Uyy7WvgP5Uuw234lXjyI1mNAfDp+FzZL9R8oWNeYPp
iLI8IfTXoSse+afEZiQjOTWi9LiTqpUNe3zKMS/kjZeT9EFX28/gZgo6tVlJJ5tQ4SVBrSH97Qhl
bmfZW73tH7Iuf2rxOE2lvWe8CF0PikjR1rsckK1KPohFq7PV4v5xqNWHoo5vCkXb+tQhR37Hd+es
g7zd2a3J1WlvWcVf0wp+LGc4tEp3m0b2To7+yTfmfS6yQ+9rl2FBlD7vog1k9nPpq1je6CsY5HVc
QxXWxq+lRV9prXae7sh7v7aum7o55Y15041s1KXW3HaL6InKAIAcMoGZXlD8fEhlxTY+DS7r5UE1
F49T0tIlYm5LvOFsSenxGZhrLYue/Eil/X1dTgdNL44KKs5J8UmTQotMbxsGU0udyKFWVerrB69v
E148MdqRdR+3mb3XmdAtroqvmHZcXdA9ibstibQ3K1PcvK0eSfPv6dY78byFUlgnWw1AKiUJ3JdQ
V7xZ1b6GZlNuHCO5y0ATudVICtjQznEiYxocysU1bmyAbu58iiEGXckgtBfIu7VnBwPMgUlfJWm8
NsP8PAbWNvbHA3ubt1Ip10oTP7e1ifMeiAORPuAHvb3uOkAEBN8YOrQUq9LRkfKSAIuy6xX51vdY
8yJ1G4CziGjjzQsGsllDzCQY582Y5Udk2WPdmneFCfqhxkqRI2G0QJeVkHRXrtPSrVKwjbe41op9
qrSXszJ8xX372sl6HcRkaP2U3kfR1WhkvP5+mKX/pOqHSdIPNKrfVogMmCxKq2xs3Z8TN+1Q13Tn
5spJzXZRnLBbvVHYdP/6IH/G5f1+EBKgqiFY2n6L/fwwSaLIRLVMoSmnUb7Uw3bovo70mBs01/5d
3fLPFryG9seRlt/khyMVPgLp7HMkXZJEnPBqaOt53hfWl7h7ikBR/fqD/fTb424iLSQ0jcjSnw+n
ywKYVFoE5155artjFbzm6euvD/GzT8RqmcUyhyGf+ukQvmWPqkNK44wWGQ9bIILrNIzgi2wjduJ6
+xvM9z9WP/3kE2H0YtOCQU+AcPm0Y+hzq9EntY3OUR6Ak4aiuXRD/81n+rMW8u16+NNBPmkhDeA+
0/I5SFzXbotF1gl/27L+X3+M5WP+cB307dwyBeEIdXlpLTwwnB129DcHWaq6/sgN//VjfDo1ZTIl
ZZ810XlUDOzxnhOdRUSu0f5qRp7VnHS0+F9fDD87O7q64H8ITJtIWX/+WEkkswj5Pzrb1TV9ogxH
9vY/LAtd9owLfNgSFj1yMIs/fXU4JRQLhFd8hkhG3o4yHuKi6f2vP8jPvjqDQTaH0gwAZJ8OUgyh
bUcRDaF1+TW3LkJ2ikz8XMcnPX0UwFsH//rXR1yuqc8n68cjfjpZocNittSm+KyOCg1LD6RI/uZh
8JdqN8EM3wZLQr2CIDG7bPd/vOiaQkAGHrXsHF/U+3bPy/MSCWhtXoc3ppevo430lM2vP9XPLogf
P9WnQ4ZA90Yk5/jcW4yfyEbpDg+FYvfro/z8u6NCFi8pV5756WxZM4HRNkMe9yvHo+tHYuP49RGW
b//z2RHacrWRElp6IP781ZWNjujekAajfdkl5MBq8ykSAf3l8d98lp99Yz8e6dMDjh0xFi7bis+a
+R7Ka9O/rea/ebz9/BA4noHDcCfZny61SEt6KeYgOef5yewIiy941M76m5fqz24hLrbvR/l06pMa
W/EUcJQoeU2VnW8o61pszISWnPasJPCM/uYc/eVj6SjhCNeYHB25uL3/fI50B1toZhfpmbwLZsPB
Wlfzza8vg79caJ8OwSztxzso7wO+0LBKzwOuIvQAgor/Tof/xzfDzw+BEA9IHUu48elTxONIoT07
rXOTvirz3hqivzkvf7mU+QwIeib3CYM3xL0/fwYenfag5XN2Zp2XdaYXxvsoZmHqvH/7rv5f1+H8
/4fdX0BL/9kOgo7d8k39URn8m4dk+aHvE1nEU0jPy8mFBKUvS6bvE1moIoucyTCUK+lHKwgTWSRV
QE5LepBwgsX99vtE1vnX0lCLT5LgvM3V/49S7t/4/T887DCcoKmSgZT8dphB/rKk68uxofovNE7N
KFQkl34/TKJaabHBINKqNoXBbKhupwcb6OiqCcRrbcgLJhrJylzaveIRQHFbh0dwF6qbqznEWF6g
Eh/FasQOONaAXIVTF8TDu5fJyb+GEYmzLL3BuLlliHnQDf2mYrSKB3FajKt6w+5Dv8gzyvMCxb5v
mMd4qUMqfh78e2hWDyalgqhg8+hZsCjMwDhpPACcqjjYabVPzNnYz70PgDbBbNqHGImxg+iy/BBl
eNMNgXnIiWKWU/0imUk6zfxlhHnt4rPQGZkyhsPYka+M0vfUEdCfXYZfBq17SsgKebxVd3rHrrUE
0ORmocGiERXMi0rjKsmqQ5pQt8JG5qPqQzjvRCS8OZW0bNToxUF1is2+PIwZu9EuQotllJPQB0aN
Dr5M/6qxKNtBCJwxzor5Q4Lav+qF/TpHfLmln4XXOlVcbtjU72GrOpdxke5NR0Ga0ctpG+aNPDXR
iCvFHjhrpEQxdrSBl4DHpJ4vZ4gQa9YWkFXgMrIyd2K0g2s1MLTtXEKur4KIeUvOtJ3iTdy3GaR+
dUrjnWGMKZSoSN/G4VKpO1MQa42MbhCfdhmAmJU2TpDyGENv8Az5GzEY6RqYjE7rjJGtcyO+IDh/
nNv4lOQYbKdgXkWZ/PDn2HJjOxPseHHKTxjE10BBIJ10mPzVOJR8EdoEEKZytm1MuCzG57J1dGrU
sqCmI5cCwhtoenLblWa4NjQ13qkqBjySt8bCwFGu8a7QfTDzSavRYiTFenMjqSYByjpIdyoCttvU
GhJRSaKDiZC5xbd9N+nNuevUfB0qzASLtnwpUrBmUWhRpYk/+lA6CGQLQMed5uUrivT8aWjM+D6n
w9FtWOTtpo7ea30MCuZ6uXYy4YMxvQGlEPG9uwYG2Z0cYP6Fg8CaYHfRW7KUOqiMQNd9kCk7tY03
nZmufT9H+2R8CoWAwh00HKbVAp+3Eg9yVWOQwlQdW9ezNl7HY3djDZQUNACEIy/V0ytaYNsdLq+P
Np9fWuodNm2Jqzd10voyovTNMxhOpnVl7a1pgBar2P1W+rm40ZXuS+QUrbJS2w6Ea6iPmgYHp3wd
+K3sGXe/H8YpxOOw2jI8vtOUQYP4G1iMXp1DDlR5PQyThi+pA+jeLJtgvBc0cK6jPFcOigD1bBj3
PaKrB8rnLqvigx3n58FuSKTYl435BPXi2BVWzygofYcTcTEKhQkNmMWVHDpyHSQEd47T0jhEfxTJ
FfVC52hhGR77XnxUFGSS+0wvQSZpbu/YX2ZJyCmKZwmVMntrbEqP6UTdF/F0zYrwAhgbhbwLqC3P
JAjaSGP63IdQ3BZgQx+hUdf89byB9mk3hrmZJk6hVmWnjgBBOvpPatF9LQWPB6niwLST+hgN2vOY
WBZ2Dhy1DKWDDf0lWy0yQBOIGn5Gg8tj1nCGNv0l/OgHzHhg7RVxdkZbukWG6gFOkL/ZkvrokrT3
yrY40lSxo0uPOZ3wN7FaVKfIYbAd05fqKqOzasf6vfEtIht9tPJD3foKQT4z1xRYXeZ6+1oIe593
5iNjZxqv6C+J6/ll1IDdAdvZ8aHTTairnZtp8yq17CtUjm3oFHieAVgkQJPcvtB2SmXtpqECU7zM
76PhOu+yC5x4+Cui9KWVzs7OjSstKLeKqLYBtbacU1qYNP7bfA4lZrgm6j6ayD7Tk92u+2Latwua
uluw40hJVJEqvAuYWxvTMWzT6wyqtRaFd4y/1qGV7+wFe93Bv04jfIwoGOQYwD5kMLJ9qpajFC8e
ElEDQxvv0bvfgarmPaZM20bqjcStkqReYOU3UC3q9X/XRt8Ua+gIv1gbrd7T/7mCQPiz9RE/+H19
hOsVahptgP8u2PhhfSRY6rDr52n2byDw98wmKycVey0xJ/yVKpr19/WRIM4pMYo5LLUMk7GR/o9U
a9bHf2wFTRbPGgwJ59sO2mCX8WkP0PqETdI51885t4OaRBd2QFaln367RP7jPkCXrBB/OBCfZNmf
YZWDV8GkA8f7nxfqdGknvB2SAR0QCnhLdatYozotdtyIDDxBPIWOspXWFidn6i6qpLy39ZqmWfxB
HpyeFjaKlhz72nRWIA2plZ8Yb2P2X2DG9ePQlKWXyRBpaFnWhE16W3JATy/Tc6GSI9XsHGt/pVcr
SQMr+C2yBNksj1WGc5MFnZdrzbxiDMRSIMk3vtVv6HJqVx044VUDhKy0xYMi7UtHdA4CvfEIe41Z
92je4kS+UbKR/Kl51UZqj6bCY8IiJ1M7/dXgZwFIRw0EkUwhsBHl0BcQede311S8bgbRPTiyfodr
8xRk09d6ISUkuOxXVKafzdo/WnYWbcBK7yzHr7dNWHOG6vq+sIJdJCnAS8PwyDL6Bc9vsukzFW9s
D/UuXQBqRDd5N5NV32jt/KRlyHCziE9CwsmcUsqbS2NVWclTZyP3NMFlMWadW2jTDVbcLXBXwEiB
wgKQ3u1BGBFmJCq28QjfKlOZellbSc92npwWSIExrroKaGjTCbIKPNxxh9PL2MRkNbsPOSHgM5i+
pIsJySZn/VkxIdbs6UofSLKhEblDqEWbREvPdO3GG/JT2zkTl8RcCDlqYuv0fLfhAplTLCJFZeU8
QYTdsVK/KfJ5Whlz8yWy8IYF9K66RotIMnR7zUz6VW2or2qKLSAYpi9pFJnb0ZhP+oi5qwnjHoWm
ftNS/U0fUkoIRm1XpJTHMUWnkWDYslC/zqjJo0HKurANVCMrzV/nuHwM7Sb0MpJsdAHEK1HZyW7o
jC2rU083/A3vYRpgucQwnAkc2RoFfs85Oky9maXSTp5pjcTI1DGJIDOR/2t2YqjylWoPGw1LAy/d
ejykqcm4acJO4oMGEMbboDr7/2XvPJbkRrJt+yttb44yKIcYvEkEEDoitZzAMpMktBYO4OvvAut2
3SRL0HreMw6YIRCA+/Fz9l47FtpmmCFFMKyshscUWQOlAemC80osbrt+1GIvTfS9AepAo8ruFg6G
U7+RaHGrpcpXeI/YjqDUl9yNFIMDeNy2Q92GvUSm2l7JBWUtBkCnISBCoTJkpsI+3A7xklwjX6wE
0+YYVucwVoN1W42kaCyRy+2pSmBld+1Oyu55DpCWjm6ChkClA12iYOCRNYr0GpnnMVOU/ZxRxUdh
FPnzOHHeGuIvlpzyVSITYzX22i2e7O2IkzYl62I9Qp8qmH3KxkeCuo/AjaWdspss+21M1NdZ4Igm
lKpdTYgFzLtBthSp/aEqyflaNBe4dPQNTAoUKoAaZ8OXhrkbdAOxTMSBYK6GrWEn3UbVOCaFg/la
mAQSjqX0AoX+uSmrba8VV1MpX5qS5MJ4Mh+7TnXOBI2Z9f1Cqw0dswl2pZ5r2a+W0R9VwssqynZh
Yp1YHP4Y9ZY21adOe9vinAwma7qW09pemdvgMN6V532CYv2teIIitqckWQVH8hh6L9ka+08b3PXv
+8K/qF2uSzyv7f//f3/utvD2Lh5PVFQ6LZef2jlN0ItBsfr5erDfqmDvwrp0x1elzP/jrg7fc4nH
JSrPMlX1p24bwge0FURfX6OwiEAaZ9lXN9zDs/zF+4g/bUrfryd7oIaPnrHPj5ezBsIiei1Sry1x
bCxA7Jg/zad/vmbfO3X/t8X+/pt9/jI/vUkfqWqrg2i/HjbtI7pWf9ipXxxvEQ6fF5fB6rbxOWhv
9N3DxfGy1WU4x5vH1g/8m+QgVztYy6fO4z96KD280n/858+nLxfz58+35GrZhmAQLn5uoWX9PBNs
omrXdCMuwY3qq2ftKTzoOObXvTetDi/adlxf6o3cCfyGR0ANNxzTNmD1f+95/rfJZlIN/X2TDc9V
9/avNe6VP3falr/8o5IE0e5omgDp5f6sfSSnjT46Ta4/Uif+l/5h2L8BjXJIfIOnR8P/s/bR+o27
UzBlWBxSPAH/kemK9twPNxKv5KgWrq+lLF0mqItf7PPi5AYgZkPHqa6KERYUmbHcuXq2GOaLp5jD
iK8nzaJipn7JUhtBnOj2tdDgNao5B8BcHiSWLVpObKWd2u9C9AqC6wGnAAFwWfS0CuiZJHbyLgM2
Pg2z1AqzIWrqbih8OxcO9czkXkd1/iAaZEK1RPcs0vk0ETgfhl0J2OgpSIz7nMneFfpohVAlTRKl
YNMHYsc85Fn0FJjEOadIDJ20Y57Q6181pelRWSnyvqjdHQ3NY1KR4KNiWQYOe1trkvBbxoMgGy4D
7QtyG7cCf+x6EAQCAwyOWtGsmqnkuG/PFFEGwS9utA7C9gMDJGrsMBzoNkzN2oiDbRjXdyYhDbB6
AfqZzaptmng/ZParpkHTkKO8gBvyEIAucilKsH7MdwhWNG9M+4g+R0ohO98G9G52QtG4NH08HLMY
D2kuwgvhtgfXSTnOZmAmOuVLkmTuKq5rcMmwtOQsY9hJnO6VIYVYEJEG2s/I2jLnGiwY1BR4BJlN
l73rjNuksm/L9gvD+W82L9dPXLK4xl0aae1b1FMttsyCV6bdoT8xaD8uElPD0ldlNmCNz0yGt1O7
wNtusUOV13WunesxGX211io/FoCCUfbq21nX7835O37NpYQXDxWx2Id6SHap3cWeVQcXmBbDmqTn
DYfyI+iNaxmUXpfRtZPFphxxH2gifnLN1twWo47SY3Emu1m9mWN8Y/X0rJf5xiyGV1NO1T43htuh
VWagS/Ir7zz6o5FhWai1q4IQsVWtTdfJ6EB+TKOz2yvBaTCad60JbIbsmr6PQ2BXkZLbfm33LpHl
SFF8dWZmJAKMEQOwhUFBEhiW7Q0+AND4NjEnLheoRg5mOV+cypGHQRiY3u1NQ3nVUVFOAo2sETQv
LvUkDn5E/GnFW5CKWqGHayR24l5wiR0awEoezQ9GVWorU8efblT2nVNbx06bvi4hUp6Wilt0oeHR
mgd/zoeLDkpCc4FKkICGeL+NviRz5e670v4y2ktDz5mJHxhchF5ae9Phj+ZBPAcpEjpGiRVWZWQz
BDcvPR8fhaXJHe70K1qn/AUqx1Uhw2mTaMG3rAqus2bqPTPv1Ksh6ol17gmdgrxzrPVC9WfVqklG
gvqn0WEKioNM9NaLA/0lgQG2AnLQnSJTUc8GfIGvNETT+1LFtwKNEOqWlkW0d78vyv/dnZby6u93
Jz/7l1c2+Ov+vDktf/jvzYm0JAI/cbAZcI0Z9XC+/2MMRMQyBQZ7zwJmoQ3yB5rKcH+jw2ESPKqb
S5Pj8+a0QCzR+TDlZ1uhCPyPNicmgn/anHgd6mYIR1R6vO6Pm1MdBiNL4YC/DrqMXAw2A04bhcYM
qtO2uVbmxYbDUe5ZmATCuyTJrzpbsXHMMIZplaE4zCHjGwgMDQcx8wkkne01ZLetK0btm9lk4pEv
hiCO7M26M/uSxHt3WNeLcSjBQdQvViJjdCKyROwHF5cRZ55iY804x6CrH9ir4V7hSUK//xRILPxD
Ut2RKw6ZSIndnaYieDI5phnqkXb+pUSju2TjaSu1STRWBg0EM46oTMZbInjndYlXCprhS9Dph84i
9zjCTaUOYbYJawu9hMRgw4zj3SKnZNctNqxmFNPGLcevVml9BVGdeHT5e6/FveWOxnOhl9B5+6xc
GTi89CG6iRbLFx8TN3N+lbLHOcZgI7azyvJxTCa8gKq2TTUyiASBQzRtN2FJczOAvDcL7MQZdIAl
nKjMqq1JXBGryK200nBH6IhDZp5AsSjn2UtixfJ7ZQRyLw0Y8/pjTBTSsGQioasqmVIAPykq9NQJ
0UnZIPeG1b3mS6ZSbZCu1JPiMs/kLTnq9OhkzBSux5bkjKobYQZlHNjcU6RU3+YlADlgI/LbpDcp
Dpata4lyz2NkkXWcuPuqnlDSpvoD7VnsWAs8WnfIpIYI8TKriGkJf3f7+97Kwgu5hNVhVvPGZciS
7oBY+zJRbzU4iRyBHbyYADNXqRo/LiBNJg3o6Q0FeJ8RooetrGr0RIlXQ1HK6xCJ+soC0Kxb6r2t
YISUCSbGnrZdZh3MvuASkyYTJONTJeIvtpGfAgWNYaHVCHwaMultpX8z8xZcomm8KHr2SvOHQK7Q
3k6uCQM5Sna6CoZzgfOPPSJu3SiwUTqbCbP0CHEFP8PJCuyz1lMSOICY8rn4pgIZ9ofesVAJTzTt
01CsBiX50CzlWegMD6LxNou60zQo98DAXjsOc7Sw4Kn0yhHMx0U1goexSI6TzPm1Av0xzAEWRU1w
H4z2EXIxDkM9NDdsX7TkHfeCjPMlsOWDpVI5ZWGW4Kuj4WPH6jtWmFvZJJewajZ6sFhQ7eFKauat
MfFd8iC+aVptDx5pTd77IcT82VvyWCkCUW33uDTTQOozkBRXcJZ2RpOjF8Wtl7bTM14HZ5uESr5K
Y7rsLHOEj9UKA91lahKMAxE8cfPctPkBkNQ5NXC3q/NjXzDhG5TAWNeG3GP2j9H0LLNOJbtlIPgO
SZzpQZo1q9ly0Donhk+L38G8UbY+QUdgqV1yME1ArkmVJ3s4N+uxxR6oM/FcVlxWKa0EHz5clz39
MZ3o4k2PKDxUMUZqBEOqXALWpBtjss5J734ICzx4ZVsPumWeDbNO1kbPAAuuASE4yxLXRLM3hOqd
7habzI6QOFVtvmqZPruayHY5/FEt6+DJ5p0FfWl86ufwDob8u50zpAh150yGMlVsqCgbusu30M4p
xUMMDJNuv+skefhakeEcsSp/Mqiw8hhhLivpJmVI0nQzurR6TtZxo90X8VAQLmfHH1WkXKxyGHyy
f0lji59kNFw1brSj7P8206DxOxC7TB9VpsE1ppW4FQopqu2cP+WM2cPzrJOO3lnDQt8TRyIi7t3F
79cszr95Ll/LOXb9yhwMkqLn52DA+WdjGLQ6pV7PfYPcMLtEWAoNrIUjFkNt8RoaRXPIZt1HZ0/1
24kbrIXn3lUQzS9OxYSiz8G6qCrYqJrFzShkoNJn6u8NjI5xQIgVxsdkcUCmlrNM3uZnMi/ObT09
5kLeVDK55n7gImCjzLFTziJS8RYzxx7UYtsvnssR8l+BCVOz2oOKKdNUx4cC2GKAWdPCtFm5gJQc
/jEufk47s2gaLh5P10IrFS++z0LVuxVrrIeHaldgDW0Wj6iNWTRMLHLtFv+oWJyk2EnxlOIzmWdc
pkoK+uG773RxoKJ10PdMKGOKavyp5eJUTdUGGNXiXg1HmtiLn/W/VdnvwycqlL+vyjaMNf/KK6ny
V3+UZA7gT07lTIvIU0ZO9qkkAx5O7gNVl4UClbbA/5Vk4FscYaOj+T5c+l6t/VuZI4h8x2JvC1tn
nIPu6j+ZPNk2rYxPjSf6Ba6OURLqgq1BjBHGT83MNEe3MHaBfSGb9hB29VCcO6lPMJ/yoarINYj7
eevIFlxVlIfjY+liZPFKDAOIcZLoZTTauzyqJy9qi3Qtu35LGJZHl5i+ORwuziiYLksX8iX2Oh5U
XA6T0tZeMYsL2qSOLr7yUpJBgRLnCcOKlt50SGHuUEnssFABSggWI1GLrz9WMJcVjiR5pkb1oYQv
U9VF10EQxdZ1lE32tSgcRgEm+cUG3DV8LZ4IcrW4t2zF2ASsU9JvRy0gfEhpo/ixZyMeMPnLp1R3
I3RHabmLoySZ2IKbs0zMg+zFrQjNiVFy8ajO2X1vMkwvo+pDX9jlVoQLsyPfvukS1jPjPSoSXA2K
ebF6HRz5+NhHsVgbFITKoHhKzhIQLshus6o0z5kAC7SFbeIWjJ4gRDtMMVIgyuIudcilSSqin5X4
C2bE+7w3v6pmEvttzkURTndjG2BVQ5DZO8nro4St0lcoaOyTMt6pMxOEehkE5ZlzX2eavimLtAC7
3Cng2vRdRBZnMQyNl8t4b0QQ0ESO3Klo6Iy0alrQJqozFo7pYFT6TaD3+RrHPkBzU9+RFqKtdSeV
axfq5Z4wC0ZYvfpFLWkK9G2+VgIRgMNut3nhvoVRebRc+9gapFLHDqIKY3bv7ABtgRu1WJOUL8Kd
N5k67gn8vIQN8hNkVV7VzNYuL5a0taD61pXMDaxY4kZS8g8ZuSOhb5i+XIGDyh3snbWU/txeN6ZW
dwBry0snEoW6kSOuy5CPpsoqjDQAi5Bae3bUFXQtsUYo1S7SKy8S5XOf6A1doO7Q8Qt2bb8RkB63
o+AYbql16c+Fuc8HolJq8aS13YWwlnvMqemabJ/HPIxuIzOKvUolHiq0lD2LtrEaouZ2soN7dCE3
c93ziGgQeCYNJqIbx5NHr+K6D+bdlAUKiYHKR1MrYN1MIkwmwSY1azA0ZU86YChaEgRVE+fMNB/K
yr5KpnLalI6QINgKfH4DbtvalCeI8l8yCGZx75Dw2sZnK6kIFlTt41SiB1Fxv5Hmir+RB8AzteSt
USu5mdzuym3M50GJ8PNxZ62SKbfWUW98yyegP2lV3vZzte56m0jwmlgYe5xXZlGitEmHBx0B604x
uTuDpaRrs/hrNukzm6P9LKS405mw7YcyZSba6HuOiYaHw/wUDejKLAgAAFdNcyPr5CoOLeJu09s8
Gy6EjiiMJBeISpL6ce5e62FRb6yM84SsJHPTZpxWdWHdS42YRrVRvwW6+aoa2Qe90T29R/b5sOM8
oehfzVZ5bBPbXed5/pjLTsfn299NU6dtYyt/KScTu2U5CQjAU9SaB9scrRsjcSqbbHbse1NUvxuy
ANIhCEhdGCW9qM8WNil/TjldDfN7Y+gvteMaO1clebty7eu5HwrwSNgIzQZdmEVe+Apb3QeYg3av
2t1dVHQIR7BEYWUsp1VvpwlrrfFaWeZdlwNYkpED3KIPpNf0dGWTqiqgXqiXAdq9z8zx6zBPZJsJ
KstEH7whKO1dmhbuelDMbOX2NXZwlRMb8q8PBr/5WmtJx1UDKS7xSNTJ0NYj3Tw98gy9vpX4YQ6T
Q8aBRkMqjYuR3ykG7GFMXkzQCwLlqDoTILOf8uAVX+jo5QqIKn3pTY0Gd2vVJB+WXXAKC5LZF0Ww
CU1j2llFU+/LytykBCJ4kW1lG4fYrRXr4bwFxPvaOGJTNArSnWBbUrLf0PS0YIzELjAJqULdy90N
oGpC34H03FiFXm3oBO7r0DgldkyKQ544W87JwGdoja+DYZoOUd9/SWGubKKqMw56ZRC4QO+KmO+w
2EVFMT/MMue3kZOyEeRVrBSK+1Wog2oX3bA38oDZsOaQsi6GY5i5h8Cdj0o8kzGjcb4JUjIW8oVZ
RltPsa3T3HLSi3rSIaj/r6s+ui/wzLIhatkGrgtd3Ehp8Bd2H1ZNNGqORXU7OsgrJg04GqwRWupZ
dN3FqEGCWfXSMh6wJc5HowtO0Go8Et+vB/I0fSNZML70KFax3VxckXw4BHpkbUBDwnY5plqKAPUj
QIM4k0/CJEPRGaC1qspHrU/fylSh+xffpaBp1pAbLJ/JgLVqzOprRhh9mKuwbw2zhfds8pIIDz2Z
qS8V3rbV0MeXwO0JmwDV68m6wQgapMfCydVdMibhI65rCDPBi8VhCnRl6ttZ/g2l5gteG1Kiu0v1
fVbf5R8B5hJfcxmcu3n22IMFB5PDJF4HZ4xXWfWULD5r5JeixU2PGQiYtcmeKpSBBUzTvo5OizAr
ODnBlMNzmA6IIF1YvHCzRfGUT81lXDDI1pTDH0vMNT/ooW61o8jyL0rlfJMjx0eLDkpRYylok69I
UzZtX3bb1q78FiInvm/lUU3U0xwe84SzSm9jRE3f3D55j1oW34Fo26SxISaSIiE6zOitBfOxlZzc
Un6enJN6QutnnLmf6Z5yLNbNrwZB3ytEOndxEvKfWcCHHBFZk9EpJoOZVBMn3lK5vVKB7cG2bmoq
Hfr+FtbjMl/3VXxl1c4qAKiJDfg4VmOJhyg5pnSttkbefZBO+BTStV1X5CCodk4WRPGoGWx4YO+2
ItJInHWMC7qHh0ZKjqMtGdELib2K3dPEyd0zyCjpFfwpdiI0NCv5FsEe51I98S1NMi8yKqITSPLG
4cujU8zIT4iQucuHmq/mFIMfUXeC0Y2Jm2XuUJjN3jaig5ySbxFzgE0onatJS7blvG1d+FAOgIrC
08aTo6T3UQYFmjzXfI1Ia5vQrV9NNoWMMb8bDoQJGb47VnwydXyieHIjfqz6DWwRQkpdJoKNeGiO
PD734RKMxvntUatsojMAVbSN7+yMMNvpSJsx7XqBY1Q3hdUQtaYWsUV4BYZd5SkaylKFVV60zQFF
imTkEMvBGUhvHJSJkD/xWqgiVjwzQNsQEvIYe46bHrCW8ylSAhM5c25nN+RAXyobhYENNHhFbmKz
9Mw87b1gKJ8RD85+4eABG6ZQ8zM9eTCa4k6a1rhBa/CtTponM7YFSkONbwoGn0i7fWSbb1UxXo+x
C33CXqY9cZevqbvadZqagOAlJF6FxgjbyURdqLKxYVi2+P2W347avHcn0nujU92Qsp5Vpoep/jJ0
8ZXb2ycE/S7jh+RNcyevdc2TNk9UN2X1zt6CoD3LgBU6D20cm4euV7/OMEe3c4IdfxqcHdzya/KC
Ioq8eTtylFhR10jPCoovjcx3eF6UNbpughFb6wRn/1ZPB3z7zJZEXsod6+7JlYh4JsFmh1x61w88
0YnOG4LfWgMXJI+RqUTTomJHVr6tdKpdV0tf0xraQXSVVnA/xAR5wdiLBhG16wwXhZReWpRQIUXy
BWk+A33QpnKKL2WoXgTjvqwYLibkAFp1ylx7TaOEh0Etn1IZ7rsofuns7qFyS0QsM+z8Zjta9h2a
HVK8cgAJ+mtcaTu3VVgZ83A/T/a8Jy3hlQ/4AMofayG1oB91FfHHufJq5iW2+nkgYK5OjmOUksXE
/I244fksh4mAGkuDbquiqoFXLYu3tHLgWYGazSf3JYMQEBvRUy7pgf73QP/9QL8IQ/7+QP+7CGD1
1ry/NW9/HrUsf/zHuZ6pCV4WJi2mi69qyQv7Y9Si/mZxOGeeIgAkaSZTmH/rAMRvGkd6knex6vxv
N+Df53rjN1hKFgwecKnLGOY/Otf/aPlaTvWC7oBOtqRuMNgx+HSfVQBGhEKeWHPzEkFJaS/j+PLp
svyFBglhwp/6BjQu0B8ZeMDpG9g/SUn7oDU7IF79pZ+Fr+vVt6kyCZFKbkXTfWP2ylSmiT2SbnD5
KMVet91dUydorVkJLMUCKcPTXdjNTmnV+4Q8J7OtviiZtvg5Ecc3jHu6VK7mKLvSOGCmJ2PoauMq
hMcjsRcO9AN0Yy1QGUwbo5xmouBVsR8Jd/wmBQNJI48s4gFjmwiFOPtS60uwOEWYb7YETzRqqDwn
cBBhoZoffTTmm06zw7WZRvVRcxlbMsy4sitb8TOneXab0PAZMLFHmqZk4szB3dBLoosbTs5TUyCJ
jV9TXT8JHbiIm08nGXIyz4pyVxTd7DVBTdJPtjXm+Iw9w6DVWbwqqqTzb47f8lS56iDasZXOBGzC
Jgqr7s5OWILUam8gsUxVZVdU/aGDML0GvXgzps4hgdbOntOg100PtW2/Bdog6UQnuxDhep/Gbx3Q
Q5iG5gpGwY6wqSsFMgS5Cl7ECBfyz4F1fpfX4mQWtUAnMpwzIiqt3PCbiqgDMB2r0nQfk3jGFpVm
102Aj6id6fzEFIK13kEASojSMu+7jEhEvFvgXWfzLjZwUEftiLbeifdThkREJOB3gsTaqnUMemVR
u5quL9H88lvAiS26YUOu/QG8yhpu1ZMJ80lG4mK11kvbzVdpbN5GOWCTfsmWNodzJJt9Ocl9OCZs
06hKc1cyeJanSM/uLA05XJdkT+zcjzh9nqyg35SNdXBmsVHG5pV2AZO2zt0qRvtS8uX1KR+3yjR/
STNgNXa0bgI0L+l4ovfrrPoa6g6Dfl7UwUNhAg8KLfuVp4BoguQlDJZYyxYbDRki3Db1t6lMds7S
FDKq175RXxRFvWvtZRcOEm8Y3bUqsvc5DW5STA/QCMNTmizwD7o4K1Ox76PZXdecHtZkUcOYzPN3
V0OjrVQRkK/ZFmdnhEoeE0PnKRXboLDuEtd87qs2ZGTUgPiplqcnkXeqlhyVnjpNrzFPCIY9JJiJ
29EBl9VPfXZkykAAi2W0vptV1N1mHPiytS5hh60mFhYxIE7oEUMNycLtKOk0YePIqKye5xtiJ53B
SQmwg8RDjBEvtk51ZYHo5FKQa1KFZOOkcE9Io/XofDckFCiq381klxVdgGrY4YywQNePFZ4nJ5r0
VVc3R0ahV5VZtRhHRvQvBgJWTa/bHZ3WxA/j/mRpIeVMWhVkcYttMM4u0lVdW/VmVvklsggSZOPs
ys7UDKmT0t5AiwIQFlQfYp4em8B4s9N6x/oGyVjL164GMGzKlFOQ6kuIDT2t1BLwhbMyvytFD7RM
o2lFSktxKwd8Kbgwr0zmo6wsa84VHjZKuK9VcbRrmwWRgkqzF48KTpyKEyVr1CGsg11m1JA+gTzO
3SlLlG0korOaqU9pMzACUg/SpbdfjOmrmQRi1WI0kU5gHbUOrlJAEfjOdFlfz3O9dBFrmd+nWi43
Q2ygmC1jPHN0UiJnTv05jpvz7KQXQ692KRJjrbba9WIuQ11OnpAUHkveXicL3g9Bnu6zaXiwlOo+
1zlc5Ks+81q8ff4kOXaz5vQHqVolStylgxgr31C7qDjpmJvzdqbX0K64gjFGgOSU2sOOIJphC8dn
2rL0I+eqeQe9z+6L3Ig9FKfuoZ+a5JAl4aVAaIuWyXD2WCmjlVna96IuOWiZpFSucp1u8WQGAaKd
+t4KpnunEPMiaaaT1JfthuAAbWXLcdMRW76l6Ce7b6oxc/KHK+yH/XMTZ85mdCZSW0DrR+xKUUeB
WvATy2pjOHnjTXn5Yg3VvpDxZrQnv2+J05zsQ1pPD2qU+EMMjw3O3EOf6fcOLZXjOOFiLcn38cog
Q3/QJ6CJVPXFsFw6W6NZP/cWTd6qJDmYVKr01sbQtmIG+awvoyIy70fwooqLSFj9ldPjR50FOkNG
/xBhsHnYCD6IsP5x+wcQh0YwTIpLt0Q9j/NeWPJGNu3mn6sA/a/fxwSnbRsGj/3PRUBnk8cFrv2S
Z9m5tfQHVqVrBzIby2WzkpPLDzBluwHmYeaku1aP6PeRk6QXR1aqkwhaKOjpTQTOy6pV34jI5iCS
C9/s17InTX3iETBn52KpIeXaH3XdXxQwf/nJEVDjjDYFA5plLPJJwy3yvow7Ny0uhDStwgn2XL6O
yt8j9P7WcOMuepZPqt5F7+liK9KZGXKNuNF/fJeW8ImJQ95wqcKoxTBh7o2ShUGFp7wB6iYWntez
UmXlDagOb3LVvXQk0WhTxUJl0DBOcmBcc3/TR4Z7V7Ar9SWHGJWEKBPRx1rojBtEGV5ihbyKAOmH
1HlurBzJxbSoD4WWvaW0F7UsjLezrFdBq1l+lMVoKzvjQ2n0jcDpiuOt5tgGxX9d1gbuWw5GbEWU
NpG1r2f9a2yi7OcA2i9DnNHOzhMqQBrAE+ZRTSZnNUJxMY99RN2EEDByESpocfgY9Fp+X0tCIl0t
hNkHb7q1qm5H9wD/HVucBolyShhGV6p+JVQMN+OMbVgzslOgvvVkxwh7z7r44igZ4gmp7abEfMmA
qPlFVcwMRTGZKKo3m5QeI4+ZZ4d96Y1KvkNtwYlZGw9M5N+IZoo+8NpsUbTlTF+js14u2XNtvYmN
1l31+nibW1Z2cbHoatY8Hmu7Pf/zPQdr4S/uh0X9y+3gkAK3xDJ8vusAVpSEjIrugub+zXDb3MPq
kF0spW5XrKevYUswCoq/tWbRkY3RI7CinrkqM7KU1N4BYT53zOrlrJ9F6TwbJlk5bS7qDR5iZhNC
RxAQEwROi8Lx1dLMd/D3K4+ZA5arRqEeYSFS8xInuajvwpz4Wy1qAbctsv4OenlR0VzP54+mtN5w
kIn1oJX2usn1B4sANLOdQg/lqWeVLakGsAlXjbSeE8fay0D/ArgJeLVkGXAz2r3jfeAmJ3toiBoy
7ujZcofQMp/0O0L2zmkS3dWxuM1td2tN3bNDz4L5YKn6Vt1TC5Ly3vYSLalAVmkkeIMD2sYIWt4U
7ol15RovmqE8a9FQezUhJn4EvW+YyexRxpKJWrNV1WTv0oPSS0iB0eCZKRGujiOPNlRviQyNbb5a
UrXuDVldXGcktXR6M6T6URvNW2FbPlqac9oXXjqkV0THnOzC2sjSpHlNnGxc2GDn4pu0UtL95Mxo
IkBUZoGXVxQ0qLA5l/AwDop7I+vuG4rMAHWpSgpYsuk6JkFWSyYPTV9Ns05Wa2xhT/EraWHuE+G+
BhpfYUGLTorGME2TT2UJwVHBjYZTh6HaRk+VY84uHkng2RqU1qol1Q/qxt5kRkQSoJcFcoO5EEZ7
Xnm9UhM4mypbdFfHGU2S7cYkKmvYeVqVRXdGP5doDl0j55qG1A5W3zGU9Qm4H1VvlylXWSUr5lT2
wQyR6zAgpDfPHM2oYm0tMcRHlTwrLaeEjOkxdvwS/xzpZfg6yI6V1DEXgmksJlbmLrCHp0olmDVX
z5bADAvf4ZREkpA2Ym2OvY6ArUV2DrAwKLZymL2KumEHaLv1cBntmoEqxC6ROdvB4DMu1H6xtf3i
STV+MtnokTslbpX2F3RwDEjOzDnWI1rpQF6lzVnjxPLPa8NP/o/vO8WnlcH4aSfVESFyumBlKMuv
mv1lGG8H91SEz9Lc/fMbLaqCP+1JlilMHREovtbvBoJPO59su6FO1GG8zIRe+lU8tktL+l60YbmP
SoV7jhTtqoohwONWODu1I4gNLtEKLh0vyeuuW035ZqrOzVgYyKqM/lGJy6tSte8yyjdOPeuu1Zem
2OgVXbjJu/iVvPEnJcqq27CnzSeiqNvmoj+KRF1RWPiTBq+fEm9bAO1/cnX3rpohBBri0BvdPjZ0
4lqmvajcK5nCFmTbtpX0mOpLpJ6yUiJnPVbaU141fpwFe1nhMM9GjPcif5vVSawzGb7Uo9s86WFA
DExrhL+4qj/2W74bO9zPF3XxbH26qCi1i7gJnPHijK/R/D45v2AW/ur1f9o4VCWjRg7T6RI7d1WC
bM94+MVt8c93hfXT/ZdbeaqmSLMuQr+OMdtxmdRo+gVOabkKP5dDzLOQJsMrFI61FGWfrtJot5Kx
Kt8C6R5YgE7m1CQPUCp+8WvoP97j39tfBl5cja0Wig2V6Y9vNCUxGve50i+UMR9sat59tgk8xR9W
8fppVaye9tZ6OL3fxuvocfTfMn9654lud7+y6ulLn+3nb/zpsf7+QT99Y3eI3coNWUa6zeCpa9Uf
7/ptfhNtXN9lDr7RtlznDVnsK3ArvutVg29eio9f/LZ/9Sk+353L4vPpU2SAPR0MP9PledzrPtaI
jXttr64w+0be9kmsTzCDt+4l2oy74k7s7hlnbscd695q3sISbz1aZ57rKad+V2zbK9iwwD69x3LV
X9T19D/snUdz3Fa0df/Lm0OFHAZv0kA3OrCbOU5QJEUi53AB/Pq3QFu2RNtS+fumrnK5ypJJdMC9
uOecvdf2jZ2zKw9i29zmm+ufv/TFYv+XD/D7l/7pBC2pbUxEaMx9uUIcu2nfqk11o3i1Sy6HF3nx
utjk+9K/eD1b9zumgqOb7JOVs0d96vLwWQOl+Bq4dz9/VZ9yYv6y3M1PT4c4LkFembyqaOesInfe
5n5wg6wwBT+0MldYS9xplflkpG3VJxpp659ff7l9P99V36+jT7sNW400tdU0nuS5XFtCHCCkoAYg
MObn11l2lZ9d59OuY5OMOAxzNp04U68G8SqPW2G+TNq6xnMqVZufX+3vv+o/dofPxaSE1kcz6qQ/
RWRMTsFVFV7+/13gU82H6j8zTSYup9Q4qAl9QMfyfn6FX3wx1rIQv1toxOrYBWk306msToRXbSr1
YUZN/vOL/Opz+rS5tUrWJgPu6NO4fCtz5jpj4v78Er96H59usL6ciedq8+kkCOONzVMOWRq8288v
8ou7y/q0K5lBKE0053gaEFCsO8hUs+5c0yBhYZ9KhIq97legur99XwbiSVLzNGgMny4JIU8Lqrjr
TzpihGSTkkGTmv7P39bffj3fXePToslCpn91pI8nI9Hp31/m+S+6Cr+6wKctcQazpSVlPZxkNm2a
0amW/eIO+3g+/mzhf7qPIUvZapBxH1MbrIjf24PPP1IiuHviNdfhOaie3zLT/rFVspiMfrrXLO/6
u6UD7FqDCh/xjHqgMVywqx5Drr0Sz8rZvBtWFzMUCx7dxhr90sq+lFZX5DPxVL94rC+0PVV7tErW
U7faYlvwf/Xy/vZB/v2W+/nOiRu4TgGLTjlfHuTSqgVDtisUd5X6undfrPbyajq8yy8UZ83tdCBx
9xe7F0iZn39Cn773QWrNqAbLcuq8wZu9JQjCXDmHzLtyTuaZ5vfeo7oJVgUd203jV/6v0au/egnW
p+eeBPdBL0TVnaRDuUL3Na+Sr8ZG8axD/zZuq3V+ZvmSL72Hj5o7+uk5mbxvP19dH4XXT25N69N9
kg4aeWwFt2azGTf1CkzYcqrbpe7NsBt3O9Rsq/nE8P5e3pRevql86wLthdevox2+hKff3fL/fN8u
B+O/vJ4/l/tnGoMtoa+jVO5P9Vr3TR8e/biZN/NZfFBWrziDN6lr76otTb0zsr9v1wh2+Io6P91c
x/j60fGvPz6h/xySMjf8Hy1e7xm3/m9EzNNz/va//+Nnb0Xx15H98kPfRvaqgtXeZCBPU9YBvMsW
9MfIXv1CraDzj2LQp12Ood9G9lgqZVknUPt3eyR/9W1k7wCBgnzs8C9KYWgg/0aKr5jLrfvnrUTV
QiP9w72v2jZdaX7dD1sgWd2WOva2c67mDeM0Q5krv9HKsLjUpCJSKZvzNnjCbtRcaojczH0+xIU7
0ygwE+esKZwUpVf6kuIRIrmC/E+K70nXMYVUWjbmbrMkK4zMn/rBuURh/g6PLXathpy4XvUlYGlh
GyMzrn0ZiJoNTG2spK0UZy+M4zVaMeVZmIjLdOGvmV3jIdXeWrK6lVGqgxkULgw/CSsLFYHinFTE
i/FCdWOKm22YcWynhfhWSMpLAgJurAdj19jWQwUcbm7EK1Kmo+00GU1x3tujQ4+uW5hy+PXemsle
MgxQ2S3cuXQh0M34mmDNEH06KFuimA7DQqsTC7cu1aRmDbe32Mmazbst6A+35XyP2P9oz9DvxMLB
axYinoqaP9LhTWp9uGkWap7ShNY6AaRnA9TDXjp49cLYU4Dt5UD3iLpGsFuejwuNT8oDY5MvhD6I
pDuxMPucGACcArbHk4U+AFSA7cfMliApiQwgUKxweabL3Eh3bUizLlKTr1M+kB+90AKbMsAXSfWt
hdNzofaE6CnKe6dKewXUIIKOMzQVsBAXCuHwwSNcyITAnRMGZAjrR7CFjOnfcqkQD3yfh854mnPz
CKLdHbIM7F2yJxrvWiwcxEakSUuf0KlpMapFjwKNGVe4qjImteYKTYFTc8Sk/Z61to5Ya4j82LZB
PuRh7RxVS4r2VloOPomFhEV/xCYR8l75UWA71wEEQCrcSUGiUJco+QeDzCycd3rmZYRz+MpUEsdk
FY16BrKgv7dL094SNik//LcdfiiZFLaHf94Od8X0N17x5We+7YaK8cXUMYvjw/4mRfq2GyrksTmE
tYG4+x3++8duaKFSYvO0TAZ+msM29eduaHxh6Mhg47dk13+9Gy5nie93Q/hKjra8BpVXARXn04mL
nKmKCb/VUXyY0aYkFN0by1y350swWTNa0NiJgtlc6xDhI4qHIRWASjpVwfOmTgX9xCnW4BjYcT2d
0/NmQLeye2E0DPJHRgxQOLJI80HSYYEiLieLWwTnQTKonhQ4ZfE0N2avX1h97zSFZ8HYJI3QMMgA
cxVa6e2zNXfNPONlDKwWjejYgGQAhxI1ftJWzjGq5QhxSgNjVwj9ti6JZGCkg+O2BDmsp0nuKbUY
DtDZpw1uInqaWdpfKWYqXuTCMCos3VH4Qk7xuMlaOT+LzbRcQ5ELTolk6BvsvRGuFwV6kQ1h5VKx
VMJT+1Ic08ISJ2J4OmRH1Xsp8EShiFWbZxCYKAA6BLNuhOx6FxlJd6OKGoFtVBiv9pw5/hBl4gya
7yrAielnkq5d2bNMtuNiLcp6edQZUbDHGV2HX8WUOYjhfN+kIAw3eqVU5IC2WL5XGm4ovqZuWwcy
fkOlguDnOJH6pM3VfBHNc1KAQu7Vl1RvjUNft+FuYkN60IxWQx+gIn+nc+bNdt6f9336ykda7GrH
VK6VNpYzN4HceNQF3gDUKNGJMWvohZMRn4y4bX0H5uw6mR37NDNjQuJUJJiVcqoXttZXdLXZGRbQ
9q7Py37TAtsALhCrqMaUDK9P1KabyQlw7o61eamkKHfj2mgvtFirPKSu5QG1PEFMbbpHdD5DdJPs
TW1M47vQo2xrV3m4H8tY57UllnSMA1MGsdhCKiwnrDcMf9DITHbhVyF2HB1v/WpENjcyg3GCfdZI
5h3m1XvYAuqZKsHy4eUHxHnB4YNRgiq/aeTzaY6g0tki2YUxQ64Sx/oRDd10FTW28IZW1Osp7sd1
OMzBpq3bNvT+21l/21nZiv55Z932OQzmr91fz5qLRvLb7qoi55RNGeA6WywiIjbeb7urqn/hlAlB
ypA1XYHK/sdZE6rokn9tLM2J37Mwv501P9IzFVVHG2r+bhb9NzGZn/ZW3WZfdZZIAwjvYEI+lZJd
D0fXKg1xgeAoTCBUQw/6VRvkg1r65wbOu4A2gh3N4ZmAAIL3++NxFlyTliRpW11oArZniwaxheYX
aWqhXZB+UnOyKs0xvZzL2CS6KIqsB85eanppy8bkRsR8qHvVrNx2LHc1w9c4yNamFiNsUnBJzZo7
TdlFYEheVkq7qXUABJfXnQzYcIqIQKqtqzFut8FU56uIwWMRM7c29HovVeJcstOXbEqfJRDefVXt
QBk/AJzA4xBH52HXrm2VnJmopcAcm3cMH36FcsjLOAv6ca33rgRXkPmS2NYDwvveSm4te1trrcvb
ewhNeSc7KNY0pdrXY/GWtU4EnYDgqyl/C9BwMvismBHLDKnqttlUWX8WkI7p2cXiUBcqx15Lflkk
fpqOSFXRi5tBCfeBqt42I+cmNe7u05w+WTSJ19bU95PeFJs6qY5FNArEepbmGXFguEHZXDcxNCxL
J886nLRjHsJO6VrtMhNOSPXQP0iJtpkFbCUqI4DfaveeWCTf2bFarizwQkWpHyzR6OuKSM5VltZE
/cmINDBUhe6Y9OS8VCqb5UB4oF7N90peYinFTVr20pUhJJgPanYjcrLKIF49SnWjr1RR7RylS05Z
JxQXLseeDZhQcqVGN2eHPIFeaXJtnB7DTC5UVx9rbCtZcR/M4PGD2saFFyr7xu4brxssH0nkK7NM
2i5Tc+gt/dVu4UrZSfxu53gKQs4NqAScG6Ar73osXFSob+zpAi8cg2uVQG9ltN0yzC8GtX1RkkR2
m0XpBoZ2h1oGm+TQbWJ7IbZo0CX1thNrwEcI44r+gs36dgh7WOIZGTha1CyG3utw7GqvpHXuFgE8
CZ0pN2Ef63k59zp2cq1qgwujAZ+IM9ynMjaGeDLfk8R5MnjkwFiFh6mNaYBmLEqPnFIaN0ziymVf
uQ2n+rrQjYpcbzTRmWV5URkJbtbxaUgIPK1E3a9tGGVodObH1Axgo1IZDUnxpiukew6NfJuGGeYN
gmNHyY5hTXSY+qT3TrIfQdEDGUgjl54cMoIxgH4BGM0s1XWnTemu+qBqCr1Bz1jxaTjgeesbIxTI
VExUHJWTpbeprDk7YybwyNTETV2rnO6rtxziTpxW2Sorq69KV+PVxbm37jsshqnoDn0TJ/e63nmZ
GRC+aN4taa3+FE3JWU5kfCxJV02fOEsNh6rYC/Km9AYEDZI1ll7jVKXbZgiN8bkRtlhBLNV4KBo5
VS59KWjvFWtzpUW050vrIbKNNyLsajBoKHP1WSFnsCLKYTrQKHim23UQHTQ6o38Mex0e+qxdNYWy
TirlqlS0nVCkK6jsnimFd2qKTNk2sLvLJH+GF7D5LqY8Os5ttyEj0yW8+isOFsSSVuKlSNvXwMbd
tIbH3jbkfmN9bKrhZFnluqlThEnwdrCOC6zzaGYSW8LAKp1PXXOXx8T1Bmr71hJJrtbjvdS+GT13
4mBaG00n5cANCoFYygkE7YGknyRpLQ+TdWeFw+jXdaO6STiqrmFXXXVKNe0hL3XpepzJ9R6KUHaz
hH1rlZZ6NXFInjW/I0DItTMqXlvL71LEa00nHoTI7tpaeoSso13KvTFf8MCrN01WP9eqsosa7esY
2Of1TIc/4ygH5x4ZOBp8L64HmpNJRq7jnDs3em5PxzCPruMwfMGCLbkiRZfc4J6hjO+AqRaYb/Uu
eixUvkUR3TCASzxHk/b90D70SjnjvdTyTbAAcglkRUUS8+xxnZQ9oJcy4nr7aj6XOlu6MRN8rNPk
iHXYkIfOKm/vSdeEgdZZ+ZbVbHt11nm6OaBhVTrhY9cjRTgvJ18URHsOWUUWaIeNGV+isRWZo2zp
ElwYaXfV6tHi2PGTYSn9peA1LrEHzKZyQxPjoVHG69BozB3w6ody8Rgg8wl+EWa3VEWfHrowg0k+
N6mbLGNpf33fRjezvgILXvcXpS3w6J0n9o3JqzbowyDB+O7cc/Hbb/0eRPtpmsIDnh6aqWjoTGmp
KZ9bsW1bjp0qWnFhB+sgvathJUq/mLT+6hLL3383FRBZnWWiz8RFxcKcAIFFgAGr6/+H9+HQwrM4
W1FafLpIG6XpmBRCXGjNTU2bViKrfvfzS/z1a+Gj+u4SnwZqHbbWEKeHuCCQNod1mHdrTiGF9ZxM
v7jSpznKb1/Kd1daXsl3n1gWDUZudryZmgGBUuDfV/d9jptsPeT7mY79z9/Y8sJ/vN8UGzS+oWsU
6Q7i+x8v14UJho1OEfSWHpRFjmXehNFhyv/r4vwW4rSMIP+51rguoVg+/7XSWH7qj0oD6ixlAa1j
Whhw1ljxf1QapB7QpsFAAXhm0SD/UWloNq1wFeafjgBaM0DF/tnHscmLwthFX8hU+W7/XVebKIPP
dwglAA13ujiWrUG7+VQGpAVLN8U9fa5qGDfx2GPw0TSzf23AEw06UH85D9KtFBBvlCjOXdCRihg0
5BQbhvXS5dm1lQtnhd3N67tOXjHAfcFBsmuH+iyVEuwlBkniPFI84gI6ZrrKE2fZ0G/Zmg55Xe/g
AWCLiM9Bn+zyyDm26bRSGkJm+wAJ4zDNnHJbe1vEyXoWkmdpndcJk1pdmi9Ssw8Wz8CVqnWPDhJO
10iLyymVFMwA0o0UxQ2YAQjkdYyZGZ8GdUQWT08iXDZcI7lqG7rWDWdXJTcOhNlCzp0Lf8KlfJQr
fQGcIQdX9MNsVEBr+4PdBl8rRxxi1XyCwpNecvDl+FoER/SgqKtV6RHU5po8EeUZlC32VpD4c9vc
0Wr/GhLvvBKVVgPVyW5HS/oKKpw3kjnwIOzjlIXQ73kPgZwegaw/twn2iSFI47WYcA5Ham34hRGA
s8VK29j57VQF54hwn9hRIGNZ6tlo136nczp18rxAZQwCDRheHRjnqYqS2xDzthcKoqAZ15jpbOi3
sfVEvtzZg9vayWUBVcAdCgze7XwmWhtFYVA9xBEx5YNaJ7DweZC0k0VMUvdgzOIgzJrsqzZ/L+3m
SIpHeBal0HMhrSAuJPan7RHQduq2DaDPtXV4o2bNTq6i2AVh4eyF2Vdr1Yy+FqF1HQaT36diXOdl
vp9KFbOQJr2NenWYTRiQSXfPn22LEh29Ptj2ulSxqkVJRy5okp05Y35jngEo4vhu5Z7JlMiLtCDy
rL59z5V6m1iNbw51BCGlCTf8jzD66nVVYqaR02FACdxeMwLxEyN91CfFxxVOEWUbhw8mSVciLC6K
/LJPoglXdLrRO8QduKrXU4SBCJ+B7aZzc+R0jW0iX4SMk+arYXlIaQdmxHmRKd9c6qnYJxEizKih
N+fw2evBoQPzvOKYb02vZFE09zBHNC8KndxemWVhXakVPQlAfVCVLuXKqa8QeueZr4AL6zR5kwKT
RCIfvKfh+BYYBH9EZcbQg2xmqxjvWrN56dK+XlVleWmFmOqi9FIBxWzbOfQjE13baCEJtgYvzmRC
L9C5ovDXeXMVYF6LMmtMtqh5SUkPdIh6mTUTeg9JqIpzryvHjWZOz6OpejUFjh0gbXemW75o1KYJ
tX8snRV15EeptCtwUZpA7sIkw4EWbBPsoalNsO9oQw/QZ3BG3b1SN/B+kLKr9AWG3IapGyNUj+sU
ko0KTd/yhWOu8irnC7nrmsSfxn7T2+R75/0ulojCoMeKZ6jljO485LQ5Vm0TnQ1Lk5OGI5SS3OxX
c0piVC2ftM55bYXOIsAbNQKVSHXQCtV0RAm+E40Gxx3e1EEVgu92IdX0275tXvtmOIdt7LWJfiPH
IQf6qWG8Y5l0Uoq1nrIKZZiX9ag4GyWVr40+eMPixd055LvOCW23xYcFWXJ0pZoQNg0AhDwPh6iC
RhEb9sqOBzfS+6OwigNYFcp04on00MZe0dPWtreAo/HvyL5j9RexOdzLarVb4typJa11mmTsf2Mh
4cEorzR8O248N+e6TP8lTLYZG2AVD6fAnDlUlSvMogtGak/fZ2XWxlL1Tt48qxvTbNaapOzKsh0Y
0xUzu7AG4KA7yMW8hHdQXwITriv5BSEj5kC1f9JiGygS5uQdpt0LwPmrKgwvldk+c2zwl/MsxSBd
BcMucihI3nWxISZrMBzOTgsNgt2i8ULLpE1KrDxZ1++aOm8KNPKt2a3bxqbdG9eFK6SOiqu66Cz7
dozxYuaGQUhKblCSJmr2kGrBhFN3eE/a/hCN8l3WF6RAlGeR0w4rKllwSaqnxs27EeIo65XqFI2I
FpL5NlVUjDtDescOvG6hVjVSgOdYdh4ls7kf6/Eg8ohWep9bEKNtt1OigwqjNRqNc0LdDzrddzfQ
px3xtDTSlaCe9K1JQ/puyCQBVFoqlI00k2Rvj/Y6k+OdaqQJbYF8ZooSfYWvSKrAUI54/JRnZ57P
lQbXL8cFuugYAcaGnn2g1e9WN6Su06H+iS22y2ks6DTE92WiXpS5eqWnhSCcS8d6074atup1GPss
aTpvzXE3q+xfDbbIVWEUt+Mk3YEoITuL7pYoNI+OGkKeSZwPqTm72Lyu54IgnKxP+sumA3VmwDff
6oUMyiYYSAjKFW2IfqE7Un88wDJ0t5AiM6U2QRwzblrOSN+fl9uaJunkaM65cp2vHozNcAFncoUf
9Pnmqj2W+3hdut02PjN8XNPbchPtjXCbHCP/41z3n2pD4Tz4zwfcXV69NfFz9tcj7vJz3464Ch3z
JWoFsumHOIOh47cjrmJ+UWSA1lS7PEd+YC3QgYelINPd5gd/TDdVv5gwrW1SvWiDI+v6V6wFbAc/
HHFxpZG1gLEfoJiKr5IUsR/vISuqm2KU6uk4alWlLJuxbR0riwysdxmjv0EvsZM72lcaDLZ5i/k9
FQX94IQS3dTTq2BBvtuAU7eNMljTQuZ/DWUwLqUTPBO4dZ0GaX4xpYQu1bOpbjRDCWnoytyfpvke
VTYtJVy7lHsEYwK80tZWGzfrzhTWCqaQcTZDJ9lJRdbRz4YMNrkj3iM3ScLmVMkKkDqAP9Dq0gMw
0sJrKzFtGoN2bVfjJcsIs3LJzoK/ByvypA/TPjXiM7vsggMO65TTgQNHBV0KjxTVJNozBWA9OlaE
VYw+U00T01VSq+LpTcuntjFUybr0mNGeqMyx2FtRf6OYuImDHCoO9J3KDdnyT01ivoqCTlZdWopf
Gsn7nCRPIHYA4eqDkuM5s4KzSk+mW8hSgVc3EZpBDTFClLx14aw+0tfFRAkHcjOYWe1ZbQbBF+FB
zcstnANEYGVtClna69UonxlACPyYXK1V2DChayzr0gaacE2rfyei6UaqjAIeQsGT3OacY4IIIwus
cG2KL3ZFxhQ8nRd4k0DeQo1wpkQc/aypiQzMWSF4Q1lLD10wKZ1P7OZEH3huGrM5j/juBhJh4+OE
UQ+YYqgE4PkSfpPj2g6Pocp2ahiPiC6MXdVN6o2El5pNfUjnfTMUznkMObhelbMNhsjhQwjOHYhE
EIFS531QnPRMBc6ItWy+1gcaUf+NAn8vz1nK/7x7Xcdvzd9yYvipb3uXKhMiSI/MoTznQOKwrX3b
u9CjgX1FbYZBRVc/4pf/FJ1ZBMlQMBu4xQHG8Au/E505CgqxxXOtftT7/2IQCI/m095F6a8u3QO2
MIAxKC5+3LuAeuaRWsbyOWKQmITSeUF7PZXhV9mBDh/Eq8YszmIbwHEsHPVMVPx5o1rnJvlbfV1t
YENcZX3/1LazK0/S6Ldp9FA0hl+TSQJenSMtPf7WekQPB5ViQSVaLALDgujacgxUw/62GosbpFz1
qneY7Ne10hG4Wz0GCZEihnowSOulvnqeIzpayfyg6rCg87HbR5yDEb9blEXxtu0Z9CXF/MCJd0sI
HxAoUuFHK3pM8uKWhXHmJPUDzxnY4Yb6Lonivm76O/AJ8Dx62u+OtJmt+YL2ugXvo/IrJ+ld4QBv
jDsyAwKmW1YgCAagFJYmexWyEVi1tGla9FtTbt/VQgX52E3o2foUYGWgHxLA7GjZpS2h6wy28Iht
e+JASx0jDoGvojKvRNVfUX03t5kxPWcV00SzhooeyfcyLQNbBvVWyeMxTCtjJUKANEZSbDvUH6Sw
9Qddb3ems5yvA2M/KV/bongKg/52spkdTOBsVrMtwMdgcc5q7ZhZcOcsElocQ7k1Z6LihMwBWyLX
tWsRf01iMMngmbZJO/lYZdfVEBN9y2cWhpnuCU72GK7TpBuaUzdyKl0HyAL9jrS78dCV5FzPeiV3
u9K2w3VnccRX1C6hrC/lBipGrFPNEp/WOc/ZUAsOy4baeWYqj/lq1IgEd3O1xAifUd2HUV27le4c
874ms6XUXouoqRmGEVDCUDRiNwRhhlvXE3P7Ct9Fp99fvy/RSLhHUMQVNDstZYIUZABfmKvpAKH5
JEWkdXdqxe+AVFZK0UM26o+FPVLcjcM1+S0gy6Qq9vTa+Aq0712dxjeUPtNqsLK70NS5FTTtiIES
IWKrHppCitELdtpaN4aLUdUwSDvpVo+aRzs1uo0Gg3NtBPYjXG7mcrqJdtISX2ngiFWRQUud8g54
Z9wCQE2c8JiF0il8zAavCMN9MSZf9ZG0l5z7pQhpPs0Hsyj8pKwuBy2J1lE63lY6g1OzDP0swmBM
1iF1hHkfkNYM4y9Y2ViH4T5eMj53UQm2dF0ekRe1JCxIJXMza449fhVtOCv1JLBsgCOzlSRFSIUa
ILAkVAA7iwABkmG9S4m5pFlymhvyxYvq3XT0xs14psibekqb1/9Oxb9JTOiC/vNz5fDW/I2UWeFn
vj1VFIsTrElQnGkBUMTJ8t1TRf5ClKzCgZSiRgNE9mfTF4Xeh+YD9wuDG2tpFX97quiI94CRy+ST
UQ+BH/s3UuYPn9OfUwGKKofxk4LABKAZXPHPPgFLqUJZiWY4B+Rer1IiGegtwWXyrFp3fGuwn9sg
FJu6IktdmeZEl/Z5a/dQbK1YTR5jFdrteRSUfb1Du1rlTDETIa+JiOiti4pJurjAhnCqtDS+AU8J
ZT/SZgvO/9xyZIuSJy0z0AkWUwgPJkASGDJuA1FULCpCVZ+jTfchiKoX+MVOD6ScxAels7L2EWxY
wsR1JE4A0qXWm23cblTC1JQ94WhzeR3OHO0QgQQJ03BCRH1HC1E6WyA1x6EzvaYUiS+lU70WdaD4
FLfKWoz17Mup2dzNpCwp4Hgmc15rbU8PalKdeVxnPaxNaoZAQoerVxJo4Go2j/3URqVXqaV5HdMo
IavEqnhAIxX3lSpKu2vMP+Sa8GjNzkfanKpfW/z3FLblwyx0h5KfzIekoT4vrR0ccE1e/7dEf1ui
rKmfLNG4CNu/qVr5oT/WqPNlmcuwFhUTuPWnNcqZTzYZ3JgIZb+by5hf8EdzuENKiz96WYd/LNFF
X8uqtVSqYJoWLOx/cfD7QM/8uEQpjkklcChOTMZDbC7f9z2UQOvIrLWMUzRLWnML/z7LIW1OueJF
kdQTuYRIPj62dqo9VOi0MAWI7FKWNNcBrp0DBR672O0sOeBxa5ttvcvLBleSNRBn0xstC6ptg73Q
MhGhryjn9LKE8E8H6orok6dRAI/jZHyazKL29CUWgHQ3EO119AJUwmTeQ3gAtX20mmTJHckVQFCV
cj5IJ0+QORApwQOSUFIISjkBsJx9pBOkWQmObIksGIwGYLkX8VtNtyQRrzjq0kSCPAE7MYgzkmky
sZY7AqmDYqheIOk8hUNiup2ZB65SFZt2RCdU5sm2TqQtDcFuNTbFi6zRDs7AOIGcyW/jUHpVj6Tg
HUudeB78hYiUZuQeWXCj1PZlDs7EmQY/mS+VzrwVQ3vPgXmtg8J2fqPL/NdBWtyJ/7wQz57Tt79Z
h/zMt3WoLgNScjV1xabOkbXvKzDtC+uSBUUeukyrhb/6swIj5lOVKY74S4ag/MJvz0r7C+GSdH2w
kbJyltyOf7EQGcd+rsCWPYAqzyZrVyYB9tMInb4Ju3JdMEIbsvAghXkdXI9jWuAbV+PUF7oOIski
FQkSh0fkTLbTG4RrC5JumwZo7fJJZcAvZLowSWbLm7GfEhCFBvpDgNK2gRBRJDHHdvCKkpMYR2s5
+I+ZvDHzkGYHwQnObL8ZCUScYSK9Iwj0GbMKmYTFKA5JkW0km6Esj+b+qhta2g6j+ZSNTrFqkwiI
IwDnTC63M4IroYZXtVL0nmxOs9eqqMOKvNl2s3JyWueNMI/LWLPPodTt0K9cxxDbpLJ9kEK7OhRB
eagjAtsjPd4B4XzIutC1peg6V43bMLbHFc03qHCpVl0rbfiICHun2dU6kYNHuPPPQLIU2MM1tIJu
EGS0x7xm3VrO64PbNLCfrdI51BqSu7RRMfdkpxrWMnDr8Fjn+nMTdecdYVrdgjxxyCmdS0ERFVT7
3EotNy+7reHYnoywggodr89ckIwGrNmqNMXTrGk/B9KD3USXk9ADlxncrg8LwMdWO7MLsA3aSyaA
EoDHEeUW4f1jygkFeTkkL62ZN+GUkZteRa9tDjRpqhTDK5TJJ3huj61Y83NbPRUV9Y/oMtgHTXNX
BZG+1pr33pzkrZmazprGEc04w/Q4N75LY0sZ7DjnddbXK4iARIdb9Y3NiONMcrItYXGXGXnnztAM
tNQoVbvKco2wgKUlh9PTVMx7O9S/WojyF2qhQ0jc/Khz9icU5WmU58saSRUNpUdRwclvuujdynUI
PyIlxKlNTrk1bdN2pGWgK5i6e/E22kzoAFDSm6rCTaL2r1PUYBcwtI01pK8Tx8oSmDpofTU225cB
8ckZtgt6ZfliG+oQGmeeWMxEvH8CQqbFYRQYMW6jAdsccAvbIiokZzfwaPcjH6wDfjhdPvEZh9Mq
DshxLrp440jQ4gkOhQrJYyTaToN8PrMYLic7sfxUssVlhXZwxaNqr2mJxmiMYNB6qXHjSjpPwlBb
WaNcrjXutlVj1BDIUmWS17oWjzu0lMYKjGG8t+1x5sxriDVc+w5xMtEf8jBs4Cq+2nJ4jj4BKZiq
HLW+LqAyOZcYAUOvzZJTbTKrU5V73CvTdaNI6WOhJJDVazKhNLp4StBUa7vjhmxMLQUhDrOD0dCK
ykxDfMyatZnr+rkKD9YqSKVXBDC6XNfXYwjYg0HNMVUJeXBQgfa0T4E+Io9k6v3S9JKvEP2yIk91
V5i9xtDR3ks0rPZKmNmALhNlIbw3Typn+hXBO2LdhwOzyeVBWUQW+P+8qTbA7UiO6WaYWor6kOR5
sHFa/l/RCNsvZmCkaQqVrcwRGLRSInNerktIn8v3G5gw5Rhe1wyxMyFO8TLVFnO/TxhzR4J3LUu4
jxmAKwzC42UiXn7MxhmSL+Yld1zm5prd8w0xiaoYqZNYNG1yhuyREcOsTMgCIT/lYC+TeFpbfsxo
Hmq83zOqn5eZfZY1yMfJuS8Y57fLXH/q88glccEPqmprMvoPFw2AwcPDq6SMBYs+QAXPmt/kH6qB
aLj4P/bOZDluZNuyv/Ks5rjm6AGzqjKrQPQNgz1FTWCUSKJz9D2+vhao1E2KqStVmr1BDXKSKSWT
BCMCcD9+zt5rZ7OOIDcINktnbUFAWiHOmwdKn3WP+KD1nZdhViOAGt03sz4hUIeNTfzHP6X6t1L9
lyKqY17/1//Jghf58rOC/Z2Saj5UUyGwn8KFpCTmS99btTjiXHxyNEtxdGCYeHeoNv6FmQK5JVIp
tvC5Gvh3oaC9nbdJ/zKJaCJD9W+lp1JwvFPazeUGPuS5frFtwIG2mL/+TtgXO4iU+syNL9p0NZk2
QMCNUT68K51+ouhECvqTqzDGwrFCS5qnmffg/VVKUps5OpvxRZPHkVzmjsjChYv/1vN1LVnFel1h
YtLUox04mdcSV+nJyT907KPXqG6uZER+ohlGx14IigBVMT3VaZF7qxH4owATvpbu2i48RZ27LVr1
KKb+qh61Uznlh6HSz7QK9iJGopV29CNjUbpre5Qowlr4gZHmPqsDQncrAdsZN4jH8I6+0nxE+5NZ
uIUrbKdk7vH9yJ/IjSHty9r3ygSgpx/sZaPUOKtdMGVka+bQmJuM4Zxm3PugVDe2NPXPWkrYmILc
cROJJASWSS9YriDKJhD4VLTDDqlYELYJt9mBJW4YsekQSsd65JklnwcXrhOGi0YvdOd+0koL14gm
N5UyWeZGzXt01l6hgpQvvdZMm9FfCEJxz06pKSd+PiKEtwYz4vNcyTYOy8YSEVpFZhD9k8p2oi3K
mWTfYk1zLrlerX9GymLXB23MuxwPnH5NArQ5XIYqtuwyGN2DW1n2HoNC8Mgo1Xjo7JB2jByZBTVZ
a+wcDIkVPONZveWEHeWJ6Gv3Ls/J1bZoRqwU4JJLrRhCgLuA/MoAGFunmR2wzNZeNbznR7Jq6qea
inEYSTMYBwcZTRntFJwCKxpYHOxAc1/jNtnHYpQrN1fda+x66oIVmciM0cXiWaTYKBNj2eUQJcro
AfFQd+Sj65ZWGU2rquFEWNNxonQdor1FTOzKZu/bACdUvcz1jYsauizU2LLeWHq37Q1EOuGg1Veg
TNWVo6SnKJMnwnOARlXRlZGbOydsIUlZcptH5KsGuris3f6mUe3uDrW884pFhyI3WVr9YL3mUUsr
tl4mfqneCoU0equBtp0nK1dJkRkhyxrYgmureK7r5gVO08sYj/ecH5eV3u0RkK1ZQOjRThtjEKfR
6egVN1v6cccJB0pQdV+E2VKLKmvZq9R1qPDa8SvebDLhv/qiVZe9JfXNYBMjmZjdo2lFX+RkGSur
Tuo9ZUiwUPrpqKUaOhftZBXtsm+Tx4KPr250NifHXvmdtSYedNuK6XHw61WQkt9bipIJR4CJp87E
LjZxlKsju5ptX/Iar82Wme0QTQFFJ7xvoxPRKTQQ18CRv2pkVp8gXB4CbeBmJkxLlgMsLN/mLkvH
g8tDJEBwaiBuBxK/nEI/GkP+gDzFS0z7ptWCq6wsjvhp0QC6x7TtrkKXkldDuccMaBUEw0IbmagA
iITXWeW5F1TiIlGSz3mifi6SdB/VySGXIPFb9Wrq1aUkrCiHSWwasVfKcjxMtr2FI0ZBRPRWCUq1
dc2lW1FeIclZjGiFnHwaYd1m2Z7wuOd0JEJeCTO5HAPyVM1BTzalW2x82IfX06iU61+vvD8REcDU
QUjt4P5jXsi/f1x5w1ElFdiSJJGUibbqpDtixxiTZUqs27FJSZy3O5K08jBFVDG9qEVZX5VlIm6d
yZGLfBiu2yo+isFfJq79IIZmU4bWa5bEwbIo8B4RXUzS9AgWZeKeln5EYpNZe9DtCXErcT3bTrMl
7uYLEYCtF8X1vYawYYUHgqRZgdhMoogqvXrYqQUTsgYupxpXG43MW6nlmzq1n0eZ3mCF27dEQU21
3Jct5v4iR+upuZumH0k3GaOtNoSmV5PUa/nEpIRGvAnY/Za1qK+NsVW9IrT2InR5rmmsYotTscdU
wx14eWPhWpxjtFE7G9GUeaVlIWWIklNXTBdhHe+S3tyYeHaQGZY7P0vg+jpEbqHwW2OPXZlBcZQB
qVt2pp0j2R9km27Z13DHFaTY5WO9zuPqjLLtGsMDtXTWyaXFgAcNFsLjqrqMdERq6cTJt6riO2M0
UBIM0ZNLtF7UcTMN3KAOJ7kkKefUMZq0MIgNlRHkuEx1gnpdY9uzDul1/py79lGUgvmUqzz7MIcX
hVYuqCiHRSJTdacU81rWHCPb+qQJuRaCWRa5SI9jqqkeA7oE73tw1idTXYIHmUMlY2dLcFl7n+s6
EuKorE6SaM3fOAxoQX4sRCzsS0i5ybGDhfehRIinqsfrnhIARgCAHu8roMO/fhgomd5d4Q1fbqo0
RBhvzN3QefDxvgjRLTQzjhsEF5JpmWKdozbaRsV11cfcCdKLrHLtxqtfX5Pezm+uOr/udwVWWyRN
YeiKchIjFERNo+vCH9gVPwUGtUdI/9FrHJMoCX3XtYSddgMcDpnB4RZalHtZNX3KFfsYNYbwcB8i
ye3VL05o2MtUxHeWk/ZLEJ4HWxqPlp8Me1Uig+duyvJVO9nZyikUwlIKvFF2No67drD1L3kWN2u6
MfoqiqKvknt1VQorXLICj8vGsYTXte4NmQcTJ9bkjiOYtksDDLZj88zpZsumdFtX1dqq+3qhmfFW
F6FCx4QKRfZMEsepFV5JCt2y6k0iHaPhWgsz5pFoQ0s9sBZkIh246V/LutcWdRHtKkPZ0t+4HSaM
eiLZmw1hSNVMDol8HV9+ExG21pq7ZIqRtBL0OvqMaaXAducnrLLioROkdURxShLKsMkqSOD+xB0s
QJIHqNDx2OcxwuRiip1lJf1TQaQBHJKtmqMTdILhhhENBRz6+7YhA1XXG+FNdrNhaosGqs2frKA8
VSK9KpkcYatHfqDuO5P8qM7Utzan5GWhqnfZGG4Hn/jCrmovCos9ksDVXVUZL04pWs+fsx1MYxMU
xtHuf8eNerNY/9l//+s9Phfi7+623qDE0IDYnOJjdhlcKOvyUN73G1D9W+vosPV4X5kQc9o+ZZ/7
34kef2w5fr/4LDyx0AwxqPvx4oyOnCwB6nIqluYiO2pesW7B1hyUB3stVuLurHjHh26Fr6F74h/y
YjyKxT5a+xezWPk3v82PB5tvv4yO9sREwccxyvygQBlFT7NGjcOLUFwCKlpE4qHqtr9+un9cs/56
DRq979/tqUpbJQxlyOb6ElRbd7z69c//6Wuwad7ajqFjifvwaaaDNdFNKtm8lcuSCXxlUnN+W6H+
afDraHL/c4OfTK7/WoNb/xrVX3+CtJm/+V2nn7M5H8Gbqvdtvv39AK/p6ESZlZOFNU++Z5/a906/
/S+A0qgl3T+/63unn4YAg4GZ1Y9wC2/g3zrA/3gPzkpjBKfwHd66/QJ1yY/3oMkS6MR+NZ2n5qF0
fOzEzW/2zfknvFtTTDhl/AxBZ0hzZ8vXhx1sKnyrGOhFn+tBIeJqbcpoUZvPOFnffQA/aRP8+Ep4
Qj9cZ34a3q1duULxWUWmejZREqnVsbeff32BN8vlr17JhxojUEvwV7Tzz9rA+dq4s93XXBkR5pBM
2K10jQ22eyzwSUSXTe4jrHqJw3UQXGr5VZPdBP0sXT1YZrBySIwKDDw1Nwjql4Ob/uatmDs/v3zP
ubHevxc6bpCmr+b3Ql/5E1rV4qGltiXm49yjnvN9Os7jq61wxuKP5FV6v36r3sZDH98qFTUzWBBB
JuVbWfPuw2A3Uxv8GOMZfgUgfhWE2jEx8KsxQDDKwoO9kbW72HH21VAvzLa/VmVvocBHHtoJZcI/
R5azVrSiI+R3DiDCvrSR6Sct1fe9L2r6zUqs3g16Gm/0xI0hGDq0eON4hXZ1V7TjQuvKtdqMy64Z
N+F07qxolQYQD5Gstta0qQb3MtUu/Sle++2n2pco/27rwDnpjaRyII+SHpNGAitGRc8mlWMkJTMx
b/OCPAQLW9KEBSwi+rJV26Mt0tUcQ1B+quN0MSo6eKXsoDbGVRyf4iHddJmW38F2WhQ6oRC5e9ug
zjVicxF3Q7Awo8BY0qNmOOCkxipP5GMD8z5NJzos5NEsk8D4Da/1A7LyLw++8eFxgVEEb22op7PY
6Ft/Nx2bB33j7KozuKgjgCSPMNKl65Fj5+2rfQq3cnhUdjSrN2JjnaJ1/Jsckvnh+XjHvF8mPpTX
Bi0zO51v2TzZkedGHFyFgXFdit8sR/Ot/6vrfFjwnCidZBhyHQgg8nZ4LgMvaj3GV5b/m4dgJu38
5VLvH4IP+zvcB1npbqSdQ92LL5Nh2Q4emqO+XjGzCs79717az1ZAdnm6gDNGx3Q/fKTg8gfbpho/
gxIk9vZLp1z++rGef8DH9+79BT68d2TQ2lkXaNqZ82ZLKEyvcPJOfvMB/e4iH1ZZd3CtaXS4iNsd
pnLfWLe4Tn/9On62Jb1/HR+Wx5G9uqrIpTnPWTKD7BfCuqaHjQHr22v5766OThHRNXX+2vzP+Sd/
zcl4jYKw+d8//rX+9vfgJZ85oz/8hQzaqBmvWpiT1y814TDfZ//z//n/+sU/yKW3YwG59Ok5xVQR
1U0VfW3YXl7errB7/l//45sGXeU9+8/l0enp+eVnGvT5u77XReqcVYq92lA1skepP/4cbCBPx7vC
aINbWSOyji/9WRfZjBpAkXISRyo0K9e/10XWv+xZ+cCtQZQDU4K/pYAw3sIl/rzZWSAdw7GhROE6
h8HgzL/E+z2UPKux1ho1OPtuSrefoO6mxmohye5mi3goyPIuBlSyE+ne9hzznaUIZfN2K8j/NuYg
8N41OTj2OGZseRiwzSwmN4aF1AmscMrVfJxdNHO0uJPKezGHjfuR665Qzn5V2wLSqANWuWVDVLtH
i6RylcRypMn4yoPws+XKpUJv9Z5Oh9hmNLeCtPc92ze7Jb92TvgShX+kIJJWtcdWEmJVzpHptU54
ek/q13po/Neur1+QJRJWjG5h5eQxphrS1/MkvCKKnpyS/l6Zsa3uHNSemzS8E7LbzTnEvZ1VuYUb
jujo8y8OSe/kKF6kCMwWVc9LbOc4+LpQLxXy4WMZnHLy4uM5OD6uTNinkXZpxvGlyPRhEUVyjhQk
cF7SfNmgHMSYXPdfST5H8Ku2EWF1jlxPoYmmSsS3HSn26KmI+RG4h2pd2kdITjc1mfdpql7VWV+t
Y2mkS8WdDqF092EzHIo8FJ5N2MfCaLpdoJIkFuTMYtE+5Yu8NUnCRvC8dEMx3dVJjk2WhEUgQHaM
/KHR9+hK47WbDM9KNxKb2IUqqdyCmXgaOxu9d5RVEehHq1R3peEUjGR9/2pUMqBJMJ7WY0CzwZUp
nBaFwPWszcKr3FI2+cwAimx6fOXnEXnlpg507E1FSO8+sIm2Low1QFI0p343kl+FJj4oAR/Zmb2g
bfi1cUPY4zZtbbCI6Upm9A6G1P8s7X5nBVVxAmxEUnYAYAaeI8Gg2bDEcLuKfLVZdZlV7zWtvKYv
jmUcCc0yHkxuyBYNnqgNfVtpY+oF7fSVvFB9UdQt3UvE44uYuG1YBbm9jWIN8vfonBBZuEtnsF6q
ogMY5KoXWQ8+QW+4lWl5D8ugi+S6CBjbqYp1k4X6585OiKyixbyoHVtum3oArxT0N8ro1zufprht
6NmiT5HzoROiPGo7bmPXxjOMaKU0pLGFavvoxtoXmsEbW8HJoQ31SUkpnwLFgZ/UZ8spLL+MrjHy
4dulvcxq17pCL9MYe3Vi5Ej/0qShP1RjutD7FzmGDwMmdKKsHPIa2xaGuj2sR73RL+0+feyzguwR
B5uoXzct3ZjxfmAcQeOYgTwZlIAvCY0nF2sk8DwHIdv2m14iPIxyNCEVkic1DKwDluNyUTohcXZm
djvl/rmyimM7uPWyzbPXqClvND3cZZpz6Bz8Yk18mKZwozFXCBXSOWM0PPkYBwtDMi1LK+Na5Fa3
VPm5a9zXB0dnKEavfAfsS1sxmnzs3WCL4/sgFPFqNfYa5MS8NFFv+um45yTzpM09MIwu5qIcmp7q
trP2pOyunSEY/NaL7aZ5yIKyy9dDWBgThLQqv9H7tr6n098zuNEIirVE3VVbzNDm5yDJzX1TFzK4
lIEMnF1TKsZnP7A0/xSbyMhSN2mWres/qAxuVuaACwKTmVz53C9bIyeVqY8RSfTcdyuzYCbCXfjY
Gi25v6mGwdjahvhFcLMhXuijIFu4uX/lYBweMggMgGUmD+napSSl6K7FsrlKi4jlKZEaupD4Najs
q8pCJKb05npE070Fvyc9ezYJuQ3jlu6+NEmD5yneOD46aZcswVJMl64RHdqEDKeiEE/wCAArZT08
1/Ra7VXpNY1fb0upRNxr/nlMhOaNDZhBBTANOZK9muyynD56rWdPdt6FnB3byiO75Rgl8RfN6VkN
hi+Dra2zciwwyxAlaxg8h7LD7qMkt2I4ZoxV02TrIDzKpg3N6I3SOedANaN1N8avlh4C1mmYN+jQ
vGS0UulnAbEDyonJBY1Q2t+kkz4QuszqV6VpsM7wdNNdBlMfaxEqcpTmo5Fu9E6oXtoTcK1Z5XUU
m+5SVvbRL8rLvBaRB0iWYTyKqzLULgxSa5dmoKzNqgKNZ2f3iZVjyi4vFMvPvFxYD7HTfY17K9z0
gzz0mK8XtKwPPog+syQdq4jOo4m9SGusfeH7qH/iYh0RQlnUzmcq32ijCw6JlpLj/EZJmME/9YjE
W2Qj4VxM7mw30dHqGC9W51brfmKx1Z3mEGO0XyCZs/gfhzWHxL3ROIQNRyFn4creQYxkfUarl3Qg
K5ToBg75U9mSRVvy36Bcd7lyn+h81AJ8d9XmDctNt07V4CV23a3JSTFX+KpfOK9NFz8XtXpItX8c
2X/Uk3Pq5H+uJ8+02oKXv1ah83f9u56EAk1Rj/aGXpv6RjD93mdDKIMJGwEJihiwQnPy7Pd6UkdC
Q/HpmORffisa/11P6oD0UaE7KHD1GWL0t6Tt6iySf3d4ooZE0UlRCsLaJaNefUMSvWuJgGAbox5l
+omdkSd+kgnCRda+gzKU4pDZNc+2Isb2sxGH+8gfH+mhEC9ix1/1jmEaS1Rvby0E8d2q1AmRFEVZ
gHyIgA3hscjvGdQzeMR3XhO3GLJsKHFkaQjIiI00mKy+wAj2ETBm5iwMQ1aZASfM8Htjzo7ictVI
BqK4qwz2jyp2rf04a1VcRCv1m3wliQqkLPGsahmq6lVh5gE4D8ULSM9uESKCIaBxZJiLLkbRY3ct
Z60MyBamVMhnZIuxGjlNbYrThLxG1Sdid10mncrRyOWO9MLdEPmTZ1qkN0+zRgf2RrvU4Ndhpyai
vVAuY1ICrwvfOTSzxsea1T4k27AI1LAANRgTq9HC2FcVSoxYoz0PTX1WEnimfWCwjRsQWPO8X4UB
fNyFtGiyeJE+Vq+J3twAgblBiQIbppNNdqmUyXTSjWSd4icNCiv8ROnq2Q2aI/LrT50hAbTkSEtr
WLVaYQckejp4RdulO+rpjWKZ/bpwkB3aRNUuOW5usnJWF0kL7DVMMn+yraWmZuG5C3qfSWJMMLlZ
r5tBya+tHq2vNWdgjiTJuiRjF5rqRZFyomLBNq5iGG8L464G7WLjKl0QaOysBXm6VI4pHkwaR1Nh
F4+m384Z5YpLcmJGUKtXk2+9efcoXn47Ev2CuAeuYJ67mhbQAhp9TPd+PCgxtusFUd7xhUbg7hpr
hfbEoM/x+jGhhfZ2rf/uA/XmJZ8DOOofD9D/X5+nWZP+8/p3egKH+9flb57ffV/+3gwFs2eaYdVf
iWtvyHqL1UedTT9/Ln/Ov1gxmSYYeG7+sCF8P07b/5pJzAYCQgbexFGrf8dQgDvgw/LHL0aQBEMA
zEcgMT72G7GV44FVxHTW0/C+1DnvSSbZc7Qv4+UpXTultVHZRM1RYYbt3sO2RJHcskalrnUbO8ZJ
z5sdVKMVnE5aoradIqOOEN/cydyFr6+Jq0DJql1DIYh3lRj7LxraVW2RqTOhhUhWaC3mG7hlRrjU
M8wlnbEuYga8kOx908/IF6cbz64JfJ8c0WURTgm1cH47wokBzHmncyRciBkhIyrOVzBlwsjZq4CN
R1gz1QRtbIbPBLG4LqDRUBbda10NnqahsvAh1nRFBZnZz17HGWYTQrXxDXTV2gy6MbXh3EC+KSWH
JfMNhgMVp5zxOI1A4eRCzQkE+BxOsuoa5pINDV6Bt9MPueKh4D6orX3WIfK0kHmm1vbwO9oo0IH2
qFp3qLriIZxpPoYN61nqV0ler4gjvU8iYO8VBKCm6tfdjARS/Z5aOX/VhMokOrp22/lErqfHIkh3
ajreJ9CFlLx7FRVHcqGMpA7rAJqmCHmyoiTNQpfJtqxZYPXQ8hS4ZktfY4BtMuU9a2MxehPiRa9r
CAUP895r5miVPEaTl2LYX5G7PLFBFapnCftrOOI61jEdNH4sFvWAsM7RqNj0bdtWZ1+Cu9CRHpBu
UJXFAsllm+L+hpC8MGW605vKq2vz1AxwQ/Rc07ww69aG8L8kgFATyVjKaDn4ZsNTYNF65mfOdDq0
WjO5OUQ+HurKk6hY50n4pbZM0B5hGwF94pxQ5XYrR9TtmtGQdZS9Dnw4q27CGuWf1qTIwLUA8aHt
xsupardhN0wQhKVBGW4vHboVG6Q8DUn0pXXRolO1FWNH8vY9+t2taLX7vmsAh4W1WDa1pjLq1uJj
kYFtCViOV6GJnxzWn7LAlW14WND9zaiq4qIYdO0KVjbn86TbuAbDiT7Yp0ntE3KjPTH1NjEcjNEZ
nkOP8d5Yj066bpu6R2MXSc/ssy9jTZ5zF33KAwJ0wC2tgpDPM5ajPDNSXETMNd4tar/fSd5GeIxT
GFXjKMQU/KHlVugDeTmKq55lepcYz6a5/K1O6CfdZZduI94rzAvA4Gltvu/qjUUw1NRFxjmpv7TJ
5VjcZu630co/e9Q8xfv1HlXk9dNft6n5+75vU3R99dm/NpfVtmHNe9H3Kp2uL7BW/dv2RUHx5y7F
MFygtrC/x7hwX/y5S1G1s6UhCzeAhtCl/d76/uN+o2v+i9y0+eP/0PRly6NON3Sk9dwhP94ecaUk
mj1p4TkVmDxOoUZY0aCK0NmZVZYFlzll+H5qS+uzFRo9mg0lw9nUD0r/WE12fQ8CMr9x3cgEFai3
fb7WM7t5qPVWpX9CE3ZlhTG+mki5B8qAKjuYDE9qWuJpg3XpEL7RBuq57eDVyvGJtOAnDfYgT9q1
VTvpisiOjSbTiAWUvqWaWKuhIypAqfaIjyAh1biGOAbUXiDGp6SsUEv12JjQstaojeDmjagyPWzy
a5l1RNJnNsnqLdHsQVURpQo3PbWujc68TiNLXSY64kmfSG6nCpZux76UlTeFrn0OnVhf5D57RZZR
tQbaNG2cyE09pN4IKA3zOrbsY+fUTGsBMVmZPEJEP7RhQrvM15ylUdsQiaoAR1QPR66YkuuuLO5K
YypOetXliymjWVHNxrSKPIEFoVV4mSS2sUZH7z1kgTzCqMWcW3zCoQ7EUxVkyYvqBejoiHNokCun
brdkkm4E03WVLlNh2zGNHNeD4z6AhNLWHOHxe8W8B1jiey/oHHMbZfzJ6AbocG5+n4XJM+2EKwfy
h1PIr2oS3lo5xNOmiY2jD5QUz9VVVMy5ZqYdevge/UUApSmYPbe5NK5Dy7o1KphMSMWegVoeJpTw
xeigRBYOnZvMthd0S+NFHgyHjEl5I3pMb3m2kZGCwNhoJzB78C7KDHRpjfATZsuajtPKKpqbzOSM
oMAqXYTCWRul3V20czObrFKG4ZWxaxIrvUexPiyrpL2aOvYyUw8vMlAwi1IR9OXH9q4a4y9+1yPx
Cqt2AZFnbVfOAxjeT7bP2ZKCRKYcLIb51xDdNZSZdelPZwmhlSb+2vUvuVnzC6Nrj9JNLqfR+hxZ
9E8zqOrraohowtLm47w6HhqL204142Ou5Wx+Fb+44jwoNpMEYisiT40H31OqmbqfXJhFetbd6kCY
x2VX08ttZkNgYBtrRS8/Ey0GLlO7SxsOYlZu74vOOnPC1tn/KU1cVMldSfHo17c4575YynCqrPZF
89PburFBNFrHuEvUnQht7NXSrT0z53Pw4/RZqj2P2BRgNx8kBqrMOvPirUXTh5/KCgerKtKz5quX
KPHWsGG/KIrvObkrFpzFsATCtJzZ2rSmKDvTJnsILdRXbJsaB/xMHhR46J4ZQvf38f96dpo+9Ugy
Vs0or9Ta/ySVfPR0VJXIO42t60xHmTWnVk3oRhuPvZU+UU3u4SB5Tq9dxWBhpO/uwqI511JsDN3Y
6gUENNgqp5bafpEZTrbmMLY0tDnkScWPaoZ7t230Q6RW2RUzXL/eD506a86zDvCnPhGLVGICiJ2H
Ns3QRuSpSusTAfa6lKLZ0LJHZJzlYCAGQ7scRmOP1Ey9CHmwPD5zE4w4lYnZMe+m1zw8TGUWXBMc
Jw8xsodNw1uw6qUit6B/AWXiPdERYPiBWHRWE24bRVfiBaJPdBeFgBoZo1P55yj5ZjybYda/2KbR
cH/9yR7NN73bo2dKissWbQpwLnzp33s0YUAmuGybFtYfJIg/OmnEBFFYIbw2aabREmD7/mOP5ivs
0WjTCTcW2An+3klytr//uEUbuGTpz6hA8RkPv5nF3vfR8pLGbRiHl2Ubm8TbJD2NXdM+q1oUsqAE
ykwrgbLQQwgiYEG4jBptw1+OaG6h/IpUbW56Sw3c196pt5WS6f4Tbo0Y6DNcP+UA/gJEhBrGI4QW
tLDBJTzRKOXuN8JZWdZqA7LUyZxk5BGh42PfYBZH6Ew3WoyBeKrAvdKQaW2CaKuoDLc2ExJiymJz
RgrjgtqWQeXGWNBrRMllL6tzwBAH0Jg+9vYqgK7FuMuxGNM1rfJiUnp/q7P/qVA1mq6/uvWzn2g1
5+/5951P00PXbGQfGo2PN9DJ9zufwhUaqzmr2SxEl7Nc4XsPmWDCufHMM4FigF4KipU/y9OZEeq4
SBL+vlYT/sPHex8+KMx8phcc7jGKz19/d+/XE6fc1myti0DPpiPBc6LAw+uEpbFUBjLVpsXktwyW
FDrCcuk0vp2fRpEyPaPFSx+2MYU8OW0k0gbGHdcI5hajYqzAOxuxuwpws2XEvPSmHBZ9E7fBQ98y
S11OIiDyCdq64ha72qiIYnE70xrQMNrMl0IlD9a2WSleO2QPnPMxpzA8buYCs667ZlF2WEqYfaaL
NlBqFHfiNs60U5VZuBhTzG6juOY0ymxUJZAq9wum9ekhK/2j2g/3IxJ/rJMUV0WRbtpiR0HiA3TG
CR5ZceQlNtGAcrAZWToc+lt/wiYzkK1qu5eqgBIoccUrbQ3qDBP6AsV0wckS7WE2PmtDMyyjtvvU
DCZn+0CCDxXmkvbTJdzncd1bHQ4Z+rog9cvG0+1pWCYNicoYMgjZMysCHIW2wiI3LjF6ofpwumfF
GA6M/2jEVH7lpb76PAykAEGgWWMe3UYmSUAAPI+xQ0zrjEzARwpPquyPdZu0Xhd1Gp1q/UahGCvt
lgTtxPdSwloZIPvFzoA2vxiM/CLW8uuy7D3fLg4RzauQyBAA+ABVbYL2WvnFGAsq57BbNjo7q0wg
0pCaCvdzb/jpqiocxmE+XSs60rTNZZ6sHdr+FFjkLimUb4mssG9hZ1SD4KGl3PeS3GUEN+oRWLYA
kiFOJgPKtlo2+67tgOqJ6iHIscFPiXkYR/WmCYYV0YYdNkQYU1l8HWTdMTL1ZWJH7cKypohx74gy
kt7Ftkr80BNIM4WZ2yun1F9yqdZblYMnvbv8wlShoYak6mR6ckdP+j6NS0IPyrMSFoVHrQ42UbK2
OjJGAJLe97YDuI8hotAfRdHmS5vio+vlzZCYO0bZzCv8EC+9g/trrGOEDEILD1jTQGe4k9iGff+Q
sR8uY615GPz+XjXqW6OmkRRU0yYL3XNcm6QGOQvDbJjYIuxFfNJ7rZ1Alk1UvMoMRPWmvfFjWol5
rLa4doNdUBsBAcHw6yySsJzgc2lyuhkiGCluHJVgLQzVM0R710XoadQEv21uhXtFyffCdp8yzmQL
EZSap+XqDY6ldVQZt0UtNoqeX/Yi6hdDpN8Y6JqWDqF17DsA/ELjFNmF4gEoWw+RfABDkm1geTyl
wTRsoX5s244UNCV0XC9TqBf1VObrpskeY2YXvD94gOUwOQdXEH1MdM0mEFM1R4Cu055hta/R1prD
OxaW0q9lPZ5V1XipSH9Z5FV5wQnsLod7safXSWieOrwkkXsdG5G9sKASL1QJvbCexte+48DUdTgc
/UAzPHznnBHr2cJpY2vyZXuDU4lbh0kgbAsF8U4RjV455qZHrvSWOIAnK2zIM4dKuBoslyq4PKmK
8ZI0A53eQQKQn7UPJiIIHBKvFaKIII+2hG48Zm9qCWQT9qyfKBBSiFlR4QwKsqqW0/GgGbugYexF
VujcVo1PKpIMci83IxINXPJXcQWCWMa7EAmHH5avzazpQJF0HBF5WEpxW8yqD32kghazEsSdNSHV
rA7pkInYs14kRjiSzQoSu0dLImnambO6pJ91JlHX37uz8qTNFZ7pWY0CQeRxmPUpA0KVZFaspI6e
0y/WEBGN4YPWv/SzugX6TrTKRuMQWunjMPKOqm57I/tGw4Cb37+RJ/SalrVhvoQBMpAxYSg+6eZO
1PlXxpqfp0q8dio3A4ei26LiA8MzRKqfbGC/BRl63dS+7NCpwZ9Q0Tv0Cl747sJUkmteKr7f8DxB
+libxmyf6hCgT2i3bOraZeiIHSm0Ed1xZ9gZvXmjFf6n0MZzWcno5f+ydx5bblvr1n2Xvw8PhI3U
+DskwRwqpw5GlVSFjI2cnv5OyJaOpCvrDN+2e7blEoskgP2FtebK+rpfkMNA/9hP+ZxudW/k+CMt
e5gYwHzJuf23QfizQaA2/22V1LzjAf9Fj8DPfa2UGNax43Ftw2WjTaFEEfW1UoIgDFgCyLllWSZ5
ehTwXysl6w9XQ0hhk2X/fYdgmDNFzsWqNI/wvrDnfpra/W6KBwvr5zIJncYMXneMmbFF6/FjmZQV
BBKPmmOdM2Pq1sAWxUqq9rMN5Eza7SPSkvtkuvZBoCHu8HSQaG0T3PszI22cJzcF2LQSfBojAlBq
Rp/cZzNbTZspayO4NasBZ8M8fVcAYlMDYp05WtamVsFXmmltbE1elJnfps0kN2NmuvGY89EvxsiU
AAT5QbXP+5DICyN8zEx5zEf3eVIatrdOteyj8nWMk2s3NF4rS3saulFfWs1wQlcilyPJ5quijA9t
y4bMzGT3OKrOS4Ry5pDDcfK0HtCSWsT35NW9qKM97UQW7PwaX7PlTNup1F+6Oju7JG6Oln3rVptk
Ur3SlRXJwP19G0bPTqRse1U+1pUS7G24tG4NBTfvCHDGqp2O52GMzvNsqhyrWbUafpZMH6gekbRZ
/dmdxzAy0ndCrmNW4OEoITnczgZIe100yXOphzz8ingDoJm5itatUkF+TEMW0zKJdefeF/5CmnW9
7Sw3X/q9sYl95Whlst/KhuhMP2q9XqIFqK0jAq5pLVCjznHy25KY3EoBXd/oNeOlSt1U1kTWXNde
jY67JfPJWqh+l2/C3Hhvokjs05zXSxEemgEMLbt6U6cxwvltHUPyOWUdvw6W786ayCMu7gtRe+es
ECsrNqlUiYDsAxDQ+Gltc0IjLAbYGiqiQjQYjEgmOSytvgOjk2DLTm34+fCWMlg9MJXHiGSVJkNP
1tivZqHskIY2a8jGhCExFdH18bq3rXppa4xVSwMOFdlQAglErlEzh3xzSmHcm0izSoI4PTxYzrFU
tF3qyFMRk7qZDQ9hXb/hVWWt04/+arIsjkvApcuxojCBmbzrxoa0SkAibUT7POFWW0Zhdu2j/lwm
3bClX5brioZjwWSvJ4FxZ+gR8by288H3cZBFcRFEaCXMpk0tVZcZ9RR2YX0xpsYtuVIvUFYOjdaf
5ERnMjX5Ht3kUQURp2cwJFK12Dmd8xaTte2GAdpfPUWSW9/1dXRbtMp9JK2dmst9iweWZIFdAp2K
MdpLXqf3VlLyoU79URjVwWjlqe1YPRbJcI1MZjP40VG0Fvq4flu4cqdVHDyjoP0O9+hBCpp041Dg
uO9r9UoNRbpGN0HN0Tz1NjVLLSbKKjD3LbT/cbL3lavfmFFxSKJuK5Kx5R1mmJg6jP9qdQoK+5IX
3ac6gvflBPptLetHjsQDEptTGwqSjcabXE0Z/XLTJ2m4ZpT7GCT2xgzkNrMiZ4cSdGN1JMNEdnMy
cneOizKuRRzs6DKvM6VjuqyWy7CtdiDIntQBB7CjpoQK6e1NH5rHtmLVCFUixP6RPTGK2NotZ/XY
rODG0pw5+clIrZfJcTe90nuNS5kWdc85i0l0OR9THUBUj+g9mEJGNMG0dpOSZzck+45LYr1Tfe1I
QpvGwTD2yI3hn1jpgcioIyPeHTxM8pw090Bs8kV06cEPxn4Ry+AEdTzzIjd/66IGG3GVnkmp3ZTS
PVewIBhjDshsVM3DvvcQ4acaAMIYicIaOr6d5q+QrdFbAVtM1gFiyf6gBcrjoHYXYiDPKs6a0Joz
Ssf+VVdog6IigDBXUoHDPV9UmrnO2yDalE72UoDJHl3a3yaqtomMN0TB9ava0h5s8tBLInLCELly
rVx37ECWurgjKxeb+/QWp/btZDbBMTfLYqcG/k2R5SdlFhT4JKiJyXzRCmtD4P1CGEzT4wYESl8N
+jahpdX14D2hQmRWJNXDaI9H9l36WtMKc61GxsYuYXBxURRsgqjtrUDd1hm+tD66LWn1xza486t6
myu0tkPvPOR9tOE930Hne2zKsNsN4ipJklWsdks9tkYeK8PGFPLSN8FdpE71yrG6rYIjv5lwedUW
CRTatgpcPhq8UGSFLMJuvO5a/RZcKVlWGgRUp+qTRaeBnDOsU51y3ntpreip1/Zl9GBmUcPD37IP
eo6pMHPSbh2WJFSVk00j3nF3MqMg3WthVbylcSy2FIwbO8jdK3YSziJrutwjFQl4RkeGc9CxHOgI
Ou9QAAsrj9ecMCa9GRzDQk+XA9stE9yhHyKsHVI28bJzu32cwmkvlfEjr+qdyV28SEY4CEZcaQsr
QjJhpuljJwOdjt2qkEsxDNfC2lYWWWxhxc+CY681xSVH+PwUazbrHXOqlDlZy7yue2CDqTNBrutT
gVWjQ0brFf2UrpCoHXuj2kPYuNIdgtGG2LP16QFS5k1Qkvdc6qz9jXypp8Decq188nszXtpB71Va
jYk9GTatYOxvNM1bB9VfS5xn4Runrh85ZKIVyJl145sL8B53BZwN4InhK0/WB2ivW78PL6pJ7lls
HJA5IxcLI48LiahhBTbuZB7sKDsBzjKokDP8FwnUu4wWnSOa2aSzsir/EjPoSBN509RIyJjX7wgi
PppDtNUq4D5Jsctc3P5STSBJoyohpfba7bPbBlFOJ0fgIXl+By4+ZzSRHGg6d6qqnEAPLymFNvpQ
7hrfhTod7gK7POCheLSEcUhzErINTlrDgU5UfKIx9uIkuB58KoXRLLzJD72Kbtgsm3eiEY+EgC1r
LroB+lTrpp8wAaErdPOdVKObSoc8rUdLVzDfMjIE4YN6WycK26JcUUg2Y9mBNg88yNrvWGPOApLW
RWYXa9us1Z86hwVsrA1rE96lwS6C0qJcQGQqebonT4SOLdFUY9qrdM9NGPy2QQoEJX5wXX9jONOV
2sHtShrtbuy1tREXjxLPNp0z6BOliz77leyII+9brwmNc2+qZz8wgFSSEhjFhSd8exO70Q59notV
GGZZMr0Xo3luCo133KfN0dK5WALZm0yWmHCh7NQ8f7Sci9TkPhfME1JmxWGjXqdCOaYN+hIlMNZ1
DXDSN0P2qLWabcPRejb7eLx1edKsEL0ch8FpUZXKxwEqeaFYz7oe++siKp9UsBRY4tp1UncE6tW8
a8fXtu786ClnmqN0w21QpTFqnuRU+LNTRZkuil4dCi0oV7pVD6uyyugUh5oSsWTzxL+NQJK1rrwN
oqHYpBNJOTac07Fp4UzNp7YpngaNGy1WYWFgz00X5IedtSQ6sw1ciliEOzuc6iNQz1l8YjzqeAr2
feVfu3X6TDaH2M63O5At9Og5p3lSdcazE7InLcQ1c8To6BoEZ2jFLijUOx27wCRNlQiRlkGGXKlZ
ciwDddPaAhyimX20jkx5lus0s85d0hC7RYefMA7siEjwMIc9jVp54w4AMvPCPsdaAFo0XhNnMcKo
jR/K1H0Wg3EDwU8eTCPOMR1YSGoa8UzC9A7hqrJE8cQMpuMvVkptLbWITXUuum2csi2s84LTMRCZ
atwOWqzTRlQV01owaUJnFGdYiqdriGbj5Xcd31/CiN9KOlHquRYQDs5410Bi9WMDpUeqOuh6Hl3i
Aj1VfqqnYeGK29+/yKzm+Y/WAvzFlxeB7Ybehyian4fZiQ9Zj2zs6KKOOyU/qaRnKOKu6e9+/zJ0
ov/7ZWxWWQAY5oHXT6IiX1VdugCVwl3/6OW9Yuz/8d/P5B8tEZIiPq6fP6saar6UVpZe8p4Lbev4
KGS+dd+/+C5+8fsjaNf5hPigwJH8JEkJ7HlAa5bZxaHvMK/Mv+RKfyt6QTL/28/np+8aYJrG+J7P
B6+Hki0TdvY2ZvTF8J7Gq9+/lV+8FJQLoDWOIOeMPIYfL6vUYV5IWkFyUeMtIjtycwsGqWLJMYxf
6/evNf/aP11dP3wtzC6+X5WoWpR1NomzlwL6OWEl9F3Nimfq2K1//0K/elPff/8/vancjl3ZOn++
EFNxJM9DuOYcmY/i4r9ca/Mv/fObYvGJzYXTEWss6qnv35RhghHg4M0vtbH209duIMTl0+/fzq8u
t+9e4ufLbSL+SAamml9y5zX2n4Xyf7icZ/0vq2K0yOaX2c13K6y4TM1GKHp+iXkCMsBNx//Dw4sN
mWpht+C2gSX044eUKzn1vaXJy2S/9va5nTc+zX95dv3qS+ciZtlNULXQ5hnX918Enkvw+s6UXSoK
v3E5b1zM665iEr1im/L7b+QXr+XAetd1DVaLxvzpx9cKfYchW2zmJLJRk3hAvUIofCUz9Y1+8+Wl
/l0MG9wp3x66syn+L0P77BL4//9vpvmcXpv3X2yH5x/8NvPU/yC4UdDm2Ojlv9iIvs089T9MHUWC
icqBy0LlO/o687T/4NDRUb/PMJRZG/H9dhj8D5cqXLl/vh3+8cb9AvRABelgcpo3w4wYf7xM6rYn
a8wiuVSVV1UgvDG2/8vje366fPf0QZ6LLpeRLt58W0cSPF+o3926BDcmRmu37aUW8T6yHxQVpfx1
Lbaaf9V351rzvvsSrv78m7+vQr7s23/7ivNv9N0rzq1wNGlpSx3SYqwdgwZ6bi1J/pKBrK/7Sjr7
riGl3EpMf1FbxGUTcVP6g296TdbYXhzk1ssAmGiHIXKGsDK402oJh9wJj6ZMHxCSJ8uiUj93SvLh
DsoTg5MryQIeLL+A7BdUI/kjqbkw9NDxqpQlOGK4gPmPtalHkiOJRTHwB0Vy45NDu4yGiB6/apGh
TSoFuB7dKj3rqza6cbrugNgGeV7UHZXS51uKaZt9ByBu36zECNvP6q99xsXELRtbwL5XXchu1rF2
OSt1cPHBAavDnA9+XymkbXb5SzfNW59w29lTTVhQvQH0txGFsw/hDy9CS/b0fVW9wUx9kkhSbm3C
cGcU2FjntxIY59YCxxPT7W9LRqjN9fSFz9Nm1SAvKdiZRtXsM6llZDXXzURTapRvaBePCBFPTICO
hR3thqTH1eYz1EnO42Q9ailB1aUy28cMY13p0SeERp+RtZleb4rTUIi9z061S4pjg9GAQfaOhfKV
CoQ498tVNIzHfhyOrVPJVTMB4A3M/lB36mPZ6p4QpElm+XSPRiEgG3BMzlGbX+VJs6FlPydTslcl
LNABeh6NGfrXcnBYy3aJuhA8P8k1v2cuRHyYogZrPSvaXdv2zSb1YfI6UTkeUTOaa7LQDmn22VX6
iwidm7plnKCFKcPssFpD0Nz7aXTV5spt3+XrENE6tFNUpxEA+6z5THooXHsrvtZp9902ayG6aozp
ZujPeI06MFzUiImsXmz6qluThr5qLCYimopzXJI5LK4yn6i5fmAi1aRJdzOM4Y3la7uqb9GiOk+I
kpYDkgtGAwp4maj6yA2kezTcBjGu0wTQiIKVoUL3ruIMyRmilUKjZbNdBq8sKQwDEanS46IOrsKo
Owk4jKWZbQbV9KBFLNvBP9S13FY0g/XUzDOxMyX9Su+VHQ8KAgmChtG/Wi8MgvpK13gQWH517pBl
OXtgcjMlZgElya5Kc/pKRovGqOyTerojy5UEnbQ5R/jHY1gRccyEvPXB4rSO/uq28Svj5ZPECLOg
d06WPbJe7PZ9tjT9ztn+e+j9ueejJv77Q+/83r1+pnj7meyi81PfTjyVnFCDEwr3q2Ehtvthy6fD
fucoFPBWbYT33048l7MQaKJNzQI5hR//z4kH84XTjh0CBxVFmvmP1PrGjzX+fOTZdHSAjhA68YI/
7/lAvRYGaaDjJcqvjNFulrrPwHlo3PthglOpjqBrXT0/OlN644zibSxSZWmja8HWk/K0jWoku427
rxP3AopGMmK03twwOaWt+zBN5T230kfbButSsQosMPYz7spi4dSWvmQLvVH17Ch7o192fucukokB
j1rCI6cDYg+WPFiBNa0NmsM5C50NGPek1M2nJLUfgnF6U3z8q37ibvuyvU+i5qpyxTli1IJo3bnN
SFGUcgjOftfsZd8VcMXqg+YwKRzwL2WD5D1Pq9gBNubwDHPCNU29j0M3X+eh8tgWTMXY4RMDcKbz
Wk8Cpjl6c9/zc47qiecISpN16RCcQSTyAgf1Z7Q9lzrRrEXAc/B2UrJV1Pm4nYp6OZUD4vHYiJaw
Y5BZ5koMYNx8zibA0Bahx94QqenelpG7KnutRpDmwwSX8crp5/XeTLYexQzHmBaGhoRjLCRjOfOh
Klk+LQMELMym2vmEb02JimuwWA7ea33PdANpfolruWzU0EtjdOAsIL+EfoZzAKgvWbyVZIIy4vYS
MkLVdNhOc2hoO8eHkonCQ41A0S8JQ76p3QubZ29G6mhB7lCqEkPaNdPLNAeTWjUXTkhWaUNmaZS+
VySYwhmR6OLr3Ui26VDBg7FIO8VwqBB1SQAq0NSTq8IsSNgnhaH6OAprn82hqRnpqaVmlvciq2+C
TNxoX/JV+x0i0s0Qx/h+TR9pWuRvczL1lkFpHMY5ptVVCns3KiNCUzJcla5yUIoqa8JuN2rUIapD
iuOQ+zq5YLhUWRBxEuSYNBRo5aTERlFoL0j1JuTDXxvkyNZKpEOHbh8mhuEpSbPS4DPzY4Z9ZNBC
D7ofyaQNsupqmENqh8ZBqjU91VWe8deHW3ZYNomamZeTcJu1xAQQTfbUNaQXkoHbjJEHSemAdGml
RcWzFVHP+AbbqWQO0E2r9K4V1X04R+sWraj51ZJDAqulmBASNvZzidh8UbXWqQK9MYVkWRswQebg
XnUclxlJviaJvtg51zYJv1Tgl6Eg8re0Jh0NHQK/kjzgKenOJJ2uk/xzgkCrZajm1b2/kVE/k3cE
YixzvIowvjmqz38BQs9r108TcOulb+mvmQ+iwlSTZqnWsGHSgKCZbryzJmJgBpmS2VTZd7iADqB4
nycnPKXucG3oZNKoCeiREgd8pm4z1+EysktwzBkXoH+XxtPgEcxIlpUouKG0Oy7jJ7tBOKz58txE
1nXtGp/daay8WOmvpM/WJas1sUT+RFaAn5t41UM20JhD8ZcOKanr7k2Ct2OeBsMU78AUkzmEH8dy
3wa/eU3S8srXKjSLtumv6l5FPTiWrlfF5qFwanE1Gc4GU2aYX6NqjG+LXPvkj5BCgmS6xyJ/NKbg
TWNQ36btuKWoULwm0c9hE8TULWG9xm6ew0KipSrsyWvxPeAwKfA+NKW7KGASLSzXBpFuptXSF9Vx
0uxDo2v7qNV2YdjcVCx7Fmpv7KxJnIdWOciMdxkl5apoQpUFjCJg3AerOMxalqDiz07m3z53ngj9
/ZF/lb5+eq9+ceTzUz8c+Qi8/hLvzEDYb00u4n9HcN4TSmcy6KQa+Nrk4uojdm7WTNMXMjXmp75K
oGd1tMbwdR5gWKBu/xGWDa38D03olzPfBKqoU0LoOtOXn9pcouAIkxJ2f2kwiy5FQwBKN95A0QFs
4wYXIrnjT5AacuhFxh2aOA4PQ/FvWZ18KKG6Rn4kULQp7LfAuODGoei22TcSIfFWBYkGDtDGC9fm
N8JNAw5i6W/6zj+BaMPFXdhvrRHdWt30GDJjotpFh6cXYjmQgLBN7GJvFDUdoj0L/Nx8PaX6La+1
6huthYrWhmgIRyIjHAQYPkmqTeLeM/VlXZ8En+PaOQm2GaoYLiH5Z9Lm4cgD6FoPVXUNLA8JrZjT
nFl1Mxy0FraOQTlLCXbkSUW5sjSwROyo5SKoH9pWC9nMkBhXe9QWjteOheEZib+xEPUupJHB3ijE
XeU25Ou5q9YwvBYF6QKHUwSTa9xNGo7iJg8JFVenB9P9jLttVenDqa6zvd01T4R1RMsiJhqAcDHM
YSP1jdWBSDKH8b1T5a7T7LVtKITSqeFDoCGaxBCPjoDlGgshioxpG+v2pY/s8xwlGMjqQSrmG/3g
wZYJm8MJ0qq9LGttR3rDtT4iQglM68bhE/IjkGeKhPCTpudKuDdWpL4lw0QQi0ozhrFlFvP095ku
nmNG5yA6cJl3uVgXrVYv3ME+4G66A06XL61JfYi6OIU/C2XL8O+LoTozcTgEFWkNdZrC8wtfhk65
KwzECeFw07jWWrWUp1aJP6E3psoCQbSsCjxj07w+1+vywx7HW7XFnFIK98TXdOyZyIBWWfnig7W/
RwsM26yd1oUt65UuwO6hD7NiRyLttTdTbJuLKpcvRm49GxiumEMMr6Ltub40ZC/ZHIjXNfKodeln
nyvSrYwMi5fcaKm1b61xK62GsQZTDD007sw62AQQRHAIlFea2jeoisG9kewWLipljFdK2IJ/IroQ
fXzyEDd8SBNF3sLk2F6ITL9prMJzi2yLoYA037rJiz15ycFZb+XDUD8TbmFwzz1nTYQsCiBXGLBV
hrKG6HcMSR+s3J1PhsRC2vWwER2SAbXtxbIttRitesjjXyk+UKA1Lgv5suFoCv14ZI6TlNN996Um
NEm/oVoL/ETc5r5BhcWq8yESsfQENSWMC9zwVJlDLig357rTiSHB5O4GHTwlKQjuFWDkdM+y0Pay
zp93+caz7MzYm+ZaJA25pMHW4fkfqmXE+HqpRNkqcNzh1imogCXSliGcPs8Il6gMnBWBFmuVWrpN
CBWaSHbycqKWVmi6WQTa50GImWm1nFTnMaIyDx0GVfiX1mgIdxG1e8ViP6WWT6N2Xcz120SVLwu0
awp1vwhzAifoBBJB2PJoaOS9kCgUU6fRM7j0DpUhgOD4/VttiQcpjadMtcl6o9+IU0CCZTlNs9Do
wQxnY8VETBx6inM/Nyz53LokYXpU6WX4rzoC9DmdqTGf2QcXC71UvMpIPkY6oSK2H4oyOsEHeqvq
iXSJzL5Y9E5WK5mrlMypDMp+1rmBslR97U0d4huH3osvjyYsnvpFk9j3WYeTd0rhQJu9E3psk1fW
fNbT4uGW4viXDTfTyK1nUxjUob6r50qBkL0bzBWUzdqeedTBb5tjMtcWYKAQTUITA4IAWtGIsnTR
2k68Epk2eT4FikLi91q6ZbxuWjfCQKKe87me6ebKRqfEmQL/VRmzY0jpo8w1kDaMn8B3xrcjxLll
1SMeq0W+yEak2HZQfupZlqFhUoslRct95FgHvAefIsIeloGuZndDXm2VXL+39TZb+gXfRmr74CAT
deX4UHqsfmdnhU/AUwsrgtOhaNBW92JRZynXGrIf6D+pGmDrrlRtpE5Kg9xjHF2va7+p3Rc9w8H6
b1Dvn6DaeYH1u4qozV7r/10RzT/1fUXkMqgUJOtSv8yU/u8rIrTONnUPJy6jjm8VkVD/EJghSfdF
nvwXjuxrRcR8xMVj5rIxoJ6ahdD/QO2MrvrnigjRNMzbeahiUQWInxbExO3keBhHYO8o+ZMtBBaw
7k6ZnGI/XYqJoWY4PQKt4n5u0k0fuI9ETtWLLMRVIION66fMNnjEVEC1PENW11YnIYaoRECi+cmG
nTHUq6klHVJ5lkHAQ5+nWHDRYjc4SYipS8ukfrA1NAJJjUKUjN3P9PtIO2ZGtPCdZ+yXjEYNhdCY
vnmeZLbtadRWhtld0SkaXgkChT9XD1OHowCQzEmwx+dGZj6vgHLPKvU9KuqPftI/OwrSKNkm4ZJS
5DZzBh5hA67oUXmsJqgkJNkxE7GcZTe559wax4Mikhvgax2nApbkwedAoPrlH+oP8FiC/xFyT6et
NB1IDejDmY8PDzwLSTrDhPVJTZ7oG8OaLKRa5UwA+2DFbrjy7aYi9bsfxdJMVERoEE0N5Bu4OBHY
GY37qkVAW71oqNDf5F2IISNPtlj4SoYYSjtrhQsPJhuTKtWdBSUgbul3EwS2XQX5JqrYWAR9c42S
GB7RlFbXnTRiDHCgQ3mu8FHhmF7UlVBhzIICzXL8T1lpPcmpgvxGLJ4nKuEspATF28xH7OCCTfBd
30Q82I/XXJtigRqYCWzfLUNpyT1J4QwGMBydfFONV73b1vsw6OzNUEFyQ1bT1qsSqy02IcPfaEn7
obvSIdarbJn7+sFWs5S3jhAg9hYuSV14WhYEJwAtRoC+JYDi3WUPANCg7z3kskwlXLFL1RYUqRmn
V44RJB55bzhgFaYKLtSKjUgNIo272tzgdHzPBs3dYBjDkFsp6ZU9yWDPJ8fx4ff5q0NO+0IfI3Xr
q4LPRsUjk+ug9QytSaoVoFx6a0y/b8WYBwsJwIAwihqig6NUh96W/SHoSRpwQ8T5xRxTW+D18/jy
BPNn8wPLlGCLEH5gJzI2s3cyXKgEISHiKqij4Fa/qRnDK0rvEG4t1iZmKuxCCtERgtxrCr9lbsEa
wpvHPRfsq1gHXTqR/euFhJ6p3mA4wxpvZRV/pJgQtw5bx2tJwbfCB1UfGp+10sGgoqjU4S5lC4Ta
nPVUbrgJyvzyAcRFsFQnv1lIt5deHQK96upnJSgfU5lTHjkuALyMkUSXSUKNVRtf0Bg/aLm8iss6
ehld5Jt6GISITh18bQXSrImA7BzlrkkU3FLmDDfc1noP0+4FpuC6DxygHK7y0cfNbNOLnjHv71H0
Pw3sDDc4iqxlmlXzQ8Q98VHs2oTkDO5TZYbTNZlzRwDhVamF+wKA5yKv5NlWxSfdch+7VCFQuBqu
mqlydk5VbeVU39aTe8/qyvfUhnqmbCuvi8eIqKdo3Bg680JYTowas/zQg7yrnPAmUPFp2gGkjDY1
yoOpTq+M30oKfn0byXCf2P7FMdhoDUa5GulKuVNwZeVcbIyJ03whUGO/xQ5DQStp4m1gdCgmBWu+
gYJsb1kI+YUlQUub2Ztbk8yVqW2OFq28kr1yyyhzNnUl0T5AbsswiRyeZOwdfiUqvlFprDXFpbXw
ZR9cZyiBGPAhQW7nm2dSfdqu+UWbwgy9GEb4RsUQe5NCd145OgsinjDtpo4tGiJzcDeF0EZvimnc
MPCmPGHscTO0Y+z5dWQg5SRiwp1iXHqV+QGfcVolYtqhTb4wrDtkRnw02yHzjF7VN0aPVc9QC3+d
iDpah7apsijztZVQJWHh1mDO+VTUZ2SE+yjHN7oxb8Fiftsw467V+37O6CMuA0PyzHLgKaWCW9n0
Oe/UrDpzJmIFQF41a6PEDGDjjKa2DECz5BlGPR5TfwW5/Tv8mcuPvy91bqLuHdns5/dfVDv84Ndq
RxN/CCQt+heFAyKt/xQ7cxIxOx0qGpelEDbOb8WOIf7AdToznTSyAqEnMU/6WuwYfwgM8A4KFuwC
2L6cf1LsfImw+I8EgZmTgdNhzuNyLYs6wPpZC6PnHU4eA+e4LMvCPiqpMhKkTrVSZ+oKEXBCFo9u
JBgCfEYuSDuntYYL2aYxAUri8Ky8tHMETJ8Nys40c+PUctCser3OD8w5s1tmDP2lHURxzKNGfmqC
pt/rWZ/cCq2HRSNj/EjNYL+z2RdbKRx/TeDkHFJXNvKFQQ1jaaWjU6j6YsEIaZPoWr+a0tx8g76j
fShGNN3otUXmiBvChs9HLV2ojguu0ypXgx7rjC5i/EGhnVxlWevf6dQaNy0p3uGtGptJUGOD1cpp
NxWhj5Ybri0UZ83OA50XbFUU/Ej2hUZ0Kw8YOb6iVumuq0pzmIJLUoVXDJ469WxZRexlZlTG90o8
mfMCJbHt5aBbZYXa2cAuanZj+YKd1NiJLmu8iSp0RR7qoirGvdMUcBtnlqzaVa556GbMLLmoEGez
GT4LCgQOrVLOTNoxyg0DLB1ZmCNGDXclJ3EzaXVnb/UZbSth3DZxyuOfFMPpZGIZ2zmlE3U3hO1p
67Ey88lYhlyY/Slz0zFXNl9uhH+fCAar179/Ity+fqrQP+XNr3RP/OTXRwKGTnXuL2Zum/nnjf9d
A+RYTIu//gk/9XUkzNzXsKjT59uUR8A8Lf76THD+UGmMQPqYDkfpP3wmQNn4uQEi4M6efzvoHCyq
zXlk/J1KyIi7nInE0F+G1FGXgq3wGg147BXxvOUbGrZfSc1JbYruuY+zQ1FzSFqqYzO3iKKlPxJc
7OeOdhMElqc43AvZmNtLS42Ug9pMr6avT6RKN++9VdaejVlhUaT+rdEq1okwVqQMnVFygHflGakz
mqPwoQl7rycvB3K5s88afS8q7SMZxoc+ZHYqkkuZYkXR9K0bMSp2Y6rFKCNjMk6R9cAIS1dsLOG4
zcB5ZvXvsS3ue0t5STrlve/CcjUnjiwHVDILQGifywwraKIq54b7n3opx5edIAPpXOttDHGzggjQ
lilDW0bbJNG2o3wIM3mtW4FnSSyc9igo39um84IKBt0piHZWYdyUtYVhzH+fZgdcfmVpeKWMKjnn
jD+nIX7MIMn7uv8pzM27zgTWrsYfYzBvuVL92qnGEdckNW0X1PdSaZAvtg1ZyWmYrocGwgiikXJV
WeNthtl81di92NaOGi+NNMTNmLcMUyUxA1kECLtGHeJRKNUr0QTbJGSLmCnGpmUCe4PvUOfZyZY2
Hhl3ahEZKKZUjFNVzsYWlufLBNn/flKqG0nGxEIgeN60A34hdMKrymgivEaxuW19d0we8kCxg5Ne
T9kjdAdUTCkMaD6+bloOBg1uN0T0LqbzUeODGMLuEjZAXRnRMpVpvkxoKnOKPgNPsBUwCam7jYTm
r01cZhdbjYYl9Su2En1EFiN6ecomPbp3MHVVTTRsMTa/JLA1Kdth4fci1ldK0QLuHp07N+93RmZu
/oe9M2mO21i79F/p6D1uYB4WvSnUTFYV52mDICUKQGJKzMOv/56UbF3Z7XaH917d8LVJlcgq5Jvv
Oec5knZzIhRGvm8M41HrGch61LTNFC3lbhhBbRV2Ua+8Fp9tWyLI6/wsrXY4TURxH3gHeGScvQri
SD7dlDMSgd+P8oFqh48WZ+2Vl5mYk0TyKQ3uD4s966T3jLPmV9wrgPLyo3cMlm9dv2+ogd+bxADv
a7fOL0PllQ+ZSeJQGmkSDrZ8qPxu3XUum2dVLhinzn5yWV33kcagTmiTDpyZmFoA+c1qprCAMLJx
UkJ+mHh9ahki99jN+vsUybBOxieMHEBlS33GA0izSGwH3IMnWzvgNxvfMjFiPVrqaJ36XbmDupJ9
ySyn3edk1uhs84/ZmEz7YUERabpgoWKWhsKV6wTN7WgZ0XVC2OPkD/O55aRCNsbJjaeBT2YxNNtJ
96d1Z1ItrvlLtWoNPGWZMy0/jI//nkcW89rfnUfl/1pRQP+X5xFf+fM8oh4qcFmr4UJVkyjT6y/n
kWujNXIckC6BJ/Df8wj2AKYjiK+/L91+Hkfuf4AS4DXnGQjsWqGd/tE+7v9yJQWmY+jMqCbqJGs+
9e9/OY7afnacIfO1s+cUIsyRwdKI92TuEhNSWerMm/eaSlcjbt9yCgXwfkhej0Swx5ksNgaXw6LS
2SDhRYjxqVqZKrtdqxR3Spyb2fWJgpA3qdenmekMkrx/LVUC3CYKHknrMSYaXqiMeNzldwyVNWE6
6wvY+HBQefLI0m8DnYT56JMvbERDM7v3bbLdaStGeV+Y4tEzlJyRsbvvNRT+Iqhf7F7269SQ1I6A
dxGxJF9baVSUZP3K0JrdmGk8WSNkyranpGbxxnTtRJg1F3KP2jqa7DeZD9p8y67JH7b5ZIwFGc62
44lUC11iQTJsInpQnYD0B1tpNGBg2rnYmDy+yJFZm8HBWJhp4qYXc0fIC4pSBdG018XXzmMm1+0A
S6KPW7c758Oj2VYeetAYUMWFfxbDw703GdnKKMw3QZKVSz6xPjKCEESr4cqN2vZY6+UHeALRgBBP
Kn2DrseR7Ba2eVtnMcWE3IHXoO0f9ASzkcd2Enyiro7rl9Kunlj5VPQcTNU1p/8cal6wKT3cZbE8
lHmFR7rdFaTl88A7Tk70wlUL1Smz5kNFuVRf2vrBQEkii9vOBEMnSAAuITQ9ZwDm9TzjuUyPA9Ln
BjTNuPKNSFN0hOJCSOABYRVfGIZcugO8K/t7PLdTSd3se2i3+R7gNUb/tJjzrd7CI9Ldlm2pEiwb
qd/HaM2RSgIvjXWpiQZrhJcZAW4d4R2gY+yyAYC1yhIPhIo7v7hMAQiNyZyZPYbQpsO+5daTCKcH
OSGeHfLJXkXRC0cbNCnUXxLME0lmSaK5IdlMAfJL2qFUq8gzFwAZuioGvZCHngYqeZB6zO1EVtpV
oWl+5QI4t/gULHeGhtemzbGzsVTYmkYhFqTsmkhhmw0rThXL7vr8hLpzV6jA9qyi25Zm36f9+FFq
7aZoH5reMEJ8O7cxmW/JIqWUyxHixpMeiHEtSIe3pMSBMrFMYymdttlboYLkmse+RkXLLTLmiQqb
Gyp2XpM/DyKj2uiUqi/ughuQ2QDhz+Qwq1ptXZFgN33nw5I6hA6VbY+Ty0jWvW7Gazopn3IVgtfN
eVurWHxKAj4iJy+KEjQ46zfa3j8GFaW3xug6UOF6i5R9nvOfkbofO+L3Y1McfPL4Q1de8V8upGYt
C1ee04EUVPl9EoYzgrdK9Se6SviD8XoVZP5LR+BRUBQArd2DOHhtoQOMwbABm7ETlv/WQQ8oevBh
Fac7Fj5qjiwS5PJlVsABU42go01NOCwC36gp41F4gqaxXlJ4BTh4w1wBDCrfvrUgGsCIuTUV4mBe
hpMzAD2YoB9EJWu+oJH7BC5C6mfPwsyuY7199Eqpg1DU7zpICqbMTwm7qkzvn7PCvm8UcqGAvWAX
ysjZnOCncRkAzhDPbAEEvIbcpMocfgNvkmOlgA4JZIc20reDQj308N8Ks6YpjNjoAA2iggqBp/tK
Y/eFO1872HAjdPgRHU1sBTyJcUBgXrLrCThjly+33ZBR9VHUJwsSxSR5y/oMYEWbP1JV9pYBlLVr
59DBsGhteWTTfjCs5GmAceHAumAfk7NcjbaDQ8gVGkYGFcNQeIwFTkZkwo6Cm1EqgEYLSSOpsqsU
ssYEYQOXChEBbutGVeuhgMJhD+m2hMoBGuYqhdLx712ZIQJQEbPC/282acr35mv6VxRJ9dW/zyes
0AxLTRmUsP6YJ37OJ+zQoAGi0+nKuYw5+r/zicO/YQihhgM8PW3gf9ihcfmmY4UJhaGHINE/GVBI
2f3pvswllL+w6zlMJ7Cb/pwUCiZHkwFvv7OW+ebaUbsdnzvnwVX7nuH76qeruwYKxayxEsITyJU4
GutWPIIlwvb7fYFUql1SWQPU19nSsmMCS8G6qf+xe4qnemETBfdPsJeqf2ypLMraaiCSan3Foqxh
l9V9X2z5HXVzjUO9w6rUAEutlngRD0XFGc5tT5hhnunzfWL4RboyBa3aUuYAEqks2s9Jim3D6b2n
0hgQ1XhYD08SE+ZEnY5c5tAuuSeFWluXYWZJ/8bKBomfphavmiNJtQQG8Eg8NBF3MyP2V1hG0tPS
4qkG3LgUceinVAMHlQkvUC9C9uM9WWWvOHtuOdwVkDZpA8vg1Kly3H2vRQ433Np/MxEPFhzYQbVw
WvXutPL81PHI2uTeHU4U2GVLV6R7ytSWL4WpQUCLbVI54axzCIInDxzBzcS2epA7/mB1O4erstYS
j9GGV/AlhoEohr5oC6NPSjqFEzZ7bOmGRXnFR2tZgn0Qox9tZtnEO49Vxm3bDOINZ1p7G3itByLR
NbjeUrH0AIn9HFgkM26wYPXeTanFg76JW+VrjqOqrw+UlfSoJKkpXjO6oh6mAHcoo1GfCXQUPc33
ulV23krzZSQONdPbdCy81B4/3dGPPwNoYjuQNBHImaSCsRAATmg1uh8LjcRx5qftS2IZsrmo5BBH
1G9F9P/eqlQu4u+fXMfqve7/qkFIfenvjy2QboFB5J/NulrOqXvLL9cqhwAjTyx+ST9aG/675rN4
fJpwb4nAsx3kYfP7mo9CNjo8fnwz1of/0OagVvu/rv4dX0f4Ukg521Kxkz/ZHDzIzdNkz81l1lik
404CtopxsvTFweX9f0ltaskTLzm7TrPjk+Dc1tikeZLod1Zk32VN/1npsl5NU3IQRPESz9gO2Pky
iOXaAOWlNK790lgvJkaewZ5Ii1jXOtT2ldUXZ/SSbRR7122ibatZu2U58ujN5bMzdaEf1Z+UCQMa
4ukxl4cMzmgCOBrNyzo4fvIEmCjUbP2WcslzD1sMeNN5Usu4wJ0YFBY+2QbUt/jRAYOj8Tfa5M34
EaTdKULV7RrrzYrz3dB1xzJyt50VXA12fY6S5BxUiMV0SMSJPPfQNKwKxtpkPns2whpspIAVnJZV
F2GIc6UZm6FnGdQu60QfXoO0vUmS/hSPczgg4dtASqBDnRsTcTL41oK72hSQS+BN9ccl8N+jEa6P
az+T1jpobbAenBaq44JuJ9aFXFaubO7nlr6GaEovseNhiAU7JtxHpy32y9zeFX73UZoTe6TyjHhx
PbjF3ln6Y9HM+75uUUPlN09IKK8gqEDaW7F95yUeiRtN7juvRIbNx1PWe9rKmJnnouzdquy7QLph
QmPeigr5S69117FZrJd4ODQL5BhPuxPBdDD06MkuZq7G1salaWFVA8yJFJopifQ6VKNb6ucjXrka
etjcR+sqdd89OiR3sp52vnRY2U2SWR6hvxinD8oXgphMRazXm3YORuxmrd+IPQJRcuiqphEXe1km
GH+wjKzd0LANDmgWWA9q76gWkFXd5+ppeZdVnTyWLn0drVpYGrlhnaCyDOthNgTIVcIeAfoOkYpF
3JmGiahE7I4LzV6UJG18I/A3/JVoTKKKIzTU4lRICMCdWqb2aq0K8M6BcjXfp/Zcr/HnU0BnwW1d
1EIWfi5uEXa0ftPpm8zlTivY36b+TJpdfBvVYjfQzAeNTW/lW2s2cJfFdLY2m+C6zcZ1xoKVisHP
dLFPaL/PGtcfcWrUOpn/lsWyJGphsWtO1c65AsurltByaAkQqsU0YzfkKml/xCAEV7paX8u27tet
HRARVO1JkyCJyd5xsPHUDWoBnpn+ZyyDt3I2Hx025Lx+XByV3oazWp9bkusIErRcO6VIQMJhNx0w
RUv27pSIXgb28H4xPtnT/K339KNgTw88FjCuBu6LDX66APwp8vo8M/lsC7XmN9XCv2LzX8okpn8p
azdmMljr3qbKZTTKF8pq+SnXxVetUibeaWTHjztrK7LpEGn5TlDyHQbLgAUK/iGonkuqex8I4B+T
DTygmQret57LCpjbhZfk+9hvNGxbUNckAnttmbuoMl86oFoUditjtHMgV9muejd9mWOyWYFmf0mj
uli7+K+QLD60vlm3JiLcFOkwLaNniyVvOAeYe80esQSsEzqGiZG+ob2rkQ8J24S1LuYZci6/9ymK
XizsOayVIo/3l7WtFVwpCEY+omk2h1XFx7IBpc/Ls74VOsGmIYpViKvBVZbSoFXUB/hpLq9tOBI+
uUwFzop56TFoWIcx0YmVDE+lrh+70YcHqAUBTmBAyD0tt1mi349xd+WUyYMxe/BuBTy/RtDZbI/W
2p2067T3DWTU7LFJbJwI7D/WuSeBBCdJVm6bsY2TUKto0QHfrYNqHpKDzb4f8wrNGLqv7cA94rMq
QYyXbUG1cW8SCJxvpcLze8aU36bVkIb/3qK+36Jsju2/mUWS97Z7Z+QoO9YMh6//53//MGmqr/o5
hhhkSQJW+yh5kNhVsPTnGGL9R1c+R+REGDIkSH/enr53TBBK8XH2Kc1RXax+G0NwYrJTQTX5zub/
p3OIo5ygf5xDYJfwXSiIcRh7QPv/cb1rqj9c5nV+o1MjuHJsPn6GPT6xWI139FtfZELuv13SEy3T
9BfNVFRAqueGxZMa+/pn1acn7M4PBLiBaxm1r/xGctUCH+XhuvfzHm94tMF5tB9H/he22mokiWlZ
xmvr0DOeEp6mBmnTTvV74okTBK1PTySbkZOto2J6NRvyVE/2F26hu3jG9Gy1FU75tOj3Qjb7Jgiu
WgEKl0f4Aj4N1YUkmjNAGqsePUAOo5n08EHtdJcs5nvekJrR9RdGBmfrRfRYSeTGXUM+jt44sm42
HfKMQUCywfZ3prYPLLHJEnFPcFWimFnjZpDTbclyd9X6cju6KiXHi7uiZsQMF39c1lpplCsNS3lg
5V9xF8rdbGIeTWO6nCmDfwBN/y2XtPTp5UjXXStOmQ2FLo3NDHOezEOiOU7oTdWMlOlvsHQcE6cr
1/GYP0KV1Y4FEDJ4XrdJw5O39IMjl0XOFac7BaX5UCf9Dkf/LfQGbdMvbMbnYuTB4OPzw44EruZ2
SohC2n7wKoRxRyGBRmtU5XHVswowutbDUqSvGczEMWepzeaK5WAKfpS9nKj1b4pzuycHyO4q7ecN
ZlLunJEFdzh5TgSvP54p111iBbSGY9a7lVzJ0rLZUjK2iox5K1+PcUN1WEv3a2e4IbC/VapP7WqO
gpL+8eQFSfhuauwprHzJEtcCaxZjd6xLYprdTAB3xGUVYr4P1kaR2bui6i9V5T87RsTvve2BqU/1
Si/kq9Gn1/RjXjcpbDotNnxaeTmxbRMDYdBCI0Z6Jd3XyV1kVWcw+HAeHe+Qazwy4zY966J6rUWd
Uhakkphps55IKbgjL3Qc2Dsb+bCvDf3GNNtQOiPRKSO6auL+0JbysdeGXdWWbLkqsL4TucciRQpv
hwAT/MhWIk9w0uvDy1Knn+3A9C6m3ZhK+hdKmrhKt4Ioxt9q9m4qwBphFgz3fpZvO/iey7kbTpGW
bmc9OMRTeTGc8sYcon3uALDrXYZaRYVWcMkeQhWchmVtLhQSuwDZeIOmUehqGKdrABdVyTctC0eG
WCSKcLRBLBT68C3Jpmw9FZa3MRXnwMraj4lTa6x8htuppya8Jv3VB8EO/8whMeDxLaxqG7Z4Vrry
y2DaabR5bJzJikLsrOM20HwwGugi8ZSQBY8ywUBif+0hKW1pVftaWcML65YvSC5iU7VsN2NrvJlp
TgcM4XLcd2634XE0WKHTl2D6IOd1Vzx7lFVaMtRPNRNgSV28U4KG2Fq9dJ3HQc98f5fgXIBTySgY
j3WJd9GbmgW5OJ6MjV9SdIFxyLT8PVdBbD+NhfJ9Zrk89/eBDjr4fgwazbrqp766Gh0kjBdc2uZw
yTq5r2KqLaWAyVHZmb1NUziLNc5Mo4nvWnSksMumo22X/bbRGkZwzb1yvAlRiZAiPk73S42xeZV1
LotWYb9kGq7vZKCDwtAX92hVvJmz0s8YFTBIUyr/JiP7HWXHXHe+oBNhgc0fJAMNpSrCUo4mPmyc
wk2HCj1n02kGrT+lgdhmUjvZZXOrRf1V4VdvQzqyJbegczCmtAYLsFg6AKSt6ZjMeAqIaAWefE9B
a7pK++tMjJuWiwuNPde9bopz1MK1FPNrnpjfFkPnu8TOt2womIMo1liO5jyRYXEaTMPNXYZxnaoA
km0T3NOrPPFOepZjd5sq1RF4SNg5gy6Y3LBmK7zizXh2PZWdc4J4o2varcmJuR7hU7M76k+LPsOh
oWiNn4LceyX4wrai08uiwQ1bgFx7QeoRzefmW0baQ5etFyd+Nhv0Mt8WEVfbjFB/Foz84QyNKoRk
LQFTPPabtcU1FlAl8JhikiNtBuO19HF++D5jfGx4l3QsTxQhYl6R0SUAj94W7T7uu3c3GOcNTu37
OdfqDYu3HKM6BwiyxGPU4zrvx/K5yquj0OjW8Prlpa+DZMunzuY9gBrPrlMLm6r7bIPgkQf0Vpf5
dVYkqurG2luieqwHtJvUm8Ih1g/1aN0MXL4Cp/pIOeiI8etnW++u6EKOQoKCEVsEoyEQ3sDlHjgS
ujFeofdS25tlh8CZ/dUQlyEdLvWuddIxTO32kqX9DZPItjS7p6HgvpEBhLB7kzdgb0+bTKe+HXNU
vQ4y0J+4spPQg+q+drOBIljN2Llwhg4dP9CwTfIL/T5i5Xvdke6VhpR7cCQ895gjh23mikOQR9ZW
S5d4p40GZNXADamQ4lbKJ+0qNkwcO+BstZa1R1fqxWExMRQP+HcJ+tURDG+sfXZ6k/QCmBMVPuwe
CDqlEQ84Z9wvhclHwvFvzGZYuGVyMXCr6UtZxc8ACTGWeF8W2/oyufpWtoQOsvgFS4a77qz0EBXy
Ra/8vWU39yMoHUvQO2LOWajnyZXZjO9xke96z/wMsuUY9+ktCXGuFZ1+X9rqIa453MShwf87dv8Y
u5mS/2bsrvL3vxItbL7ql7Eb1KdBxMn9fY/3c+w2/0Muw7fY/Fl0vasV33+3f2rlp1QEIHTsDn8R
LTD5WXxkVP8CdgzVEPEPXBWGz3f649jt4fJTNj/LdCCTKvfxr64K2y9Ew+dovvhd3Nx4glkHL4L3
QsumeZzHLHudDfpc/G7QT+PM4pw1eLJmrF2evGDs7hO9yndkPNMrl0z3xtO6hp1JnVAypJ/zPAlO
g7L/OMoIZE0dXz/4ur3GsgQMu5LTXmNonEwMEW2X0IworYybtl7uRDlGoKUJODYYC9+KJImPgLWo
BNA6sTaVUan1fclAPT8FJvT23Hqfo8Ijoou9qaNR9qpUlqemGqcQdk1EBF2/QFqrGJyyjLpWGmah
ebEVMFWogzprbHaLeqYK8SnBPti3XVmsCXrGanv2mkxxxPpsQD+WR1HxJKEVKjuYS0AAGk/NTWzE
L3o2A2Owmq0ty1sH6XCT6p2269x4IRHZW8ck0b1NbuVXBm3UB6hiwVpPIHNkeWlvBlg2e9cARMKZ
nR3rgpapqBpul4b+KZm3hDA1oria44B2ZhVixsFZWAz0w8xPR+u15C4daV3H2WdcWoJP69kb5aFO
2iNbzDec3VjMcnZBSGliY8QopnG9dKqCK9nwqGvWuZbp28g19sLWAOM0MfLxsCu6jF6wpZfvQCzF
aersT7afLD50WlELhzYkKv5omIjvyZXfEvy3Vtk07cwhfzK/B4+pskpXjYmPrTZuKhPWdtwCPuGB
JjV9N5nwdOAnbyL2SVRXZShPgx0TiGcI9MriqrWMT8ep+m3rjvdDgjDScqIpCoq9Kgr94sXBviyq
3WA512IKTnLUdwmNgpsljwl8Re7NHIntEqeXYkm7ldsR4Ke8g7bB+eQwgslMe/QtB/j4ZGNXQX1Z
+uitMJsPi8j0Okj8LyB3dnBOHuklVdsbSehXgiSg2G0uznXmUKQF6qn/YvtLExqWgxklqqbrYCwl
nwqyS9cGDnDahWaOWhlQe+KRv7mOgWwf/n0Y/3gYs5f4m4dx916mbf7et3+xB+Erfz6QqcP2eRrb
wLR+04N/PpAViMMFb/ubvvwH17WOTGxSysPd2eVJ+XMPYnmo0qwuCGjgdvMgdP2TB7KlQJh/fCD7
OlI2axiQmDwJ9T+5rjVfs7JmyqtLz9V1OSHzOuJs2LowN11XEMxL66ELi9w5O7K+6Xlr2jGu6MYs
HgYDqy7+tOvabF6h7R3ztrxLi3TdaWa1sgS4Dcc5yYmtRemNO8JWAMHb7DrRx2dqtz5RLibg/2ZL
9tOtbult2RoFxt9k4cETwaIxbWBzeSdOHdjIiZURHt+hND5MeAY4i+KczNrgU/7rWU16NDO3i3c0
idnLSscyDZRRWuSjIo1ND0QLefAITe1qj7Q7XQD2gxV1mKyiYhQ9PblxYl83Im1fxRixZBiswtwO
VOHR3NzTCEaWERdg4LRMw42DIfi7SpCV3rBs6u/qQfFdSYAp/tG7KjaYl8+ekhswke/87wIESoSM
oG94SpwQSqbgeDhx/MBhajt7JdEy6gWoUcIOqIpwvqF2aM1y6FA/BobtchixsJRrAAPX0+hcAnIZ
Kx/dpMlNthnpu9SqK+QTbVV1/alXUouH5uIr8aUJjLuh1w4uqgx4xrOPSmNadHdr4x430ZF9zj5G
zYmD8lyg7vQVFTqoPQELbBP1h/s3Tc3ePjLii4uxbVXn8j5HL/JKmoulvhvRkZqOu8M0HgT6UuFR
0YPeFPjtMVcCFItiE337W4m3ykahslCquE7vbInaUbXUHLQ3wIheARNwMfDXEqWrRAkkaXzxUcDA
QpxLOKUtytiC4XpAKbMxVfG75P7J/RolTYBialHWFsvZ9ihtwhE7CJJvpiO2PkqctLqPuEKaU7/6
2GN/h2aXFsbOR8MzlJTRo+r1JrGbWpwbF7sgql+3aI8OKmBOWBp5iuKmrDi06IR+6q8CdMMAl/9Q
5s8s8B4rPcHepG0j6Vxb6I3wA9ikDCwfZuN6RJEkZNOFARplhlYJ8uPImjJsEgQvtEwtna5GtM2q
xXjkz81n45l3QzDdNUoGjeLBufVQRlN3RCKN7NPsmOCLc10ciixHSU3NCvWdE3peOVN90V0HDAdv
qV7lc4dWC2l24gRqg69zPJ3JO8NYsK69NL6d6s5dT8Sy6V/y1lZdv3Vi5u1nuWspgcDVw7zVrOiN
PcppDKBj+0X/kLHbtDSLBj+7Q0epFnQvulhWVmF7oZZwBYeGUSKwGKfItu9sSvLQUCluERO/8UEE
N0Jqu9bGJsv9aS+TTMPkAX6/nowTzaU7ssihEyDDsNmiuoFVQ2oyQJFnvqGEEJqK3dL1yyGYzC2k
TwxaUXZt1dC8WFgWLn2FpgLp1MUXaRf8MhYN9GWLLTCa+WF1uCJz/wCuwlo3lQD3mtFQHS3IwRqE
vko3g9BM6AoXqbwu0pzlWqeFhVm9dJ4NetAshlArlnOvpL4s/UpSVKAFmjB5AGFNKhVSiuHOLc0n
WDNHzYn3vtbnW/RlyepvPDmBMSOH8QQotFyGgSz7tVlH/YpNWL0V/Xxd1ThEXSu9ZFn9OLg9Imky
PcSuw/vdQOxQrDg/u0Q5P5qkLlDoGvEYDEUZEkoJiJ1o4zX59/wqcdzs34vYb0oGx+TfnP08Of4K
wGXzVT/PfQ53PFKm9cM7BiPzv/oHzXrs0QLXNgwDGucvFzEF4DLReV3Q8BSM/AnARWqS5CGmMjVR
mP/k3Ifx+edzH+gmKC/c7abuYAnh9f16ERtMVhu1FswXTq12q2t5uWmJX2a4mDFCXCE5Tw47QYf2
FScq5WkcAfOQWXH8DPdig+6XJrpzPZWs5zCHlase2J5NXjDMZ6vdmkYXnMEWV3vyVPLWtBuOYLvT
rvCXOoScq5cAMFWoOfqXsmavZyTLbZFWfPbGKicpw+PSir3Lghc6LKtBrea8LEyrER6vz7zfp+xs
ysK8zSwtPwwF6J4CWrTeJM5e86ZpxfanPRhZX/KAdkuHMqnsjkbyzzGr7xECMdoj6zbAnw6Cndsx
DqiOW7pAXvTefSMieRfUfJfIyE6MTSM7c3TsqczX0RicdBRKVNx8RVnzrZ4tT0UvHwNRXwHkeIPj
uxOy4MUuoxniArm2HfJd/eicFul/XQJIX9Ah6tA3BxqkKlWFOtah1ne4WbHuB8jzWWJhDPArZnqS
alp9Kk35IlJOBI+KVVXsRouoM38sqXk20oZ/YAOWQtEMdWHV/k1r+dq8I5ePAp8ospiOtF+DYfaN
Bo94tTNpGNWDcWeyKOuNYEtT0Ofi++nG8QZKTxyQPI2nSp95SJZ9K0OM4JQs+aPEi8bTeDTtZwrV
Tr0GAKS25WaYTDTz+TPy3A3eCsVwjd+pOECVj6nrzZxy3dlLtTX0jurq3LyJmhn0mQtgSgqJnrO8
+zVwEwPpi7t1xUhjA6xCBTgM7OCEqG57vcCi6HJHVbXAS711oBGEiVXuesPFthg/w7IKABG0AL+6
nCGJJZ3PRg7SK7SmNIu7tTfTBuzlZUpddcudKo66TVoHT1jdbrIirtHi3ato9BuOf9pvOid9ZycQ
Qxyr3r2J/Ww70VrVatGyj7rKhgiXZRsZ07NRoMOvoJVJNJLYXpF8v/cij/dUZZl7syiIlNEh2Jfq
EKfEDeoUbmvWLRRMj7ew46istaJVORX+hoTZdeGaewLUPNvj4DKVbctV2UQaS5h2MVJj0jG6lTMi
7VOcdalIQbMyRY8fsy+96J9FYX3IebwRNmKbERefGFxxBMWF0vjPmPL1jfBx60ctLc7B3N5Y0vpK
uSUCpkz2Vj5/jCI4T2Z5T4eSCAtnAQzW6Rj9nHjrO0JspVoad5H72lY1eGzS20Jkn2IZ6v1sRrul
Hz1FkXZXrc0eIYgVFi3G6R6n+UaT2XM5Vs+km2kVG+z3Rhdvpdvjfu4qOBUUh6/Sikx35T+JRqMm
bjj6QaFv9MnZuAnAMiAjqDpUbAMZXIlAe+1qKslEdV01oKNGj5LZJPZeuoVRIYutYD9IAsttEcCs
MXjj1W1gX8ys8rV1rUJ+/16Jv1+JHU6R//ex+PCZvBd/YQtQX/XLscgiEeIjJxwH2R8oTMoWwNbS
xgOIEVHlg3/bT6L9c33miso1lZuvowgJv7sTg/9gccSErQff15P/DEzgGCrV9Qd7orImGurPooXB
VafsH45FQJKWTkOcfxkASLdrYZHCcnQMWqUGRTXeGDzFQkfpCNHQH0juGqsK8/DGGIJj52RuKBH4
t7GYH3ytqne94O1YGinEaLfYiF5+ic2Jt+zSwWXfkQnrtbWl9U8td5i7GZvezm1c0ov27HIueWu3
Numx9YbmxEHer5zYTEjSGB8d1CMdfNpejiWfa6GaRRUdCGHobjamW8QI97YmTIbte/TXel4SCvEh
zeb0xa7iHqfCHPCwLHhV/pQRA+u1vSGgSgtFu/H79KuBxY8zTwH+OmbYvasgRbFcCORYRKezqDQu
kSlg6vYl/x+hlr2H5W0l+eMXxVppMGLzp+ASWhSJBcQBqy3gLGDULgJYywS0pWs401hqvXc5PBdX
kV2qbnAQN8QdxbFqL3A1aDpN3y4IUA7AebeoqbcBFuP3qC7Nd36Mrz1KgDIBYBl8G/7BqZebZszm
NX6SZ6v2vlTAaCA4e5g7k6MBpgaT+kM8wK0ZGQMGfJINQBsdsA0XfCiOinUDs8jbybx6EWN+xGv4
OikuzgwgZ1KknL4LtinoHKcMPqVi6RiQuUHWEPBhVVCpFnCuQQrAk6Y4LjMF5TGh8/hQejIdXM+o
wD0QJSbC6sB8CoX1Wdr22YXzw200rIBAbrI4xQwfk8HFrPJUKTxQoUBBk+/G6xZ2EF1jISVjaMLp
oHcbXPJEfulooG+sv5FKRNaVnMzA9gUG0AvbzK8gJ+1tZBlfpZKgEyVGl5HJngR5OmahsXWVZL3U
lHRmvF13PbVbK9qX0bZTJXNL2zpoSviO2eaHll/xQUAVn1HHbVRyS8nlAS7TjSHabN27EL9K9CQw
S0XIZ1+GUknuKXwiN6GR18PJguTJZyQCz0wtHWJ9ZIBBVfL9iI4f0x5Mr/h0sVD4TZT+BMXfzXyi
wum2Nw/Y7aLxFPA9W7u7l8os4OIayAr32QuKC3YOjgRLzOsIh0FGVkxXjoOye/GUBaGaODcrIYNN
6wVNWGH1X3Wi3FaZPJkmQB6teKRQ9ZDV8XVXAM40cDuk5nxj4n6weyDPnjJENNN0KXKTy7yevyaY
JxwX94arj95B1N61GRTnFKNFrhwXvvJeVFmG11b5MWISERAwjfTQY9YwMW0YmDdy5eLwlZ/Dxdhh
e85z37QXUzk+qI4O1pNygVCU6awb5QzhuMtWDJG7mJUII+8yheAQ70Y3esaDW8KuwuFEJI9HD1+H
bDcxo/wPe+e1G8eSpetX2Zj7FNKbA8wAU57eS5RuEkWylN77fPrzBc3eNCWdUReBqQN0NtDoFsms
rMiIFSvW+k0MOTU6cMdyUwiUijqiIQe9CjNsECx4DUYgBKN42gJvUYG51B0KQJpAvrRhpc+itjRX
EbAYA3iMDkwm8NErh7ClMa2LGQpa30cgNa7QOCgFyqaoYwn7E+XSAICDKawAOKQXqsDmKIB0TKfB
1hTUTpHaLtqr6J0A6HEB9rR+dSI/In2wRAkE9se1kosYMFBvBdKhDzwoEDghue4PTYBDWI+ClSEl
FdT4eGqmXTSPBdJolP2TUWCPYLT2Mxxsf3qjew37hbO8onJ2Fpil3g8fytw48zLQTLLANdFuIZUX
WKcOi8RVDfzJEg3asRgvBoGMQuQzB6HiXfXYcTQCPAWIynGSlsZMeYidEGm04nvTQmCutM5scBfA
nQTbk1tU8Ra1J6/JNwNaE2C2bMBbJEM3KmCuEeYlymfBXG/1RQncC4j3UQD8K0REcoUJG64aI6VO
lJuXg6Xco356YnjE7F4ApIGTFUq5AQN0UgMzG4GjWAJ3Vg3NFNbz98xOZ24EtqKnjONGpMZA1mQP
gb+WSSATjwSmzQpABBgC59YP1jUeOCejbmyimkAZaGaGBqe1YnH3kxq4HGWXctJXzlmJ0eRSBVIX
M29J2SnsWqIV3KrShIV2URoogproviEO763ZO8t5FvgNgnQD1EvUSM5sW0LenDL5sqzK2yBSrgwE
16a0wm7wd/2OzJQ7KYkLtPIAgYEWVYggCmA4+05z7X5ZOuWC57srwwKFHjt7qFwqy06ITzkaf9QS
o9CYuVS12fNOOp2fdbl/VGM6OcGbYKpRTAU73Dy4okMkW8WDBj8hDB2Y15IbcSZwT5TcbNDsH/yF
k1Ef9WhVIccPHpxVVkxd2zj1LZlVlgfg4oJskTXeasAEYW4RJyWy905Kr4Zs9JeBFP5AefreIG/W
/CRZum60JI/gHbjtlWKgXFG0hYX4hXWAuDpbcapHaIFQZgMyDhdUUqozIYTgDcnPSI4yyq1IqViI
OVeSdyyjqQqLKf9pSyloEt353gkigVQkBncy15FvGJPck27lonEvSjiiRPPKcU/01l/6AVWkaUzx
/0BG67o4zeI4881JGcgexgx0CEbQEE7hH/87j37Ko0krf5NHN/G63HxsKxn81UseDQPRsdE50Oij
K08Z8UtbSUGYFB6PDfpUaCeQEb/k0Zr5BZ8Xmu8yJmAksQJ5+5JHG18EJAB9Hzg5iMDrym7lJT4Y
e0CUmvlvUADvy0s0EuSCFmlzio42wShofsCewWE3glkmt/FsKGMBWIQ3nLknAYWFmaF0iPyl7XlS
ZQeW40qTysB62WkLztvBEeCWk8GiPZ/hxSXL0UMLyAtEeAtJQsJRyO1UrOkLGI6y6U2TCifoXv5G
bPyhVvqtU6B6afsOeY9AwTvSuMBmV5oXnQ8hAHQ+Cn5kNxgCG3b6Ix+ym9YPEDCoKX24pvm1RMsq
7dNvtSN9c9PhyDetM5yXTtrIP66z4EeV2QlUOOsc5BxK4p6NkUNGDzsOzKWq4nqvZN+TQR5g+eGZ
nNUgaIq4W5H33QxqXs6RJ1voOvZMaoiYs96RDEWS/YAjODYXsXlc1fE1HtbR1IYqb0T2Jf4sDxxi
zwNE2qEWwJKQvbCeu113auctuID0ngLFd7dQz6osvdfRHZ42UenNm7QjWlvJOayLlRCQxZf+R6zC
8chjO591yMoTBrP7TnHAJUERTwaUTXNK7LMBXvaCxV5OIaAd4zaNpYp7nHr0sdmRFgMmZXLZUUpz
Vp5qXMII/xno4cZKymst8MCYjreJN0JLsHhIXpIjo+bYdShnqHKIe3hfmIjWVie+0/+k05LN6Nwt
M0w+pk0ZohMkq990z7jUa1Q07CC61j31Z6Oa7cEQiD83mmYBzfI2kZpVlfnUGw2THlATzDgohRy2
4u94wUULNW9OqenjGBxRn8Eu3JjIoA/MMVrIVh5OTFteFrWfCetsOOU5bw3pp24KoAWOCBlUMdoL
EwWPpVvlR4GbFIdjEtHapKVASWa8tGJj2aX0nwq9QLnXRXk/4hREcqJM7LEKZ+yIZCBWJ03tkUk8
VLzDRM29eVeOV5lX8qmpvfDcduHKzdVoa4dBB4LaUjlVVYXrzbwYge+2ie7rrL+1kWKhkpbfyUqG
1mXmInZN6bKTgxUQAHj+kr+SkYCfSRZmY7KcLc1BXioy2nXoqjor+pN4brf2JgmLYyB/mLtUeFrj
KHBgetiDqw3+7l6CjVFhYPhWgvWrOVaYdNIqDpJTuVTwrRnz8TzpTfVITyPSMvBG3kGsOr42i6Lu
G87qZTsvpcoPvjIMbn2m1sJC3QwMbWHit5JeW02Maope56OGwkRc+VN4wtY5m2QAnqII/HOt6L3v
QZPPq5gpNNF93T3NcdUOa/Ipu+sBuXkr3yIL8wtZQnXL6C/kWELpuAgQVbKAa0yweB1nHJ6q4gC+
kEslKOjrYAosKkaze8AkqYsvMALuiyWlVPU26jj8nMRpLshYsa/MetO6lz30KzibDiVKxJ2bOUKj
XDeKOdKZlnct11ZcfVcxKgdlqY30Egs5Md0fkRH4+omMsIXEObxv8n93Y566MYb2++0yi5sk3bZh
8nd/b5iOkAdSAL/R9HhilrxsmDBmIYEAmQOK8W7DtFHR1ADFKajU8iuii/OyYSKjyT+wadKocRya
Nn+yYZqG6Lf8U3iyxYZMawf0sOrouuj+vC08Ka3BtMiS5Gw0/EMAfhO9RV+5Zy2NaZihKAE+FiXw
Ez2PowWiSiu5UZZBXp/59PSp0eKToELOkKaNphx2Vb6OGv27WwGTSuuTflTo6+ur0TdLNpZsmPqW
9x3jywtQpNHcTJI1QqHmVEeieuLGzMyRdUCvBvfyOGKTsJMa1K7mHzXUZI9TLTm3fTYKkl55Mlrg
dZ3ozgTsqbkKp3Okc0p6prkT3nZKKyD2JPMGTEC1gVARwZ48gxrxgOE2zBvKDzAHLZP6RaQcAMc9
rmvrQHOTa23oN4M+nsAfvIvd6ppaQIbMjbfMzObINIgTWWueGZl1GNcxmYJv3GiSNENQ4Efnm4uq
JZCW4N4mnWOf605JexgKbRedhh31a0lxp43RUbKxOJUqpfTNSWhSZVTwZSM8piOBa1c+HFFyYe83
MDtJolFZ+KaTLKTQ+dGzhxptc6zDRznNiws50xZJFMw5hZ1hmr1otJ5SHHLlIfagWqmsNcWfBrF0
2+ruN46SC7NpyESoxVNvT+6CobkBnAaYboRlqfTh6YDS6ARVpgu5d/tZFZnJ10I/MIfKrie1DRKO
wlZ76skwmjvqZsBPuunQtFc+EsH8b0QLTdgmdZF+bXgMF2DhNAokXF66bGkEMmNjK3S4h6Oi5T2E
IQYvoWzHs2ywgTkP2mVgA/bv3Ae9YFcMTPNaz8xLidLtFAG/YwcfGeiBlg9phwILp/JLyXAPjLDW
sWQFr9wX4bXtpvc2WPjUTS4SSk9hWn71HDIwUzU6yCCRucpdpYNUyC7JkdybctJeaLqw5bBcVLeC
CM/JZjZSuDfGaCnr7SpSETNOmx6YOawaIEb5TDdhQ7J532boojsKgHFkeJCUjqsAOxqSxrRXMLis
yp7mvEX5tR8yyipOfoJb100xRpdu3thTUE+UggJJgUqBxUjSUDWNy+xIxhOUmky0aOzqNjCtY6x1
L9M2C6ZW4GB6rozjMknR3UlRgV84Q8rM1NQfeVpc2S0v3ui82QB4RW5cLF4kZaa1BnRn+7Lp3FWn
UZFVXPfAIuOjbck5Gnbcoqf1OS2pQYK6jKpJ3pGFhQXcYmkc1p42otDNuW4aM6KTGo+JupVmckQh
egDrowggBIeDJfTXZD5ElwCm8BGCPOmNayka1nVrXnt9ex3FSA729jnseQoJHkCaToUFqwXS14GT
Ip6l1lw4b/hDax7ikUImKPKlxoAGkErDmvc6HNKom2c5EEV0SLSZKukbta8w5JNOerlO5xCQ0zld
tDXgkNWQ18aUWvjA66LbBMwdTd8yw36p6K4Sq8vowNXK0gVqKgCOPE+LY1PXMAP5959qTKo0GLEL
3kTUqWPpsmjkTZUwJXQzCQ4zy7rJy+K0itEDQkNuk+fgNRE6q8LehAEW63MSYHVhKlQ+5bE8dhUA
oanO22bEj7AwSGGbMJuaOv2uo/24yCRisBfY6Lu1pY4ygLdy4TOtMgVTQBPDYIfQqEeQpGDggs3Q
T8baP6uEawttd3s2BNoVcqXdxNOz86KSlwCgr/ORWJkpV4pXUAkc6cTJmbX2QMjmpg+STQ9mXSDj
1Cg3N2hSKVM0eYXdAKyY0mBSR5X7vTXH72VdXPqV7q28WKKRqjSC6o9bQ91c5Tbac2XE+9UkGr9a
2U07y4XYlZR3YRkTKqCM+84ZgW4JfyGZqHp1DUv6a6TW38oCgngcNd90h4aponbKTJZV/4jstUWS
0Tem6DUL++YCur6iHZRVeJWa2nLMAUe5kfK9i6DTOPRpDXyVprYTqRMtN0ns1K+tedFVh6N72wVH
uq9dpCTvtmF+DSm0BlrCq0nrJVJheD2Bcs1jpVrJoblRCPRzpXfO28BkaeuSu5LwDyDzHYN5bFEm
D3R9hlr+cZXHIKbUlYVsDUdPRNQH5Qqe/5GfUU6Baf3NqmH8yEV9WNSnAkJXG+jKeZZ3jnszYDb8
M5cqFk9Towy+KcO4jOMyPE5xHF2gPXriDJa0aHGCWWh1H05GRdNom2KVYLjJvMu9Q0P4Y1X4BwFW
yDyngDRCE5j648YOEv+kS2v0+PF5MKxvYQZDEcFQ0Gh1MQ6nii8HU7/iPdOqNmGO05+GrZYRvw7d
enTOFK2EGDdShXSBDB6ge3UaUwSz15C7aI70aM35OZ5obB7hgmPvIjGUE0CdB0SjQ5MDd2TruDXU
GNZIpY7rkpUTIdrCm+iVtPIL/VTXK2+V+vJGG+QNqrp3bDmwUZHbHGRpltjWTAW0rdU8I0DpbIaT
4X0fYJ1oeD6AglClLUydOPXMW79P2iWA/nDeUfMqsOyeqCpGRq1Eym2ZR55ADt7B6FN09xImzUqS
OhWtAA7XOcymoEmUKRSpG4afXVyJN3kfHraqZy1yEJRlZS5Dm9a4oVmYpfYyRyn8fFCthQSuFN1t
WuP+1MdXhj7MzNi4Qf6QkwQycJz1DjrdXJRBDHlISWBO9QulztG50+8Jruc1QOop8rX0nMziElnE
BQEOuXtdMKWUCq4koDJrVFapCYIf4d8zSpro57k+sgNONMzLHvMp4n6MhPmIpYSJUl2P+EBuongb
ZOp6RNQVy6NuaQUhwdk2T0lyb8syP+6t2JpmiTRX0Jg1Ovs7W8ui7dTLsmiPWLkrQMEyama+6HkJ
aiBwPIWtNlKOA7c+cuPsG9XC286NhIuD9a1S+5OM0w/SJA7GFRLoQMfwvlKOSBG8iw/G4LDUy5Pe
8xZ5p9KwCewL38jZoyXzpsnbk7FHETgN7mIdE9VIoaCoDcdtbzeroRxoOfXmSaLggWsmBELJX8pG
gEu1oa+iTD3u5PGoKTUN829Aeia24mGXJOeaK4/IWtrSROpg8mHMgbySOE12uqpNjCQdpnll6fCt
y1VFIwyoTnhndeQwdt+cW3mlLZ0SgxvPqarjpMDevdC6ozgEtAKoA3qDKy2dR2Sv+ojyBeUH4tes
pUNTgIBNPztwHnHB8SNGeHzEC/+7evlUvfytxNpXVAGachsM4LW2ms3pSVURSpMVxIpewwAey5eO
AWcB4TWZutQ/5Uv9CzqaWEbqOgpC+M68ggFoX9jMVY5wmmzRvudHf0BTensWM+RHXyfcLrGnVAyH
Yvjbs1gvI5pVlinFS1GnY8l7QJECKnyvjqnnT4e7v9ImOc9wVamESMIHtIFD9wLeqqKBe8CeWzzI
K41ZJa7bwgz1nMzQcG4iH4NqpM7jYVwBUACEpdVpox9U9C2uUFCEa26iMhnanN3yLLQPsfJxjhRc
yLARKo3+3Cdp14aMU5I5eLjMtFFYaT9a6mr2eecWbbsIFUBLLdKCExOZ17MO+VRlHuR5ps6zLm7a
qS15qLcFlZvScBlQcGYByrMqvTdivcPeMY/PcCeA6a7kUTwsMrfXUNSmaxNXiNbSXMq0M7lVjOi4
jcOzso6wtszTfuo755oib4wqf0jZlNxKvraACuFdtzQkE0AafPUJnlBzBxd6J4E1nRy4AyI3WgSh
oCqVWTwUP308YMZcP1XU/GejtVfIrLPj6mX43YowX3S8qDmRrLxEz8YwD+MAag7iL3gCqhXpqqT9
1MMqXekuaiVpXeTCOhAFs1gycDixT2DUn1Yp2GA6SPRyyJ2XdWrdDIp0G6to1WShjxpKXXuqNWFD
95kWbPhAL3G90sUtanQ5I7O8KfUaMwfTTv1LfO+QIoB7M3d6ub/V42BgFFVQTlWEposulfDdjfGy
MGv70JfQevr9HFNZZK/qCo9zWehsgGmg8C+aBW+nWDGUhechzHrKBrSmNadcjVeIu02Kab1KAfNP
/Jk3T5bWHB7dxDjUF9oc9PI0+n/M9Uf1/lf1DZ2lDvOPjgSWszItgXfEP6MvuwZtn+yU1P4Q26d+
GnmFy7mGbMS2ImdeYFG+KFWT+iIquCeeVbqHCu/IjAqkGazh1HHh4Nnq+KPuM2dRqdii1nW+cO3x
B/bIBtURXJyAbn+DmID1UVkg+V2B66a3CSvYp9uMeeIclY4lIj/T0EWJB98PSFnOatRAqqjqUtcN
FKUQB6WWj6NYkq5CtB4y2K8TRMfmXecdqy6ErAiZphm67rDBwmrGIj7t6LcuCy+M2By9Gw/cKzzb
E45WspCGWsoRE81yCoj+cnj1+1f8NoggT+lgZydbJvGS+pHmvAsizqh2+Hm65ancJuGSQIBvZMne
jj3cHLtNjK4Kj3D9dz9qS+RSKaS9mlUfP/Pd25T61ipbTExOC0/7brhkWQ0wz7GyVnrSnGQFhAPP
pJpiFWhWx7AqDD0djscSHwRbMo6zwL6VgwrkcCX9pHRKOlecqJl5IbvjveEVP5IuKNA5KvKjxwf/
t3igqCf+/QZn63r9LM5zijPIf/7Hdwj1W/qJ/M1LeRRzENYlLh6KQ7tOFxXXv8uj8IbZnNDqgVNM
bKIL+YzL0+wvDlA+NAEVm+hNhPmnPGqDZEfgz6aUCZSOvuKfbMhA795MOMIYwCCTWqwQeMch7b1c
T112YRqrYX+W13QG0SLAOqO8rlWMw0JhUzBifHaNKXtMYyFJriphZyDJSrNqRleZKmiOAVvG9aDQ
tVMY0vKcFgbyEFa40ZBBndbCLsEv2jun6bA6GITbsjBVcDiST5MEGxGncbNrHe+FUqYVUOPG0KJ/
eQZmmJOJsGpQPAskMuZJcw9D2lmlKDeJsHaIYxRcQqIDXLADDfcHr8AGoheGEHDSgrNYmESQBv2Q
sBRdOYhsIxAc3BTCUsIX5hKc+popRYgeRFqsngUKZkUUVpwVuhmAVDrVBPMsgK0C4oqMsLNCmBuH
BvCvGUKgHDWxRCZNOW5Az0VgZTsBmq1BzzoCRmuAp5UbHRF0T56rIG0jELegTLBSVk4yAcWVBSiX
mivWiJH/wwCv25sOzD0QvF4RfRMqBXOk1OAOg/KtBdxXE8BfLVVwX/G8VTSy00smIGQBE+5T89As
OT7VI+U11FGxdBWoYt/F2SgFaMyLDqFL51eZ5J7qQJFt6kaasLfUASm7gJXRp2mPUTVBa63Gl6QA
0ozSAqALdzw1Ml5pnfczeFtAwLQ7VSthi0X3kpsTxX1M4gBMmwI5DWAE+2SBpubUeWDgmgPGAZNM
vDXPkKgCw57owB7N40ygsjOBz6aq+D33xgvs1REEAsEtCSx3K1DdzI9+amLYaZ9xcA61O1k1jeHA
ok86Rz7uSHL1ERwUqiiz2AARgwD9RqqiBcJn+kSRhsWjqq6LCzVQp/iwDWkZWqjeIcmtHON6gIKg
EEVxZYUd27CD5WBEsN4hoVXSyOEQt4Jpa5fpVPei+0KlHIem7oBW39DMsbta0DOntxnhrA2v1T2Q
hqrgTIZVescCn8rMVNTtL+M07ZnZ+kFvIy4HzU2+Tn0XLUhdXylZihIW1s7sZGYyU91uOupyOtEG
dzMM6irAdOcgMozrsnaBOqb11Iq0qWU5p1QIYw7chonkYiNPrNg8kOxSP6MOA34UvcIpNiPmAtWj
qzYSjIjaOIYdBR8qHZypLBmHZdwEh8qQHRV6rBwUGfUxr3agdN9Winsmdd6iG+E00DlHvasM4Nsn
5bIaAO4AzpnZRXznx8bCznKWOsskF9R0UPk/crjqvSCtR5Jlz2JBZPc7KO2uILdTc/MOqQ3icmK7
p20h4UzjwG/AWxGEm6CokCIgqddfDAqI86HIaYkPoz1pBLGe+hLn1yrTl4PnQrsXBPy8SI88Qckf
BDkf+ajxsAgVaakL6n4GUcaUAC2NsPol2bvNpUQ7V0PKAEQ/xKMC3Zn6qAFIYAQ8IQ9gohNQWKH3
s0I5wPFZxhcWagLjo65A6giNgX/vn09nWjac3+yfzd22Ay1/82r/ZPvUwQaAoFEgdb3aPxXOuqaM
5C6dROA1r/ZPh5+w2YLIUfkV67VYOFur2FQdfiQ0yP8M146W74f900LYwxToH2ESJYhlr0+acV3W
cp/18lkN9Qo8KM6xMKeOVKmhGoSpEuIR5Kw4V8D6iNxqkWWBMq2hdJWZgdqXYHkx+4zjUjC/WBHC
I8JctpDCYrvPT8pRgugJTru275UWIw289lC6QH51xCfbwS+bOqM8y4GBNBWQtNQRWOBOv+lw2dYD
P73mlIIya57fozJ9lMGnKhVd0I7Q0jJx646FbXdWYeCN4+yqF5beHvKb6YWs2Usl1PVzSYO5Y3bO
vO5kd5p0kotRfAnQMqbo59Zrq/Hu3cTuFuypKGIPeXGASBeGeZl0WeO5ce7UpQIgHs5krAFMcfFD
mLkI5U6BfGIY4g50NnXoU472UAUmJTI41DUOunBWbwNVu64zJ59JobrJ8RKau6N3UwKcCFj1DWJj
E5KBlVs4D8ThdBL6/ipyUNOTw5PKVCnxeUfh6FwrCL5OjLHOUK+Qr3OLYurIS6h9GFUYdqZTtTbW
Q1NhPmVVtzbewFSehQou2JROl8+BWSoz3w0uAqdVEDrr7O5wGORyCt/0p1yy05uCLx0ctUPmHWhh
ddmYDnhNg3bgWCbV1DIh8oAfZ3OMcQmM0AWTpAatPegXJcI+cRWtbEg28yCt7DNHzYdlnNp4FZrh
gZIWzolXlRu1gLDnjJZ3ITURDeLAwBm9RWV2UH/GqFqAHDSR8/BD1TmlyIpHaIp5mRsZHowr2mwp
eItDD71jeG7gS2L7rJMyQN0m3WZvyH6CgabirgCrKtXTPMtTmt4jJ/OAc5rSZCkyiNIy7FuOcErz
w8z9r1EUNdOyAWeu+nTUVZ9xQ5CeKA5S364QlwkGmnDZXULxEDIvVMZUulDs/Cct8XnjA4Ivenua
crqfynWJyH5cHORmctjXxlz3tLNBic4AH/VTJ3agvWfhN7lzb4wEEw4Qk9nUl6ybsvYMHls9dnPq
EZJN+xc8sFBIlS+ToT6U2byKKLwMAuzcmvh7J5d36NhkUyVCdHKo2lO7jJpZaXKMz+T0BCqmzMFK
OoRqoC9NmQNxg/HZLEXgWi6Ue87K2qyqh2+5pjaTVsnRdxJN8xrP3qFvDyJ3lGGty6dd3N35glNo
CnZhagYFKLv8VoP26ZAJmxARQ8FItKEm1nK3sEpwdpJgLSJTkiHE0hz1gtE4CG5jOhgPNWTHrkA3
M4H+WLilCv0SRiRdxmUIRdKGKklSfaNAnVSk6oLnI3nTjYkDubIULEseeOaNbYfvWnRiCyYmBnSX
laP9GARH09P9eIqAfn9IM1M6oIeCzw+kzhZyp95IGx+ypy1YnzkGapgfCy6oK1iho+CHJtSVSxc4
Qii4owkk0lCmGG9DvwUOViF4k8E1TQTrdLDhn9JvgLAiWGyCm+pCqIT4iYCDKssIH8v3aIKG0/9f
9tnno7Q4Qs4f5V0vmk05XG4q4FfVS01V/PSxqnmd/Wu/9PsbPZ9dr4ecs+v6IQlSDLHqMriv2Tsp
L78RnRWKJW927scHe3zq394nXnOf5oFPELBY4D8Gxx7n6fqPvzDR9p5/TNENkpkNSN9Wnk7Zr8bo
V6Pw+y/4NJy//53fPvyHQWBgdhwEUMOw1XVO8U9jwLC+GQRRIYC2pyjCiITP2r9BEOnTjoMAqtoi
HzPI1h6vD4OgfgEGRhLnPM26fRsE8e4+YRDouwAOJzd9vKjqvJ0J6hcVqJwlVIn+9yfC64iArNu/
8vX5fv8EA+sLJS1SCQVTQnEx2998e4IBMEI6Q5TKHq99GIQtcVF/z9X987iIhziaokz2X8dF9Lg1
0b7a66EQp6EdAwP9SgezJeVX0VFsEVwoaTw1R/ctMFBBfd+1/VfmA80sCNDYWz1e76Mjg0BLF+uZ
5z15/wZB3n0Q+I5wzQHqUi8XF0vvTXxQ1S8yg4RA294mC08b+H3/f7xN9ncq90cZE9V90Q2gd/3+
28usA9HYR+lFXPuaK2jv6z1/vhoskkKZcg9SAS/R7/1EIHyCIhCae//7++SWLUKmy7NzXARVrwLK
gFQmrg+rAWy9LdaL/jTg+xcShATEjoOgf5ENVdVo8v8iLtpfVHpXuiWEdLn2dVHI75uIf74okAum
f+ggMLx9KIiOVE9sA8zPni4KhSm843wwhTukodIs3R4ZFBsuimOi37OvgyDvHB6xcrEE5EQV00Fc
H04ROhuprnGKeBrw/YsMws5mt5mAcA0JIVI34Nwerw/hUUUdVpGh4u5reBSYtd0GAZSApYL7UZ+P
k+KI9najJGcQbGFA3o+DtK/h8QMN7c/Do2BtC4KX/ovDJVQ0zVYVXJOe5t7+LQqhDb/jfKDSBJxE
ccScfzsR2BxoNlmaYLrzIfv37Z9fyw6pM3GRly948c9n5g+DQMwAsYdh7b5OAWXn4zRxUbRJdRC7
76eA/gUQK+oFYHgfrz2dCM/p7A4TgbAIGhNsBZDll7D3fjUAPYYZur+p8+4HSZXQj68bkhNPg8Cc
fzMIivHFoDKPUNt+7w3qzmsCYXf6/ICMICdvnQ9UV5CMtQClo60hrj1dGs9xa5elYXzREACkZPX0
0rfVYMUxA5zFU3ayfxuFtnPuSFfKNogQqvZ8qvyQNrGTyOASlf2ND7tX28wvvGOaDS9H6/eDIKrx
/Iym1L7OhOee4S7LwfnCQYnaAVW1x2vLKQLpHgU7y309RQgRoh2zRgP/TxVONnLLW8OjUHEgXNCf
3NvA+PR2dpgJQgiVFgSA6qcxEAW8N9ulGAR+LGxF9nV32H0mmOyDREW2yl/OBJQ02EyfG8L7tzs8
lzx2mAlkC6DrHRMpgKdkgGF9PxOExjwlR3RFuPb1UP2MJthlKFB2EYU2y3rOIfmqb4cCciD8GA0E
5p4uCsHa2jE8itOEUG97ng4fym2iN4esMXjSfQ2PQlxnx0Ewv+C09MgBfYoMH8IjUFyEcsDa7m2B
Yec9Qpwr8YXCeuIXRypK8Byuya7tvR2Ep3W6W0xQsRekV/28R2yZCShS6pRZ9jVl0p/ezi6DwEZp
YUKCjcgv9gha1cQEgOv7OggCR79jTNCoMFBmsc1f4NpQ0sR/jSHY2y3yuRq620zQNKjzvOmnwPh+
i3xEbtCOUp5r3HuYMj1tW7sMgv2F7U/MhedB2BYThPgppk5P155mC9rutSZKSfBNaMk8I7sIuG9T
JllYFFGl1vYVxCI8IHaODAhMGHBKn9bExyoTObag5ijWvqZM2u57hE2HEmgbp+qnOf9hJoh+hfgP
9Thx7es5Qts9hab1AHAL1tVzmeV9fGCnoHcnE0P2NTDsnkFTj0cE2qAm/y4i8OUVGtmMznM5ck/H
QAhc7BYXRHOKoiOj8Jw2fVgSKsGRBiYYwD0dBG33BJpONSOgC3u4x+v9YoAOoDrUZR3nKcPe26HY
PW94bMzAm3yZ+VvmA0drahD6vg7C84PtkjyxFwJgowL9q3qT8kXkj5yo9jVjMHY/WotKk0IzkirK
48X2+zZtgiNDEd6mwrCnkUG4au0WHjXgG7CZadA/JQTbatD8EN6AEDXm2ttFsfNuKTBumpAJe2HK
EGvezgcVgjf9a8rR+zofdt8phEb2oxX586L4sFM85hRQzwVYnLm3f2dLffcqA2rgOjbjhvmrFp0C
K0CAgBHC2c9B+KAg9OfoNkgyuMqK3Oj9OmCh4ESD7MDeBoPd0wQ2ByQNwcI/n6nfZ9BkTKhaA3ra
22rbB3vHP54C5M4gdUzg8L+gjIniM4QxeKRPeeUfzIf/Qdz4m6A89YP44ZGajJPbNgbzr37hhZP7
8eeviMePNMM3vymoyk8f/sTMFf//v94ylx/j3qufvsTBx096/vvnr/jxw9982Mv3evnHVbAp1+U9
QgSP1OjnB31S/vrvGAGwh/VrkiRtAU3UQl/+bTvN+u8k4fd3x7hq83KjgwehcSlrYtt/+bddbp6s
H7Ly5Uavbs6c+WccPxLE/0dPPhEW3i/3eXVvMrqd7z1dx+uWV1K93OvV/dkcd78/fhfVh1fKqLO/
fsLN07pc/zXNqnrbRxDZd/6I2Sb+6zQrt44/OfrO95/Hf82yksnzcq9X40+6s/P9FyXukNtuTsTf
+ebLeJOmL/d59eCfsVxXTXKXxQ/1x9sLSO/Oj36Q5JsyWMcvt/rn6ZXPWLIH6bBl0AVdZ+cnP9qU
W8ZcABl3v3WQelsCgfIZa/V4HW2JYQJwtvNjH6+rarNtTD5jgR5n1V//nXqbeLNtZD5jiZ6sHwjA
L+PwaiJ+xhI9WZfBtqH5jCUq7o2twZZHFwjjnV/rySZ9yO6DbdFLAHE+4f7l/ebh5Ub/jLsAPO1+
84xnf7nPq3t/xjI9ybaOyWesUm5db8rNsOXJP2Olnq7zbbPlM9bp6aZdf8wdDdzZX77LDundWbkm
BLzc6NXr/Iwleh6v7zdbckeBDd15Hp7jxLAtuRN92Z1vfhmQOlbBw5aRES3Pne9/tb4vORKk9Za9
VLQTP+ED0r8mGzwHt33AZyzVq7X4gDJdlw9bA5noBH7Kt5gFG2/bl/iMVSu+xIIVcB9U99s+4zOW
r/iMw2xdNNt2K9Ei+pRROm6C6q+zu6DKt32Pz1jM4nucrOvNtvt/xnrm/uhlT9bl3XpbziCEdD5j
pPiMKca+W4K1aM981ieUzfhys39iqsCS7f4B/nrrmVDQpHe/OTWMrUPzKYs5qKJgyJqX53w1MJ+y
lrN4vS17ELyc3QeGxCTZNmc+Zf3Wa8Se43VTvTzpq6H5lKUryixb9mFhqbLz0Fxv/PW2oRFlzN1v
To6PzuDLnf4ZFwEw2P3uv7P4fqzi7ZBZXTe/NUTd9fa/N/jZ9e6/sSrY+da/VnH+/a23lWX/7mN9
LNa+qDtu+7O3tWjxG/fxZl3+1/8FAAD//w==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59D619EC-1D73-468A-B6C5-A8F1E9DD9F5D}">
          <cx:tx>
            <cx:txData>
              <cx:f>_xlchart.v5.6</cx:f>
              <cx:v>Amount</cx:v>
            </cx:txData>
          </cx:tx>
          <cx:dataId val="0"/>
          <cx:layoutPr>
            <cx:geography cultureLanguage="en-US" cultureRegion="IN" attribution="Powered by Bing">
              <cx:geoCache provider="{E9337A44-BEBE-4D9F-B70C-5C5E7DAFC167}">
                <cx:binary>3H1Zc9tIsvVfcfj5Ql2FWjExPRFdAElRuyV5fUHQkgwU9n379TcpyR4RpNzQ9zUfLtk902GTWUjU
qSXzZFbWv++6f91FD6viXRdHSfmvu+7P935VZf/644/yzn+IV+VRrO+KtEx/VEd3afxH+uOHvnv4
475YtTrx/jARpn/c+auieuje/+ff0Jr3kJ6ld6tKp8mH+qHorx/KOqrK33y386t3q/tYJ44uq0Lf
VfjP9/Yq0j/SItGr95vfmX++v0mjVZK+s9M6qfr37x6SSlf9bZ89/Pl+oxnz/bs/xk/b0uxdBMpX
9T0IE3lkMkylEAQ9fvD7d1GaeM9fG9g0jxC1JEOU/3zsxSoGyekaPeqzur8vHsoSXuzxv1vyG28B
ffHX3/bB3bov1r3vARB/vv+Y6Orh/t1NtaoeyvfvdJk+dlbR2+n6RT/ePPbMH5v4/effo7+Avhr9
zQuIxx37d19tovg3CP8VQbfer/YAsTiSiEpTcmI9fsQ2xKYwqeAweJ4G1hPCb9BoN8TjBiZgPBY5
MJDtNKrLfWBsHZnIMgnH7GkaA5Rb0xhJwi3KNkGertFujEfyEyAeSRwYwp9gBtXFPiCmR6YECBER
T9NYjiDGMAYsghFH8M3LefwGlXZjPG5gAshjkQND+Swt3/2VeA/RQ7mHBZseIWaaRFL2CtKwaVNC
qMDi5579Eu83Krcb812NTMB9l9iBYf9XlOnkYQ+wyyNuEQZLOH0FdutIwIcxQTcn+HSNdmM9kp8A
80jiwBB2HqJ3FykY/P88yBQfCUaFMLF8AnnLGINlHlECxtjIGnuTUrtx3m5iAtTbQgeGtp2CG7He
sMtqH9u2PEJrrMlr2zY4WJhQyQQebdtv1Ws35jtbmQD7TrkDQ/6veHWfFv/8JAenGjZnjkwJC/Wm
GY5gCTfBTEPWrp17ukK7wR7JT4B5JHFgAN+sknfqoUhWxb3eC3tCjzCY5FiSZ/aEjPDGAmxyiixh
be7Yb1dsN+CvtDMB+FckD2wAqLraxy5OrCOGTULRa6aaiY8YoxxjE/i0l7b5ZIV2470pPgHmTYED
Q/e2Bjol3ostLo4sCTOX0qd1Gm3RouiISBNjacKUfwnwW3TajfFWCxNg3pI5MKRv/NVerDOKjsCb
4kSSJ08a7eDNiIQ1Xppj+nuyRrtRHr3RBIxHEgeGMAQ/Vs1DsdoHnyKPsMVNbIrXQEZHXK7p03GM
401K7cZ5u4kJUG8LHRjat3W0KvbgXhN+BKYYNtGzfb21bj+SpFJKzLbW7aka7cZ59EYTQB5JHBjC
YF+CO61WxffVnthwaiLJhYWfeBQwsDc8LQCaW5JQDDGPx8/mNv1m9XajvruZCeDvFjywMTCL3jlp
AT72XlxsYVqcmc8xTWuMvwmetmVBZJvxXZ72m1Tbjf12ExNw3xY6MMzPV4XO0r3EOMURldQUTMLy
vv6MbXKY8hanQpoC7Zryb9FsN+JbLUwAfEvmwPCeQ1bHXqgVfiQI5ozh1xd4IRn8g0cR7eka7UZ5
JD8B45HEgSG8iB6SZA8rOHAoJmLYWntWG1v3mhG3JBaEjUIgkzXZDeym+ARcNwUODNabNTW2D/Lb
gniGaYK79Txxx3kKwI3xdc4ZtcYu9WSNduM7eqMJAI8kDgzh8/Q+vfvnJy6EMIEVs5iFny3rrfkL
pAo1gRrFIx9rskK78d0UnwDvpsCBoXtcx9/T6L7aA8BgOksOE3R7ZYZ4B8cEQTLhLgvrLSrthnir
hQkob8kcGNBf02g/DhQXgkJwCsynze0XUhQE5BYB0ps+81RFdkO7IT0B1o3fHxikyzh7KPQq+ufn
LjHB7TUlo5AI+PjZikiyIwZWNcMQn15/Rhi/RbPdOG+1MAHrLZkDw/sUDhLsg9gGthNIbZP+TBQc
kyBrEgy+A1MM0oxeRqkmK7Qb403xCQBvChwYusuk38cCzSFt3wQXCRbpn5vtxjqN12ENi3NgszfB
narPbmw3pCdAu/H7A0P2FHJH9rBGsyMiHpMHnpbgXUTWOmcM3KjxtJ2oz25kN95mArIbvz8wZM9W
4T7CTxYcliKQlQ0JXo+fHeFkCzPMpRj5vlP12Y3shvQEZDd+f3DIluXDHmYtpApQSM2W1jP7jMaW
FUQcOHxNISi1uR6fraZq9Bq6G/KT8N2QODCEz1f3kCiwh3WZQ/zABNZRPB+iGgcYAGHEIVeX4lE6
33SNdiM8kp+A8Eji4BAu9B6mMIGsLkEZwPscNdyiJs0jBtmcEFUemVTrKM4khV7D96X4JHhfChwY
uhD7hqxcOK67J6uZAbsM03i31QzsM0UmAnprtAO/TavdOO9oYwLYO6QODPHzhwSo6P2kYEO4Ye0g
CfFMeGwt2gQO1AhOiDXalt+k1G68t5uYAPe20IGhDUfwE11Gq3oflIcAIwtBaJC/ZmHjI4TWpyPF
aAl/m1a78d7RxgTAd0gdGOLnD8Ud1F6w//HqFOKIIG5xyZ/jDVsbNhjlEltwEJY++lsjNnO6Xrvx
HslPwHokcWA4X2tI0S31/T5cZwIZ94gR8syJbJMiMBYggReozJHx/SalduO83cQEqLeFDgzt83Qv
iT3rijMMAozPU3q9LW/ymlDHwJTSAhZl04+eqs9ujDekJ8C78fvDQxZyPx76PazY/IgLCCwS9Jxr
v8WSQPYH43DkYlxtBvp7sk6vIrzZwjSUN2UODOmLVbYPpgTmsAVxJwgsPfGcWyibUKxkHVuWoxSu
qfrsRnhDegK6G78/MGTXXuNZrct3l991me3DlWaAockxMJpPIG95VkB4wm4NhxxHC/X/g2q78X6t
oQnQvyZ6YKPg4qFZ7aVoGGzC3BRQbuiZC92a4eBnwdCALK8RjzJdo92Yj+QnQD2SODCEL4sVFBra
w05NIFMEzkdI/lq5Gagbx6BQAR/niEzXaDfCI/kJCI8kDgzhq2h1t5dMXHkEVvQa4+dDzLvmsFhn
Cpm/uNKXSSLT9dqN80h+As4jiQPD+UaXoe7T+p+fy+uqQgSDsfWzxCNsyBs+FaTUc+DMGISvNn2q
t+i0G+WtFibgvCVzaEg/Hn604UTpPoxvIEKgvAykGLxGiuGj9QlX2JtHJ2PAJlqXOJqq1it472hk
CuQ7xA4M9SsoRrGX8+twro1wAWcdn09UjBkTiEuDkQ4Z+WQE+HSNdmM9kp8A80jiwBC+Wd0VUKU3
2UvkUkIpCigACN7W0268hfL63MX6H0gdW39GXPfbdNuN9442JmC+Q+rAcL+FaDzU297Dxg1HLSDL
D1ISns/SbIFuwtSGU3JQ2Xdz436DSruxHjcwAeixyIGhvKYMHP3g7YNLgbR8DChDav7IMoMKYRjq
z0AJseeEhU2Y36TTbqC3m5gA9bbQAYI9B9f6Tpd36c8+/ycK6gs4PIWQAAvsl1M1NsWhcgUY62QH
a/ZLoylLzetwbzczEfJtwQOE/SRd5fW0dK43XqYA+WUwyakJAD9+djjcpgXHNSzriVUbrenrSfcG
5V7Hf9zIRPTHYgeI/TncDrGP9f2xNoUAp+x5Fd+xj0NQEzKV6A7MJyv1OuKbTUzEe1PowND+Wn9f
TVlF3zjF1+lmGI7PQXj68bOV4Q+VHyG7X0KE8+eu8nSbxlR9dmO8IT0B3o3fHxiysEyuaYyiHvaA
L+SAC4op+nm4fWyvre/DgewEKDA2inu8TavdKO9oYwLWO6QODXH9UOyFSoMaJBxBIU/55FLvOtMB
X0KdMbgAaf0ZL96T9XoF7035KVhvShwazpBxFO9j1ZZHlFgcUhZey0p59M84hbMdm6v2zWSNXkF4
U34KwpsSB4bw7YO/2gfCcDoLTrRzuDfllXJRsG5DfU/I+l8Xh9yeydP12o3zSH4CziOJ/wM4/17F
jVde33X218+ZtMOrfustdVBGHcppcyj2+AjednIoHHTHMLvBNnvyun8++8n2gnqqv27We4pw7tJp
N7IvZTfe8ekVf98p+7mF7vUb6n5d9eesqtXs8ZLAF5fU/f7bx9eHuw1Hos91A3Z02K/UruX9n+8h
EYzAJYGwQf66f3Dd0EbVgWdDZR1/+onPpugDVHn+8z1cOojhzAZUAIOIpQX5vhyYkvbh+SuYx+v8
fuDLwI+G2f7+XQJXtfhwleGjDwbnApiE6iVwhgt8sDKtH7+Cs/RwAwcUjDQRMKkEWLifb3uVRr2X
Jr+65vnP75I6vkp1UpV/vqcYvX+XPf1urS+DJyApLCQpgUoaT8cBs7vV9brKA/TE/wjs4SgqWHpp
yiJSZtWZNm77ftZ1SazMzsPL1g3nEemXSZyYmbIS/2tsiZO40XNpVQuo+HIh6nwZMONyMNwZonFv
R4FIzyIt0stAF596RL9IK0OOLPteSaOaNX14ywv3MkDVoLLQC1WSBuJD55HBU8UQZGgWSY5SR7IW
zXCHLgZfN4410Gbhu35kh0wmKkGVb2tszYagyBT2egdLbza4qVYWYulxzdvYMVx60fUZUX0/BDa3
Sub4XdU5TYM+NrhyRNDPWrMqncqioc2RLhQr2B2H97SzGNrNLTee102UKtS1WrlJcGdpS856N01U
Hfuhinp/OSTUXUZZwG0Ud7M0MdACpSQ6Zcxoz1ztW8pt4sSmRfBR53GojKjCduEFl6lR2SzotWoH
Oq94DcR1zu0ozD9y4V1mOW4VIe0Z7XQ+J7lbKzdLaicxosxuKcptq4A+DfP6PMuCzA77NJoPjbHI
CnbCEvNTHDTXVuCC3m3A1NDiY0HyQPWhvm8wOfeS4WIw48auIblC1UHxJaoM263TWoU6O6t9GagM
ci5sL6xtY+gqOw3dUJVpQFRWBcSJTL4MKv4hdHtfkbZsHXPwZjmN5bw10rvcNLUyUXlhknZGc2OR
ovgsjvUljupTQobCjml5mjcwZty6vMo1r5QMoWtQ09czaqWqTDy7DOpFnpNzwfxwXlmpYedNkB6H
OHHCzFgUgXEVdml5PoR5Bejpwq4lv4aksHMri9JZ0TedTWMqbDNMMkXSQauIVuUsCJFQUevOSq+8
7azOnzdBcu5R91ufN/08MuTCKwl3WIU+0Tz/FpBcODgKnD6vuCO198Fr8RnuYmfwuou8tO4L3mZO
3JTQhyVfernGauDsrKrLS52WufEhTUU0PPRdFB6LOHasMPsUul5uN0NzWuqBnid1mJ0ElfU1DdF1
xYp7mfV2kScqG7y5l3AnK9sTqzLmBTJP08i/0Gl60gXlRZJGV00Shk5e+vUicut2yV32Y+BGHaig
JXSha1c0iibNcGPy4dzLi3KBI93OPc061RIOz6WLLCoWrRjKWS/843YgVwX7WhrYU3FtfUwsrKLA
Oy3MQqu4YsvWJ8rLhqt6MI/dRreqZ/UHWOxU0VaOabJMGdqD0Ze7V6SsziBLK1WhrE7TWl/DURjb
7b2bIesKxYuaKL/TgTKLCiZKLJKF5WEyL/pIz0nIF5GnveM8MmBZMn05S/uIKaOGkZNkOFAJNqmK
h/hKdsYXQRO4nRbdx9IMbZpGn4bEO2M4JKrLM+ow4jcKFa5QIsi+y9pwz6zQP9edhGUCoas4jWEy
iBxftiR6IIPoZmhoH+rSGFTMu2vS9tmSJM03nMbznKIvvRbnMsrnVhn7TtzBfJG0pIuu9j4nnVU7
YZvMM9kvGjd1UFZcWTo6RTyYD2XW2Cx3LwJRaUfz8DhNeutEGOyjrF0HntzYxKK3GIzFhc/S0hly
nM2yLuhmuWGedzANrkRqXbO+PO4iqu0kamIlIlOZWYCVTompmKgceFetqrCktqXzlZ9noV31Vad4
FM2wTH941p3OxHVZkesQ+gT2AWybXhKpKpJXcWXOkW8Aik1IVeaKQjVDq+22CRZ+ngulg8hSfWXc
a2hOyjB3GPNOIuZd+IEZKl7r5pQaOJkBoP0xM7vrLokcHGe+46UaO7VMjq0ulzBtC2/ZpZ3tGk4o
yalvSW7XkfiGykEvYTlWXkeZ8mg3N/z8xtTugg99YXs+r2edxoOyvPIuNH1tGyVZFEwMqsnzc69k
BYya7KZm3RlFZWAbJF/UCaz1YXbRplm0zHB76VXdNerTmeGSfs64OE1z69jARnvrD309b2vzIbTq
TpVCfIh9EcyGaCD2y8t6N7bouzTrC+35z/ct//rjf27TGP59vL33v3+5vq75v39aPKRre7Ac/2ht
T/361X9vAF7bL7+uAx5ZRU93Pv80It7y5ZvsKQL002/tqZcp4Ns21Vr8p00FtaCogJPR6wIW0pIU
HN1fNhWG+6okghOVFgIrac2C/LSpGCSJggxkEBKweZgFUj9tKrrOLlznhmMEI+qtNtWWRWVhqOVr
rSMnGIMXB9+/sKgKOM8NmwZs3l7kqdI81dRXL7pml9W2jpi/sNokRF0kUD2QBicRFhBxhc55+YwY
pwi2tr678EKxTPzamnemGRRzEXfnHel464ikLxdD3wQzbmRFoHAl2Y1ZZRqMqsri56IQVrlMPDc/
rwtD5nZcE56fc26gbkbLuvdgpcJimJVggaVZi7Lj0I/jWWFQtOi6fFgUqWfOWii9tyh8ms/KtA0W
hGdIJQ2/CkTiLbIwRk6desVCG15kzrwiDYxFErdDepMUg/8jDqpmTrB2wTSTJTJmVtRTM7CtCP40
wxmN8cynMSI3VZKFgZ3lXf6h6kALnQ/zwcCwA3T+F5LhU7/zC4UiI1ehFS5Jky8awc/ammMlKuOi
9ptPLCS3uVXeFOFw5iXNJ87iREmew46k6Vle0JlH8zPfD5bY88IlLmrteB0/bXGkJIqlarx0gXSH
FAKDakj7k4Khr1kQgMEbCa5Qml8WmgfHYDue1R367vOwP/UzImzq0kHJCD/4URo5vWXN+pQHqrK0
CasZiedV17FFQtzhNO+z08Y1Fl0cHleweS7iiBWOJoPtDdksb/V53DIycwnNledni2Eolm6hr32W
R4sgYYnjGeGyGFJXeSVeJmVXzAo/vgHP49QnXauMHvG7vglLuy+81kYmn3cZDNUO6xmllacMmYAN
4y67LD9vaaIVDnzo1kraTMomUF7AbhjtU0U6Wh+XScJU4lqmE7u0slFfnee8MWzPKpZN2PXgIaAH
yut7HDO5KCIenxIrNiLlh0x/yBIZO7ijmtk4jBUW2DixwgAvSonuQgMMa25cVFh8rHxjEfkuV7Iv
Zm4IewXBZ0MsPzRJMrcC0wkKsOOwYce8DY/byFzItjKdnEDHs0Qcl6j5jIcqVRnzHCi3/23gzXmK
KqJ00Z2wCF0N0GiDk/NY+mqgeFFnxsos8YNhdMuUDmfENY4t8alzv6VyOBHxIOcs8GaFYB/zASu/
6b43dQi3WIF5Q+PwjJn9lecG2CZmyJUbWl8jz/y65vacAsxGi4Jl29LL3D/uY+rb/gAGEBvyufCN
W9mVH2nYzDov7Bzme1e0yUyFNNj64HidVmm4ZAJFamjwp8zwb6WMPxpZqoaknQsv+2GK7iS3jJOu
Q4MqA36SB9Yi4lGtpCgdkuJ6SWtaXdM2OIH3O2UB+kZqAxwDEoH3lBb+3CRZcBHTLjzujNj8mrZS
fCllCsZ11/fux7hyw+vOFaXqugjPaOEWYOpVvpMbYIMGUeXZftXXKjcN5LQwLc6ajOmLmg5Gr6Ki
cUu7zsAycDxINknBy6qamcxd+X3g0nN8xj8ZpclnTckvXD9zZ26UNaqiVgmDmYQK3IPotJeGZ3sm
u64QKhTJ29zxmkwqjIPTJu1v4ixswfRNM9VkpTcPLfqF85sAkHfy2hgc0ZXJiSQRP3czHzp7yLQK
efqdekGgeN77MOUswIjdIi8Dryfow4XXe2dBDJZGH7ofwir9XneWHbiBIwMzV66BblwOKJPsW1mH
syENjpug+iGK9jJiQzD3XHAYSRt9NYN67nPxLe0NVcvSVBTn8dpLy1RVJlIFoj8rXeb0vbaDSMyC
3LyPedUtspw5QdJ8bYi7YLTK1KDrb2VF51kBMIft3HTFZ5yUn1idfGZgoSqrC266qD9LrPa4ysGS
N9rgs+f3S93CFO2688aNF17sJrB+8uuqGi5Zyb92PrtIAwqWbPO5BUcNt+mJFkMzb6gFiwUqbEBj
lvDw25DrUlkBX9CAMdVFOZiaUi+9svNnPklSO2D8Bg+AWhnhUHmJuM0bfVIRXtmlRl9hJzjN3RSc
Yp1caT1Ux2ngfWY9WJYEFccsJjNYbhyj7s5JAm8PpteZrMVxEXonuGJfraxx3CG1MxleEiaPw5iq
snRjFZvhypCGw1p9XEdDq/LaXaEqPIG+dvTQJcoyrRNa9x/KDIGatDwJkHFcMP7NRdmy6SNFq+bG
pcKRkg3zsgOHNNb+FaLdDxe1TPVD8g1RcIbNQZ9bLFrkbn4bJ9XghEl63HhNfiytuD/DmDiBaZ7V
hf7G3fQUFQQcHTOt5kmMsEopba/gvLivwAAms1AWXxLke3MDyUtktalqkzw/LbHw7MrvYrBN+Z0G
T8jJkWd8aTMO42XA0axHmasI1dF9V2nhmCT2udP25nnrl+6P3xshkI87MkEsCESAE00YgRL36xjx
SxMEhwzHceIaF0HwkYefQus7ZYv/v0eAxfbyET2MYh7W8AiU94qLyzq77IKr3z8DQp07XgPYdrAN
CYdD+5vPMM26j1tLe5eohV1eXA7VWdfdGobz+8cAl7f1GLgsGdJp4LQwFQgIvZev4qVBT0TYeJd1
PMzywAfDEOZh/rGmV22DFS8L8JxPHp/5TJlevWT7Xpr8Lz2AA3AlXroCDFJSXvT7Fiv7kuB+Iscf
Sc5HqV/OAxT+JnAfPYJrqYHxZC8JWQoFlSA6CmVZJBD0awb42XmgECoHQxvM7TUrDzdeg8H903kw
odAWNAipchLu3oNal28hZPGmZQ98rAVhHaiqyOHcOYH0q/W0e+E9VANJs7yuu4ukJdasaWHzUykJ
RGiHom0+cIP1J0EHRM8MobD6WqW0+RjSsstVaSX55xe99zyAXtLD69q6L4btozZw5SsU5oWiJHR9
gnZTG5r0WWj5dXNh5gkGZ2NIXCBGUu7bXVOllmpaWn8VTQbkQBHLKrfzAFZl5Q6lgJ3DEsm9VVXo
Etrwa8eMIvxxYIbEi54z9wH3Bu7mv9fYXK8JG3w23JsDx/bBNYT8Najuvua7X/Qf1cIHbPvqgnTM
8xzeDdFH2LEkmVeiTxkYDh0OHC1cqQbBgXftQ0QWcVP02CmatLr3u7LEtjYy5pSVTsHoiH3UKFGw
0JvBPPavwto6iUvLLx0I0VqfSj8/DaOWdTNdGvxcF34T/81CuA0D0K8IqmHDXeqw0j6+9IuXEr3h
tUYWAclXudan1JMY7AWgOTIFZHB31XaFdZO5OPry+87cXOIZAgIOrvIWsMrDWIT/W6v14rEMdR4F
wym5SOSAL3Do1xdJWdhauv6n3z9p7a++RG39JAtqmYETDqe0waPdfFKW0H7ICz+9kBmiq7xNi2jh
VrI3VZj5M5TD7m0T1EvYpAlr478bNOMgCLwlRGIYxGIgMgerw+jxUANC+14S6wuRh2wVBzVbhdFa
BzbE5YwXaQq8IEC/aKO8NVUepuKhisB/bq2ennWcFMgmbZCGNvi98UdSZCZxfNn3D5nRZA4yhljY
zEopWDOED/Xf8AHra4JG3Qd5WrBswAVxsLlAleXN7kO8ZgljrnGOazde6aIqPYWNsEqoIn2feCet
r8PvHgRhzroh9+c8hXiCbeJG/KjEAKZT73vgpKZB86ALIu4blvniaTeC3QYCbVdPYL5cSyjbAplQ
AoNofTwAsgeZGG21vJAaFX5FzgOaZ64lIeTiDwsIxhBrXjV1bRddjj5ALIDVyvd9YRc4WZRmkS0i
mpl2GOXxdRaxuAOCs/U+t0GcLvuyqsCly7OPvAyl4+aJa9dpEGilKxK0yg3K5KLNjPIyNwYy8zxs
BcoY3CS2zcaPjxmvomsz8K68PiGdioD1vajAhqvM2CAOb2CXxro3YW2g9TAo1MrgLPKZ/Oqimp74
XIIT6nUNeAkIiAobukkvDVn0sWp7OTi4ZYYzBN1dVubVTY0M4as2rsTcLXNwwVzTvM193IYLVxgY
OAU/dL/DabmiUTrJjW91LGIny0pzGaZJtsS5Fd3rJuMw70kc3mjL7QQQnNQ7AfertnvohwWmpnWZ
txCFom2RzzHucDOLGAT67Kb1gOhpTN+dxSUpnDqzLn3X8JCDcVodw1ZjtnaCAnCyKxF96WLkn5qF
ld0wUrFFbQWGOS95PKwkT4tZibpgmDehBDsV/EzwlaP2R+llGbMHs0K1Sjyz8eZdFaQwOdp21ntN
LedF6vpOVJH4OIGfKljOixQ6Om6ECsogMGzhtkDMp6wbwPqOXJtURhIvCh4CPVP36ENLMHV0WYD7
G8BIquakaq1y0RHRnfFwGCL3Q93mVRyrXkd9UtxDxNA0h69la3Qi9pVVwFKe3pk9sE+kAH+9rjN0
UYVVHHYnQI8Pi8aqK3cZF1pnKjCj9AYJgyzBgiO1XQMGrupzZHUAVyylk7gu7IdVFLb5jIeth+wC
gnvupZ8jLiBK1YvWdyDiY1VnHAh2GFGtm+KytWvYC+fc8AP3soGpwz07l5mEAUfCMp4nkS4sFeWw
ebmzrtHcNlxIKgCfw0UJtVNwcGLbt+rWnbeRiOJZ6YJVMGeJFw+2HBismIkZ0tqO/QLYlqbsvfKq
1AZweKmn5Q+jboRGDkrNaqGprOUFM1zPPUmIqAQL7KQr86EH3gRWN3+Web6IZ27ZAEFhFWWi5z0w
Of0xKss4s4HqiLQtOtZHC6DmtGEDrOZnI4sH7ECdrDB24H/IuIzAvyqhy5PkcxDHVrwkhVVFs9Cv
+PVQV4TMAyM1gc0Dh0UkSvimXy3cosmSG9iMyUngDWY4rzPQYJZWkTfMJO7AR5dBn7XA3PQwtA2Y
KoXjYlyfFBD0jhzPJV4NhGgDcGpRgn2SDAEZHqIQyBgHgthR7JA+9vMlRpoee1qEHEKFYU4cnWrX
GWo3BKKxLTLrKgAPndpE5wGEgrJgME6RG9E5zlyPgbqWyGa494d06WvcejOgHPxWrX+nMESNExg+
HsltCCRDKKnqtPGtgIr8QAFomEfmBR4SDcFJ2VCD3PZRa9YXPLP61EmsvDoHhx62JK8UIQhYMYHe
gsgyTr6C65f4J3kfR928bNmgT3HlVbc0MNmKdW7sKolh8M7rpBNkVvJBg/I1DmInIjnwgBJCoBrr
/GvUtmBZBF7Q3JSMt98z4FqOG9F67kyGDJkqkS60w6I06OZJ0eCLocsI/VBWDN/iyoBftNwopV3h
HoJmjRkH+rgAarpdJsIrzUttCOtTgvL14AyCvFyIqPTLq66nwC6ivAVs/DYBxdISFt1T2MGsT8Dm
w+iOYZUsHCig16XLqrRc8yoo6jC8NmVi0WVHg7Y+r7pqbXz6fXfFQoNDHL6N4dFpOgyN6sy4GhYo
FOuXX6vewvoEemUxvqAsgbeocwZd5YdpONhW2MDUAVo01B+SQsCUL2qwCjz4DtZUs0r8yxzTvkgU
yXwEcLdFV5/Hhp+VSqM67+YdlJUis77JzfWiAZPJhjeCBaSz8NpOrpL4kwtXgp7IRmuppM9CGBe9
x1dtQkCNrgj6a1J1qDz1wMwNTtMsCYMbCbvFokwQvsgtL/8K9WF5rnzqa/Pkf9k7s+ZMcaxb/yI6
xCTg8mN4R89T2nlD2GmnAAECJCTErz8LZ2d1VeWpjqiIcy6+iOq+a/ebaadBe++1nrUlYpbM57IS
TOd2ikaDBtf6+8HDP2tGotF+4y0Pb5ZZEnEYCRTgL4Z2TB660um+2zXZzpB6bKscc0DsF7VnK7kb
aJd8cQgYiM4MbEyjAMecnUx1Vwslz0nHmzAPvcljOPYwAae68pInWPKaFa3X4zUBFeInx6AX7vjR
4UC2J+AyeDfMdmIXTejgX3SB/12gyJjxDNndo1mZtEqj0vqaoPUem69TopMHx6JNP62Jmtx3qGRW
pp3rRhpCFgTPYuncas0Cwyg7Dvi1mMzhCd2tQmt1udiovW+0HDcF9BB0iw4Pq6H45XDiyhW2Nxfi
sqdLcOEoEoiiGvtOn5k1Q5XFIYzdB3Qi8p0kPY4RHJ1Sp7ySBsqX0fGIKmDH+5aNbv3sitWPdbqi
A7OPg/KdBH+YLKeiihxIVk45mLeKEUdnbQSB41gnxL1dpFPCU5lHWRf1OuMhrT0AFjcLb9fwqqND
26bjoAm9DNwqWDKL7kYWphrwWzNxX2/cTNTh7JASli48oCnXLZie/RqPePp5sLAot6UlMisHSccv
JrTuQ1NNeNZQ6ZInPOudvOmT3sUB6w1Js4uhHpl0mV+8eDaxm3Kuo8fQ60eTm5Cp4DIo21jfjaVM
JhR3PNHFAJ9i3GFwsMtF7SsuLqJpqPwbb4G0eCwXkeDnWhaHXfLJGUzeyRJnBrqxWV22bYnvf0o4
28kq5lVuFkKOdgzw3ltKYWAHZRVdfg4e/681ksv62ySk+K7+7Lf+QWz532fKbtei/bUpu+0c+738
8gOM2z7zU0zZIgTYP433GlcYA+sAR/ebE4s9HQH1gGm5GOv+QLdhmQvKv79NlgQzS4RP/RRTcBEM
9jDhK9hdDykGm29/GtP/HjH+G92GBat/GoxCKBcYlz8TEB7w+D+pKdMouyDU3nqNJhrukqeC7QGr
MDHYR7cZ92UVfwsM1OBymN/IXH6t6cIAegVnGZZtPnLnMdFjTkJ7Ga4DS0PVQV9vVUpYfU3rdmfL
+Ia0DIKBO3tw58ieL8ml8cML0Yk9TuTD3Hjg3DCJxXTlQL562H7U3NNQzDvlw16i/RllDeyWDthl
RDmQmYGjZI9hYT0VpiNYss6vjyQ0UTZ48VM0+DfSa6/DRNXpPPU6ufB1+8Sp3ZcLGBcbJreAdO4Z
zv0+JHFuw0akrBUktyr4MII1l+s6D8im4O+xod6vzsQyf2aZQ91D53CyY4uLHqo1VQGPkqjMY8Np
JowX3mCAvXlRkvNqzOo23CVj+8Zg5CiLb33Qcj+PU80zETT7BejMLiLVTsCTm/oefpZKMgBKGKda
9+hZcfZJW59cJzyVIF+yeCJDVvLowuA0zhJD73Gg0p2NJ5U5vcZPkUzBdYyzpDczScWa0DSUYXsE
43hFuZ/5fQ9TQZVfJYsfGicOj7XjHwJbfpCA9Cn8LMhStMtliOHQE/2SOkFwEFUpMdV35MHGiUzR
yB67vl/ygA13rtseliCOMlRoF4YQCrmoZXmkBqXJJRyAXJPs6l7OBSBFW4zoB9OQ8W+YXvtMj67O
lLN6d8noQnIKeYHpsd47xK1yR7lkpw1JNobQ6y45LfsjnZ3wwGJiMuPE/DjEYb5EAYa3AIQe9pw1
eyXCdjxMkonyPjaxc3Jp9c4cMRQxXMbTOgB/cdvpOI3sAe07bHHlHQJnUFmnaAE6LCw0LN5Y9+Lc
x9MlWvjvYgEME6zmTBb9PEgbpegSn2YPrGDtJ36my+FZw5MtIrleoI8ExEeCbIqb21XFOhOC7ZUJ
L3uYorZ0npRxCSrxemg8oJeUBdeRZPs5dndh3fSpDLhIEy73TeRdtBSuLEnU13XAIET4I0C8Me3C
8si8Mdxrq7qscce6mBohd3XVvyaEX1bMyZaWQRxKksu+TQ4q1CIzESCksn4Ujh0z5rAK8xt59+vh
Cf11DgjBplPsua96CguAPS86UBjIVXzpL6POXEv5LeXBVzWAxnOjd2BwZxsOV6sbnBnoPICP4fUi
hHfZT92+RR9bDBE9o9hm09SQ1PGqO80w+mJ50lcveuBOEdj4PNT1LtGNRGsK+7QfnIdaRy54rPY2
riMn88T0MjjqrqFzmfXOelOFpcior3LflHlXN4Xj0MMqYQSpshkzMskkmzh81Cq5hJd9jDS/rrsq
mwP81j0jzzpa2J5369eEarVT3ZTR+DCG4EBap4GJpMeL2azHZKjfwOiRFNNSHsMHSYe6uVdt+JZM
1ZjPi6zSfoyemAMkz+1KvMSiWlK/UkU34ixMk7Vd0I5ilr76/1KX//dVXPe/Vtwf9+v8WnO3T/2s
udvd8NhkBxkYle2HFfFbzQX9tP3POO2wiOGzsP40MNx/uWC84XPBwdguDYHE+bPmJv+CH4XACcVt
Ilii9/eIcjf8pebCSINvgYsrcKQCbN9kwN+pxnpOFqAI1Fxb48uoqHQJN32OEpszW1cYCsqzWjls
TttozZ/c2QUh4JK4VsdhrUm6aBTKC2kTsxbN4qm14GboxQgTFAbeN8BNUZe2w1SuhWJTbcEEToeF
uiz5npDOVfdWSjntYIAGZV7adU3ydhAG52DllA7cN8q8dUgnbuBarMINoCfOqHdF57FpLQDkd25a
xv6Qq5kDAyE8BreiWRA+tq5T0V3kT8facwFk9DRQB0i89rD4dm6+Gz9edqyJVwKlselUgctbyKHi
y9b1x+1bXQLgTZhxndQOVhdOO9FUd3WUJhW6EtKBwNDAz990iDdvXTt/r4h1qjQcWbAPbfWdGgeY
ax9/b3qUGdWxrogGfG1wIHk6ep72SyTMuWKDRFehq5TVnZe2amSALpz+jUQRTz1XoafuPM3TiTgk
nUNAAa6tySGeAKvVpelf3bhdUQMEOw2Qj24C21Zpu7jJPh76Dx6t4d5vfVaAmwj2Uqi6ILKnKWeg
IoNwbm84mWU2YjTvBu2l3TiaInbgv7DY/6ikIw7hhNIJrt5PO2BXBWiyKCXUeUPvww50befMTUS8
r6bpe2TKEnNsXaUReHYJnITh7FNetBeikydsKGhyDzoaGNy1S5mg4sSNzuq5ITk21qAcR8beJkkZ
7k0iMOXOVZhCG+CFPwVxauZSF/064duM/ee252CyxgYD1RTgZDQRSwFt2xRFYUxneHGApul4y+zo
pgsz6jaqodeu1h3dbLWWH6XwAOFDICykFgbFbhmKxY3mVHZyLMql5weU5yoby6Y7/HNsIo2zrfX8
b4PK/7RgYd9/mVV+fOznubldl7Ndv4D+DtlIP8Is8Nu56W3XGCI5+4mMuh6+9JMaxR4Mgj1VMFWQ
uINnjC/9PDcR0sHltHBeKFbYfQ4/f2NWgS7xy6wCZxkDE8J/QEcT/08mVLywMZnjakZmRg2nuE2C
y6lfznHfjlk4T08UeYGxUfzQf2YIKrHlCWYQYXZc6ww6aHubVEOPtsLeKhachOzEbmwl+D1woGnE
XWdftzpIg6HaMa6rI1RykrGhRF9jJKsyjDr9rouGdr63bHhJKjB+DqoGCEqA+Zg9ZHDSi7OewqFf
qjKzsa1Pc8tz64GNU84Ejrxf4Z2Scm9dZEgqlyfHdmb6aUji+OyBcL+M/R4mRX0/zH6FjrWzZDe4
cZ3rCWUg0kmfC39FsKQFGulRoEaTm5x5NKlixJgVKk/twmW4ikMw/NoXyU63K7r4UkH7rHpzmIy8
ciUaJNWPL5NhF9Y1RUVs7knvkgTsbFb0fKoZZhx0dkybOM7MjO69x3ibshLxJPxl7HtpBP2KzJAu
d2M4VinMG+jqlXQPyTTfVdy/jzHWzceBVo66rd1+PMB+yfqxoui0rOzvqSIJis5n6sKPymDvu0Dm
0xCpDL7FM7YFm4DQgcutXX9jkeGgwXDqkekYke2IkfEQyHo4Hc0Fsh8SGRDSrFlYD++m9+5qZET+
OTxweISEABL4a5UDptwsfzk7fnzqd2cH4HGIFQFYCHgx6Gl+d3ZEiNTHEVgSdDubBPLz7ACmDm0E
WAhsGcDl2zU+P8+O+F/w0ykOnR8KCLJ/f+Ps8DbF5A8GMHQOXLMaIGC4NVyfq+p/33MtpmQQvMvg
mq9DZAHNIsHypitfldcQU/2uu3Rg3h3iMmozZ67ubcACoI7BkPce5mi3pAigtSMv5kQFGI47ciCG
A2pcfISptHh17cqyOaxf11EueecDfpgkPbcdskuoYzfNCAWRlaoYOhmkOoaKGduVHOqEypzPbgmj
j+vUOJ0uqkm1eUXVee6HBMhv/UW79Lb2+z1tMamIJUdEaV+PyqSadCTljbhdmXlCXT/KQIZp3QoY
NArwZwJdFQDv+po00y2lIznMnUfTpPVuPKLaS+CmYgfros+h2gi4huN3v2SvczNjGHaiQtkPs3ig
LMOx0I7P8rbrLxcv+DL0bEhlbIZDIOEVT76BQDMA0POFgzE+TgBE6uXsrxjOvGn9mONyNwt9dhOz
dyF6YM39XvqAVWFues2mAbTI3Eza/1AJrGxTIqpCQA36F71dDyuknXRmQGirSGVoCB/iue1xBg6H
DtTJIpqHNnFypfrbYSLnypkzaKVQ3MPuVuNXOgMgLshST/1eOW68i+lwcsPurZfISoJ1uSDQiOB/
IVfVogUF8+pNt+4CWvBrM4FKLqQvWH/rrMoO+87t0VMTjljT2gB4pJp/80J/B8DeQJSevyWy2kEO
BL0c48v1bD7GwJVZAzwSdPJyULa6CvoyLhyz2N2oqu/GQffdxPaFkuRBrcutq92voCRORKwvtW6S
jIbSLyIWvNfecjKE2a9tNXKY+AO4BL/PYo0eKyTjoQmnW5gDh2iKnQu49Q+2xo+FkgUansXX5SJR
C6v1OwaUfK4UR8KHJoWilhzW6LvbiABWl3rSCj5HNwRe3sJ34yzx96FTw0YHkDC4YT6BCMocUX1j
fFyzdrbrLgabmzWW7T1HvtRGHARem6yPoSHBd0wHKCMYSBAwdKHpLyYooWY5N1BDnidFTnTwXSCg
zWNYVgyupRelsrQp3uYcKv2hjXiUQQg59aE0aQVPdR7jMEWC4Lus1PXQBa9alhe0XZuU2+YKPMt5
2GJsVCTnHgZw6vm+BsIapVOFRhnBCrMfF4j7qvLd1Eva157HL2skCuQJjkSyF5/7w/3q0Cp1qhjo
gxc+Rk51v3gO1BjzPFYBIldVclyX8VyyeDiXQj7TpdwDGbp3KD1WfnztJPK2IvRjCNarrpsOXODZ
XKld88FFThX8xJ3WYs9hOUEjRFSzSgoopH2Kt4d+lVoeK5DQd2WMUaXu2123mDNVkhf/lLYfpQ0o
01+Xtv9ph7r/+FVOIPjUz9IGOQFr3nzM/9sdCZ+Jqd9KGy6JRc4K//lBPaIH/1naUL/gLyOgDqAa
e/f/KOH7Hm6FxoZITLcogH+Ph/yFGkIxg5qMbzCGMwD6bSt9v5MT2BSZpvHj9tpxxxdWoyisc/vm
2vDYusjvNHTN5DQXUdilREe71WcXiR2vTNzBCjbdeOwQuMbh6mRTNHs7FpIdktn3ptZeEUdizjSz
F0SVOYWCmm5nQx17Q9a67cUWqcm0g7eTy1cEP1k6u8F76dUyG5wO0YNwOS+xfkd9G7OYo8fEgFFQ
q0NM0/1akNlpcZKEC15xFJxoTuYsQPomU4h57nphbzyLY8pj7XleQgj3TD37Wzgd1ua7IPQEVG7I
xwVnCtOSY1BGQgQ5kbSPkps1cb/oEnn5Jq45eCnHpG2E9E5DmzpbGdSJrmNlGpVHn6mdjZAHGmEu
pp5ZntaKXaqoPw/lcK7wM6XCIvfeed6dqXmuGVQF3nuXpes9lLZVaLHnLsXCX8CQUoO34qiBkKMP
nY90QhkPX+JwchCetwweQqjHmt0rrxm+wtF/smtgziqW14Ov5L51gVk34/R1YbBte77vBkPTYA5F
GhiMG7NfemlVxtB3vSd/lMjh1ubagdNUcD6vuRciXr4mcMzZlDh7R8x3vlO9h20p9qAHMhdMwFnQ
V7W8ApzYBQN9ldYX+3kie7SBiOsMphNPiVv19y1BTf6o2fpulupu9Qk6/3kQUcqnKo5fJ7e5KvF8
H4nqyWFRHnYkTGVyHXSlPNmkzIIEQ4OJ6EFNtklJReqsChJ75TcrzMpadGYP7uqL6ZHGgzoLjVl8
wIv1DkSwZEwnijqV/nPO/TjnMHf/9TmX4cKtz6VaUv3fGnl89udpBxEgxO4cXKHqInOBYfsPjTxm
/BCkcwI3+XNTx39OO5f4HohiHEU/XMnfGnnsSEXaE9tw6ZYfiP5mI09+beQ3+hW3QAJSxn9xeP7h
tEu6aE16HerrVtfg9JD8F+QE3S049cgSNVlDu0fbMA8elXMR98BMm7BDX93QvMLSCcQ8mweYbGce
L/eaLBe2RDZ+qGiSwsIHi1GvQNzUk+nsVdT5x7CmqY93Jx23F3RZ0KbMNFtwatZra9JOSsBqDMsr
omTZT77/3Y+ZysznLFpzm8Hv94qJI3W5xsFubpoYHSb8D7SIL5aWiDm0gS0SZbucTMMDYoAzXnbH
ywBTZ/6wkswalQYM5svUl1/axM2VR7HwQMo8rM0bRaCuKccuD93o29hEdaZp/UyB0yAPQo/+ghzg
CPkU0NgzXKZ9HA1rVhp/V6H3Sn3ZHTyqw1yL+CAX6Cc20BNYq+XNivKtU8s1EfCaQoD0NUlqLKPg
e86XYwwaeOcuZson7Yg0ZsM7IwGMOLd/HkTYwAHRfl7O6oOW3noluX2th7A8Y0ACtRp6XVoxWjh9
7N55MpryAMxjVm90jECTvDeGn91w1C9xoieccIhm7sDeZmsQIYJZRmLXWp9kLRDIIq4qAtdzxdHo
9fLSknjJOZrTHaJ4Axxax2YKT3M6SV4VTg0u05K6LHoi63NNRLuPE6PuvVCvT2bVVS4IWCYuW3Jp
aYdyaTh/EZP2kO2KKCy+rruTkzveVNSrj7E7LRdYgOLnyEKJE1ijad4M0+YCEjFCeY5YEGlasW5g
7Uj5tsS1E4MNccZj75FbLhLEdyszPBKLf/h9iYDBV6dJ2Pcgbuei2/QWg4wg8k5xZjvE5+SmyuhN
n5ETIDYINgqd5AIBZ4SQIyHogDdMMmecr6ZN6yk31SciekHdgBKE/SDYbwFxKNhUorEjwLE33QgC
EhhNlvJNU+o3dYluOtMacDcXm/YUbSqU+BSkvPo++qFQQasSm2rFN/0qAel5pFASYCJA3UJEFm0H
BK9lU74AAubLpoX9c5h/HuZbqOWvD/OfN6r82rZ+XgLyn71KATagueg/aeDhEs7fHeS4DgrbteIQ
HYmPLhRf+vdBvsV4EGdB9uc/CZ9/KzLYurYFexLk9lEAIKREf0eRcT9h9t8nGtCrIt+CS8c8ZArw
rfypbXWxzmbmExU3y0SiXa8DA901gE8QmEMV4TXS1uKxJYZc44cgZzCObp9SsKfHNibiuUaXcYk8
ErZN+P5438w0OIRg964ML4f3QSGyGaFGXFRtBLOewb3JhsQxcFNcZ7mRU6euR+DRLw6haueWXhhn
JRIiORI8PebdIXmPneoOWHJ4zVyErj1WGbBiKC+IXYQvrY6me+OFgCplFR35vBlw0ezwnRta8eTP
RKWVL70PAbPnOSRtf2ChTHKcCvJVQ/WC5BrXUFKhh0SNmc4I4A+3pumLdq4VNs6wIdfGDfR15fSB
/iagPwdnty9Xu+wQb5737qpm5yNgSVNdVcE23wM066fraNO4I+Yu1X3VJE4aQ7xF+VFYlmKu4sQR
COKzoFqCnWiRWe7TVg8GGVB02fWZOj3ix/Xc2rdGe2NXeCYBwFIuL9S0/qt1IjSizkL7HVaKhCc7
U3uvjFhft+1Z2FLl1eQMrAazKoMVVg6aveFJqjPSr+trKav1g9bL8+SMu57VJyfCxpbOpToz4TQc
ALwxFyjubPcc0eUzc5W94GIZsGAo4Uu6dAKgdm1YvZOd8rF6Sncgavj4BXWhPaI4PvoccfHBQRyy
IgaCCLiYA20kBRc6dEflqORxICO9WpKRwOATm8akQvFQSoJlIrpN3pzIOCe/VVE6LN11E7tOPim9
7LXjyKWABjiqfCnr4XvkCHm0Q9nfgQaVx5Cs9Ctb3Shfk6h5XEreXERN0FxKZ2xeXBStzIA3vZB8
FS/rvDhnPLyo8VFvrhs2lc/x2pnHHnJTMYulvnfqZbipdAseAu5Lm/dBoCViu4FbQA8CYCCXUOZs
soCeWB/Sg6e9D9AMadD6p2gx/q1FoASslqDuxyCGdTfWBDDmIGmqDKSTf87iz7N406v/+iz+cQf4
ryfx9qnfWmqoBBus9zsp4DcBAcvvkOhC2AcdLboQWF4/W+oIt3hB5MLNAhuc94kH/tTG6b/Qg/tY
QI67oQA6JMHfOYk97xceAdlMZG6hSiVoMKDH/7Gl9h3PgLjm/NolgZqwO6seSFbrLnC+xAKhyqKj
E7ZIzWMz3roRz2evO65Td1iOR1I2+74XYNJBxav4CWQ5XshaP8AomIBKtaJ6LlmDPUqq5yDpAi8D
0XptOaTzEP7/YfBCCLCmuxPcXi9Oq1Msdn0tIbpk8L/PA1lvgBzD1y6np8Xp90Mo1t0cY0In5p1i
I9PgC/wB/joc2BLukJ8REKQT+HvNdy0mr+iaDs+7S2gxGMUfS9bdOAF2hQAbUBlf3OtYlLemA3NF
kVk5MLpuaHl80HQTCDhaKGwrCND5p0agE9PN2gLmGnWRhEFzQMqoLZIpwuYPUVIwP9XzzHFA9OGA
TQjbJrh1IO7Or7ApanZ80AuGquqAsDkjoJVRNVMvwoG7tE57QCM7FBw7AvYSTN2ZjD27i1S0fKF6
2iz2Dpsqljq8hvziZcyt3St0jadxCbybqhfIQEi4dXSMFCImjdxVArg34An81V4TfymRkDhgHlpz
W0EqttpdELDgGNUbd+pv0av753iYsA2kSyxYNAnDrj4FEYjHI0g0FDbPbGslYJO+uaMf5PPspBFK
6GWl53Qu4yZXHH19j3kqYOuOQHoPmmQygPYFkKiJf7Ri/jJKfiEIYXkXYfpXnGdRGF5CqsA56eFB
6uo8HNq7pepPgze9eA6/aEyN+cvrHnyU4EJtROow3ngsuuq7BbJRpSJ+s60I9ApIvD6WcoRVs16C
8oEhyE3BB2wd9AMsbOFYRDh3ZZMu227CBV5z0a3s2/q5t5AgxDhsuwzFttUw3PYbBlh0GH5uPAwI
z4DaYDVItRTzthaxs49sk6Ks6sO81rrJrAXKV2KdIvDVLo+3DYsOA7FNsHRxqfH/bPDnVljHGFkg
85yEKL1hwpFFQu9vt/2NBIsco22jI59CBG8HLk+EqDNKJvyREAuC6lZCfO68r3TBoojSinsTLdhH
Yk2Slb2MwGgiv1XjdN9M+xR7uD66kr23Im4zvF2ZaqxKG6e5QR4Sq+ig8LlkjrJZWoSeXNBvvUC9
j/HoEzdgeU9g9OZlqLChzmECCyJqLK7kp14q8fBP/fisHwQpzr+uHwjkv+qP6VX+WkK2D/6+hGzb
bkFSgOH+VD1+KyFbXw6YDIINSPLPPvpnCcEtY9v9YgShV2R2/6BB475X3EUVwHJFJHbjNv5OCUGa
/8/2Km642W6PpXiscMFo9CdVpmex1q2OxTUB632Az7kHfhqncAXPc6Qt+AFPXiyzJ/Y+Wf19ssw3
fRMgstx3b1PgiVw68oA1oWGR+JPNmKF+2gTgp+cKB1LjGC+vVLydN3TN4Zp1NyNLvlQh1q5AIPAz
bPE5I3l1MYXBIRYJAjdOtceiqC9lzES2jvHlOlmol4JrLDpRJ9Y1WNgUhKc1rgFEBdElCuQjCzFd
qzq+TQzKXD/Vt4pMr14YwF4L2ZPusK3RIAiN6B/2DnK9XtI++oJOT2YQ1J6TVnyhiz4n3L0wUfvg
hN2lgkOaIQz02E8l8FcXoc7SnKM1uOv7Zucy58Wrl4yNbKfIGEGoHy6GSDwjNXDlV12TViE6zwUn
BR6KV+walGm/ADRzIlXUdK1SQC1t7k8LRepxtNgt2KNGaW2R6+2uJ1i3CJn6wLexZXQx85VpcVYz
bDndQ9LZNXS8WzhOLoDbfeZ4641f0m/YgfbAZ7tDoqVLfdbfLAEA86oD0tcpCF3yhs7RYzWWgNsC
+0xraOa1CYc8crEgtu1rsfNrK2GcR3s1rbfT0kc7t2pPi9t+VGuHgJHyHmk1Yb8rWMcMBt11oyPv
qi2jwxKz+/EqqEB5QzE28ZlaiHpY27+rI9DtASjnWq1NoXylEQaKnysK3WIeezB8ot7D8OhT3olv
PKIibxRkZ290d22MaA9hhVX2UGPlG5T/5m2a/A9cxAjcn7ADG4OrLRa1aICAluiuaGwbPPkhRwLU
xpATyxoi63jqQnpsQxdZw2qH9hrjHmKohV2wFthjCBjEnwJ5H86qMNq5rQfznqzcTBnqSAMwedyv
YwCCXo2nwBm9bAyGQ0JFlQoPdamPozjH5vqD57B+L6blFQHJB8hUOYSngmw0Eh5dPEfJF4FSl1Uj
1u/AXB6LOmFLwaMZtBNCQJm7zm4BSx1KXNjeJRqLHrzSTxHjP/YJvSi1dNHdTE3esgbvRQS5KW4G
dCqj8GBkULJzWr/NCJJWZ+uhPXCqbz4zwS3m6jtAkKBQEXs9DsAN0koZJMnWuZDYJApjfL0WAm9K
06FpAsJ0U0bhRdURkg+kCVLa4B+wp1+Vck9S3NZBANR0im/iuMNGNSquFqQqUq2wxNUT74FsMebZ
5rULuqGIuOS5szg8H1Y8HyYcseZhxL6yanX2vs2a9avH/Hc9XTQNKENT1GK0wC/wGOiufAXqqlPP
jpflyl3oXM79MgSH3q1Am47Vk8P4B5/xyni9wLM9hDuZwB1zMGMmgIoRF2sfEJ//ngBazLD3jkEZ
jvaB6FkRYGsAUimrwgq8sb9wvCW8dPvuwam78WrRiKPGCuBnlKxlvqxY/jaXANjZRLbWWV/qicco
1ki+tEl9X014msMAm6Wntqmgd+I3jpAqVj3Y9VaUAwWvBstadnrNBuvc+RAdc4K/Ka3WsQTkShFS
57zcIRnQ5GJUwQES6aKD6sSR6YYUON52gX9uhbwnJXkoQ+w8dD19KuMQLdS6oqOQArw+BG93euYJ
HPeCgl5tMjk353lGE5wp7XferjZlD+aullBqoU9c/NMTfPYEIerjX/cE/7568deOYPvYbx2B9y/I
e+jCgJBj1/m2b+e3jsD/1+fSqXDrBqAk/tT2wL5vIyaO4f/D3pktx42kTfZV/hdAG5YAELgcIPck
mclNpHgD44p93/H0/4GqS6ViqVVWY3MzZn3TZtUSBWZii/jc/ThWB5BUmL5+31HimMcg9aMR6x+4
rXBWfV4OCEqT4Ijq5O0XCufCoPlBkgZHMFoV0bJzDqJSXDZ6Bw9y6iI1M11jGnQHJl7fS/TY8pUZ
ztNczOGW7d2tUJBEDPtl6glWlV2wq1mPV2j4ANMIqnfCvlJbtGQl7lK3KEfh+oXTr8xggsdXWgyf
y+BKUfzE6/uwBTtXnJqpfVOW0JjpDG+iVAiuFqD1HAJnhYyOo5hT13DiS4U9BfejuSpCY74ib9+v
Wp8/s6f6TSlI4NRd/dIzmpuzZNqqunxRRm0TDq2G1BTsbLu9yuFrEwINfezow1eCR/dpO6VenGi3
htk+BtxeW0cCzWa1YJ0C7I1rfAUt9vKkXmtT8GzbM64os+9d/FPXUaSfClEBgpz1W+hL3N9ddD3q
6iFTzXfRZlujHp4bER2FPuGdUgj8SP0IMIC/7ewytX7siMUVY2et8iR4LBrr0YlfjAHGsjBeG8d5
rfXmVM/Rg1mMr4mANAnoZl4xrT2TDINRbQ67LIwU9vZKTk65CzaA0W+byLgC/ng1G5XvxSqawaRj
Uzcrme1jjWGjqS2pIVWcFXNIj1jQCAYqvJUIERzj0Aq2sdJZmypIL8OqU9eyGaGTMGIdqpr9f3uQ
Be9o1clO5SQcb0oqua/LXN9O7bAFsFms6qiDPj+lcpvYYb2KVVxzVu+Pa7PT0fhS/tSe9B34zi++
tDdp1J0ttUPMynlTKU61rVnTjbS4uUGS7HXSaO7YDgES+wxITa156ptElnTF30J3870B5xpx9auQ
U8HfrF9ipb5BODtDs9gHsT16lh6D9yvAPoqdo0HOS2brvmWVqWbBF/z/79hLFC+Z2eOajKqBkjjh
RnbzYx5X5SrQy4Nvlw9K1zWrtBnuFactIeUHKQhlpVobfXI7Kfq0xlmCf0orPrJGybyoKC/F5JwS
MQVuO/HqksUAWbUf1qMci5M9YMJQ4lqu4iLSyQ06u6FFYUxYMT63PqqM2pRgtGt2lUYSP3TJyk6j
e6NdgK5OhP2P5Cdzx87j9dVu2fblrjkwqR01Fm5GoR4XqoQgkbUCZGCsZkW5ZnkVrqe8gh6pZ1dR
rufuxMCYGQ1OyTGYl5DzcwLIZrnWboVxUKaPRMWBogT1TWE3a2Ma4xV0m7UUxRcyOR/kZ5FobfFR
z+pXp3EuINFdldN0SwzfJt2ohFhKSF1NWXUT4mRNBSGHaNrLYoZd6KRgckYkQrBWhL+XTN70oTf1
U6B0x6For9NSuWz7OCGi2K7mBIaiAw5fUwl/sElmrtUlJECcEAW2bT/wtRCuGdmQpKP9HGHUwBiv
8r5UiI0UUMbGQVqHtmPJ0UDyoumBbgcNN4M11Y3bp9Zri08VC5werXggH9HIRpAVHbDLuT+0Ph41
vQ5urHB8jiMzcEuRUHtQkVkvA5jjjah2FobnKox4B4fjbWtWIBMW2WAMB/K4DEHgzdbcdAW3hLQu
U4ZB62L0r4oUm6Do/NGzleCWOcWpKJ1bxxc7Y5ykZ+UAW7opvfHL8goMULUJWpk+1gN+QX/oLxSc
UKDGlxvbjB9swncYHwd4Ks4gYIyGL2OOstCJiMBmfuCBfjOJooejkGHX0btrtB3djXDz9BimtnhB
SGw2BtETi+m7zA+ga4WXVOlFE/bXSME5Uyt4n5HBYrmotXUepPxs39+aVix3c969ULKAkE7OiQWb
HnpWXAHVnZUPPFe8L8I6QtpVrsGHvFgG93aVMqajd0Hx0jEAceLPOdxEh8BzUT1qrD49hJ3UzSY2
U4ZOlDCELb0qeGbj5lc3MSnfTbrwTJ3ooWDh67H22UwkrFyNU+7yuqu9wQDiCZMi2DDS5TuFSrM3
jGHnBALaTsj+yCCbyrfU34dTcj3wTmQmIzGJmg3Gd9sMPARrLje5zFnB/cBERsMqlXlYMRm8nBTq
AUjcsP5Uh8FVEuvebKctjJQ3szDPcVC+j+DqidTEkFxJPw9ILa7V5Rd4MypmS/MlRmzyXHa+g829
Z4dQ47jSF4kZTa1K43TfzNW9oXPjp7nxoEzi1Ebt21ClG8eP73nZq8eIxaDL+3/fgIW0o+qOHc7O
UPBl2kB+YUSRbJiQ8XwsWwtm2y0WdW+ozZ60kf0ajYWyysgzedUiS0yFvNH8rFqbZiggz4w5a2/G
Zniq/L1aT8+WwsXQhr2+SRJ5x24ycaWvHKIgeK5je4WxO3THuNwWVcHP2+WZXb7mIu0ERFjN1zJG
6uraCBYIRoi4ss5qZ30phIU8lY67OTA+YnWwecZqHchRWD5yzEGAsSciiI6rTC0mLr9YaxfSlePC
Mv5qNf0VdSjRei45sbXCUzuccEcDpR08S4mfVdxhSTSAPYr82Kv68hgtUg7z9S1+L4AnBgQhknO7
OGhHgHHQTgkhJ4w5/dwrFhHIcuQbQ5QR50lQb+giUb0i63v8CRMdI/PyVLUeMolgFgS+6WWVcof/
+L52sBznkeMVQ3rRNQDAg062XtAU1UoX4S1eCCJWabvvAvJnmerci7w7BykDRKNpmfWX+FMri/vJ
IBg7Bhj0KAXZK6ycuCFj1Rv05qVkij7qvM/5tniFxLvKIo4N5vZ9oK9BKa0PS1XuFAPAl50toxIn
+bAhhEA41F/7qT7CH2T8aJuvTW9vK9nVqzzQSLgb+cqZe+GNVvIQZBkBubHWPYnlJlYy2MAvzFIv
WBgACxD4TrQuPpQmg4QSZ82VHhV7v6r5M5l8DRS2oNkQ32k1TThlp9zYGVl4HSSacIaHkTWXa4XE
HNuyyNdVawTQwTpKPJKKj8OcAd0U4HlRiKOsCnaneO8SG7sj990HKXPMlIxe10FibNS+eyx7bl1G
GtdpkNce18KlYUXtOjdjAFpJeWtFnCPThnJLPpjndI2LXtT5prbEQZPta5xNDJGi9qEaQ55BnXo/
E/sfp/ROF2BsBzjMha2+9P3MxU/O03Vae1hht7goiXLm6ihdFdQbj0O2lK0VvzusjcMe73I55u9z
Vh+wTUEmr+e9ruePUcy0HpWy7DHdN6zyQCaxzqy4MkOGXyDJI37Jzt6qY/1hhSzp7GL8amSs+XqA
3VEaP3Z2vvd9fxUm+bMvk5e47U5CMCCJWm0VZOMG2hZvSqPawSlmnq+tR3NxnFbF7dg4u1I4ewf2
W6XGZ5ie3hRpjC4MgMh+uiYveFHDMeoifKamivmmiTU28oGtJ9dpPluPUxFZ8qpSzJ7/wyR5uJqW
JgyzVP7rMfmNUrKgPv7zHpT6rv9ZRe/B97r0P8q7lh/8fReqWf+iuwsnyW8sEg3V8/ddKGX3IIOp
4oIgK8li/2EyMQzm0iZuaracS1Ab/fL7RnRhxQo2p8yRbblsYP/JXBpR8dNG1OYfg6NiGCzC8Kws
OacfN6Jc5iEJD4iK2AmJ/4OQgvvldZaZcJ3Ca6LLq59t5DChlvqIQ3Cab7vCXwUhfThGF9vPSZgD
2IOVoFJvZKeadh60BtBJ3E8lfqw+d05Z0c6HwOjSaF+1k37H4F0x91qj4rBzHKU9Zb7hM3qx8M9C
TYu128h2UnGcgzltXp08sIbL2ihr87rM0m1v5em7j0V4VeT4MEAWyC7eqhgR8GHIqL9pq6ndi1Rn
zT7DQ5zXvjp1T7OwsQLaVage9c7xj3UF0d7Lc/bRIWYHfJIYvTp1io4sGMSF78/MumPHd567Jqd9
S1T+MG9tgVs8oS/jHIJGg4z5ZCfBa2wJUtTCybzSMt/LNnu3nILXYZ9V4m1oyZOouadXAbCwWTU3
baJ0T4MVkNzW1YgaHOzfQEUGuC5RKx80BV+eQ8LndYysftcYub4neB5eKIme0VlV21BGu3E/l2W1
BU5TkAqaWx7M+eiZsuRdT1uw6/T+JSe3XFmA0Uhn+rR2ZEfZOYVn+rV9OZnmvE8Es/KIbIcrnHDL
SoV3dcBb1phkDCCwwyeTM0uUzrsU1CfIft6lmnMy4sjaTj7GS6WhiozYEQFQMT6KkMB8gkvQtS1z
W4Bag9Q3sgyvh6sEX7qnhuFINwd+9pq13DpWSv0EEya5VWikuMktK3+PVVEfsiqC79cLULFR9Zaz
ZTr+d3L2m5r2y8nZ/8me34r6r4OzZUD1+yNL/5bZwBEnBft7cwFH/P7IwvvMU0lYJCpUvBd/jM4M
CQGCWhz0tW8e5h/p1vJfOuWFKGn/tkX/I1sccZJPTyyMeljzGNIxpuMJKBazxg+js6I058Sc/Oak
psZdwoRWb8wjHXDXycgwf1iGuFgHhkwTu3ia4lW2DHr9ZeTbjp3vqhVPJRah3Qpo4o0q5tkLS1tz
B9FabjNrKFrLzNzh38rtAtgEQ/+9ExDtL8P0tl5G0HNe0BBRjJdKxVoiywl1cckrnjKa/go/QrxO
eyJQdTtUVyozbtuyzUu7n/MLAP6tW1j4VAOfJIG+TMcbAspyGZhbYRi4c53fhbkkvbxM1dW62VeM
2X3ZBusmgaxoi+wd/u4X2KXKErjaFQzplWVa71cNTCZuvdkMXpA0Y7cyO3zQDPnzmqnThbYM/sPn
2vBaJ9gVhR+shr6DRbwoBfaU4KBKx4T2vYZ+MAQFOnbKZZTz1iE1aG05IJnzgSje2DfIETjdSnfK
1wo0H5SKUcgnE+WiWCQMZzLVlYOqUQf1OVpkDtFLKOS4SRKLkshA7dbaAihqDbtx2yBo9vYimUAk
vdEXEcVBTRlRVeixAEi4CC2RFmobfRFfGrtHhqHtbV36RbtOF5HGTwYNEoW8APGwZ8/IrpmFdyxz
5Dv2iOoi9lQGCOVvBZKWA9vWAmi4DhZ5KGhVw/NRjCAgxS6m6C1rrkOT2HfCmZ+1RWjKJnatvJ3i
PnRWhU4DRwnTlNlDuRtYfZG7qw6GxmeZ0a8cI4u9xNdy9VyKNr+VPsKlZLhRJsVpFvVrVAzFXu+V
Mxf4s1Ng3qjjgA1+oj3WVX9Zw2RdKVIAGR+Md1TJ996epk3TYh2qGunvoEu9UEwHvYpfxUvIxKMz
dLcYFJtjJtVDH8dfy9k5UvVG2rsIt8WgXFS4L9xGRShsA5/dX+IPLib5qzaeuX36u5DNQxXacpcb
PLbZTdz6s8G7RMeSYuDfZGGwkyYNHhREkvaxso1sYE0F5n0dquGhbxd4Rzzf8m8OFxUBBDiVRUGe
0cKgtzBJ+xq4rOYsJ29EilIt31ppvnhgSoFIPTN1a2gCOjAKGbFi2LYbTlHlpk3aevPYFI+BCtYj
D8P6HFumQ9tgtRrzSWNGmH2ROqnGoA3BQMYIPzoFnvAbc/ZxMapblLBWmFqd7fiiI8YW9DC926uz
VPeVDPe25qdbi9/FrSyDROVyl0pQhk3czm5R5TvREhtVLIaEvGfjuIVkkCoUM5rUFYEsZbImQhss
Cx2gy2gFUOlKEcu0wcGu399rY3w06+5QGBOb4vq2txGZ5ybb8lbHEpoR5c0T7aofu/uoWEwvU3jO
RHedMJ2VzNuabH5s6BBxk54xe1bEX8BKH8So7gDV3LUA9NyqyymVKgr2Pel4kUAJsdW62GQTgrhe
j5d+bVwn+ZSux0Fb2wxT9Y6X+9R0xFxh1gXaCXb3FajxMxkJomh98+L7dDp2yfyYhoSoRCUle/zs
qclseItoqG6rl3cFntsF1rPGGYpdynemBGtvbO4iYeX4GBbBLCygIi8S2n9f4d9e4fovX+GX7/lb
8RrlP9l4LD/4/S2u/wsMmQGMCRUMIzl/9P0tLniLE1xy0KAWbewPTyUWdhWGPm0XcJCwnS82lt8V
MN7wJmZ0DDHLi/8fqF+m9WczDKgD1Vy8NUj13Ki2o33CuNtUO0lQScpJw3HF4ImyVjG/+wPvv8RM
mZEa6sbU4k09Baz31aisb5w6U651e0nYs9PO7ZsgIFDhOlCJVwxxanwskT29MlBm6hrS3KPrk9jG
FfdLo8uZATLzykY4YksLR80KeZBw4yMIw6XibGpNf6QeTn0NqjTzKn0sN0WIpXjoYMPTwYNBsuDv
GnYluCP0+omqXCLRQSpXc9ibhyG3D3FMEGdA8jdDlOimU7ad3r1Q5akiZfCuSJ3FgqHTUaVMl7Qw
k3RnBRw6or+SOR1bGe+ANZkEY0sfb8ibFa9cnYysF/AoG5OTrCXUKVf363I9G7TktmNzhk1vuPnU
pl97aU63mvYQCdwmmBGvoioIVxhnr+MZUYJ55eWkAnGUQ3QaovK1obXVkqgiENJ52vXmsLblOG+Z
mkSHnP2ZaxrRiCGQGr3GrJjaAogfXDmq3Oslfg9Oi3JiDDSBKnTQvwrWFRFuSwFeIemL8XqWsY0i
IpLrsVcZpYfhzkkgLvgKLWSoP3O0oSQnR+Y38pSQFjVbqJkMd2bdzh3qo4VcNdJWyP2jKgG4Ihlw
i0mk3PJ+o9+ZCzvfg5Dut1lTRAffUuRlJIaGx5DjQ0Lkh/NLjcKma60Lv4LcJwyfW88BcVp3aPAK
UjHwNdFYWflt+cHMLAOzGFykfpi50MBPqZoUDKqyj3A2aYEL2hMta5OX2dQAi1omnoNmuJgJ9nVf
2QcoeJrXxxOZgonTlGVbEfI/Ti09bTQ74q7fdN2oKwd+gfab4lv3gy4u6UpQDhMdfxp9z8bZNJtk
wWpNAW50Qr2eDnB8VVKIdlFXDnWIXGgnFozWpq7M6mgJnK1KUWCGWbQYOXdbI0yfiF+sWnXUPLSl
5oAhzCDGEEBPFL68ShCNlcx5g0NwYcXZddF1975iXDalrTPiVcqrSUEf0i0Mj7gad4tK6VLWm96p
sQ/JW763VL5FqU01pX0xhQWWTbotqnFaW9iP+cwnOeUXZoZy3StHU4suslAG8LRM/zKXJZkGaAab
LgxuMUQH+ypM93Xc75KKkyQpjiiHCBNPbKNcJPI56Ej4tlZ0GnvaVMYcJo7S9hlb5srTrHTvtOZa
1vVzVoPiKhLNK+QHtF8eLdkGpvGGAISn9k2xCXT1pqRhOixjiIfi6AyjN5ChwKFjItuM6b1M1ZMu
unurVyUXqVNYJ58RDc6P+aOstBtz7vZ2J1cAUdYWvRPsaOm+U6jt6Pvn0DK2Vt1TBg36IzbluUny
G1nobw4VB26WLuiO6UYg9q2yqryEurRREuGVnGMaQyJPMDIIqNLuZ7V0YRm/AgO7o78H7mwS7+su
PM/FeMokY4w4WGRCGqALXFUcniHgdZaPVxN2Hn2mat1flpDQQPD9zB1V0ZbqETLbWQ3Ft9CVeRJF
r5bsUFOIlXSOl6AnTmVxykuV97xabDXy10h7wVmHtRL1wW6EA0u+5ALzHOj+6Lli7zAlowc1/kPH
t+7X2ko4que36Xudvhd+dzMSEoklyxTVwgGXP5q0XzeE5zTBMVqm/b5+ArV127TWRpCyNIPxRozO
XRrP+spJU4QReLgZYwDmMFyBvoIEpNIaD228iq54wm0mJs7AnleWhB0SNOHe0GDpzfWjqrWH2ZS3
llU+Al26CfrpusuYJZTvlaqGaFyaS2vLJrLKDRyNVRKIBfLkBUZ4zdr+suiNG93PPjSlZQXF4grA
SqmqO8Xpd7JRNirbwdgsLgDX39f8prYP99Uyy7WvgP5Uuw234lXjyI1mNAfDp+FzZL9R8oWNeYPp
iLI8IfTXoSse+afEZiQjOTWi9LiTqpUNe3zKMS/kjZeT9EFX28/gZgo6tVlJJ5tQ4SVBrSH97Qhl
bmfZW73tH7Iuf2rxOE2lvWe8CF0PikjR1rsckK1KPohFq7PV4v5xqNWHoo5vCkXb+tQhR37Hd+es
g7zd2a3J1WlvWcVf0wp+LGc4tEp3m0b2To7+yTfmfS6yQ+9rl2FBlD7vog1k9nPpq1je6CsY5HVc
QxXWxq+lRV9prXae7sh7v7aum7o55Y15041s1KXW3HaL6InKAIAcMoGZXlD8fEhlxTY+DS7r5UE1
F49T0tIlYm5LvOFsSenxGZhrLYue/Eil/X1dTgdNL44KKs5J8UmTQotMbxsGU0udyKFWVerrB69v
E148MdqRdR+3mb3XmdAtroqvmHZcXdA9ibstibQ3K1PcvK0eSfPv6dY78byFUlgnWw1AKiUJ3JdQ
V7xZ1b6GZlNuHCO5y0ATudVICtjQznEiYxocysU1bmyAbu58iiEGXckgtBfIu7VnBwPMgUlfJWm8
NsP8PAbWNvbHA3ubt1Ip10oTP7e1ifMeiAORPuAHvb3uOkAEBN8YOrQUq9LRkfKSAIuy6xX51vdY
8yJ1G4CziGjjzQsGsllDzCQY582Y5Udk2WPdmneFCfqhxkqRI2G0QJeVkHRXrtPSrVKwjbe41op9
qrSXszJ8xX372sl6HcRkaP2U3kfR1WhkvP5+mKX/pOqHSdIPNKrfVogMmCxKq2xs3Z8TN+1Q13Tn
5spJzXZRnLBbvVHYdP/6IH/G5f1+EBKgqiFY2n6L/fwwSaLIRLVMoSmnUb7Uw3bovo70mBs01/5d
3fLPFryG9seRlt/khyMVPgLp7HMkXZJEnPBqaOt53hfWl7h7ikBR/fqD/fTb424iLSQ0jcjSnw+n
ywKYVFoE5155artjFbzm6euvD/GzT8RqmcUyhyGf+ukQvmWPqkNK44wWGQ9bIILrNIzgi2wjduJ6
+xvM9z9WP/3kE2H0YtOCQU+AcPm0Y+hzq9EntY3OUR6Ak4aiuXRD/81n+rMW8u16+NNBPmkhDeA+
0/I5SFzXbotF1gl/27L+X3+M5WP+cB307dwyBeEIdXlpLTwwnB129DcHWaq6/sgN//VjfDo1ZTIl
ZZ810XlUDOzxnhOdRUSu0f5qRp7VnHS0+F9fDD87O7q64H8ITJtIWX/+WEkkswj5Pzrb1TV9ogxH
9vY/LAtd9owLfNgSFj1yMIs/fXU4JRQLhFd8hkhG3o4yHuKi6f2vP8jPvjqDQTaH0gwAZJ8OUgyh
bUcRDaF1+TW3LkJ2ikz8XMcnPX0UwFsH//rXR1yuqc8n68cjfjpZocNittSm+KyOCg1LD6RI/uZh
8JdqN8EM3wZLQr2CIDG7bPd/vOiaQkAGHrXsHF/U+3bPy/MSCWhtXoc3ppevo430lM2vP9XPLogf
P9WnQ4ZA90Yk5/jcW4yfyEbpDg+FYvfro/z8u6NCFi8pV5756WxZM4HRNkMe9yvHo+tHYuP49RGW
b//z2RHacrWRElp6IP781ZWNjujekAajfdkl5MBq8ykSAf3l8d98lp99Yz8e6dMDjh0xFi7bis+a
+R7Ka9O/rea/ebz9/BA4noHDcCfZny61SEt6KeYgOef5yewIiy941M76m5fqz24hLrbvR/l06pMa
W/EUcJQoeU2VnW8o61pszISWnPasJPCM/uYc/eVj6SjhCNeYHB25uL3/fI50B1toZhfpmbwLZsPB
Wlfzza8vg79caJ8OwSztxzso7wO+0LBKzwOuIvQAgor/Tof/xzfDzw+BEA9IHUu48elTxONIoT07
rXOTvirz3hqivzkvf7mU+QwIeib3CYM3xL0/fwYenfag5XN2Zp2XdaYXxvsoZmHqvH/7rv5f1+H8
/4fdX0BL/9kOgo7d8k39URn8m4dk+aHvE1nEU0jPy8mFBKUvS6bvE1moIoucyTCUK+lHKwgTWSRV
QE5LepBwgsX99vtE1vnX0lCLT5LgvM3V/49S7t/4/T887DCcoKmSgZT8dphB/rKk68uxofovNE7N
KFQkl34/TKJaabHBINKqNoXBbKhupwcb6OiqCcRrbcgLJhrJylzaveIRQHFbh0dwF6qbqznEWF6g
Eh/FasQOONaAXIVTF8TDu5fJyb+GEYmzLL3BuLlliHnQDf2mYrSKB3FajKt6w+5Dv8gzyvMCxb5v
mMd4qUMqfh78e2hWDyalgqhg8+hZsCjMwDhpPACcqjjYabVPzNnYz70PgDbBbNqHGImxg+iy/BBl
eNMNgXnIiWKWU/0imUk6zfxlhHnt4rPQGZkyhsPYka+M0vfUEdCfXYZfBq17SsgKebxVd3rHrrUE
0ORmocGiERXMi0rjKsmqQ5pQt8JG5qPqQzjvRCS8OZW0bNToxUF1is2+PIwZu9EuQotllJPQB0aN
Dr5M/6qxKNtBCJwxzor5Q4Lav+qF/TpHfLmln4XXOlVcbtjU72GrOpdxke5NR0Ga0ctpG+aNPDXR
iCvFHjhrpEQxdrSBl4DHpJ4vZ4gQa9YWkFXgMrIyd2K0g2s1MLTtXEKur4KIeUvOtJ3iTdy3GaR+
dUrjnWGMKZSoSN/G4VKpO1MQa42MbhCfdhmAmJU2TpDyGENv8Az5GzEY6RqYjE7rjJGtcyO+IDh/
nNv4lOQYbKdgXkWZ/PDn2HJjOxPseHHKTxjE10BBIJ10mPzVOJR8EdoEEKZytm1MuCzG57J1dGrU
sqCmI5cCwhtoenLblWa4NjQ13qkqBjySt8bCwFGu8a7QfTDzSavRYiTFenMjqSYByjpIdyoCttvU
GhJRSaKDiZC5xbd9N+nNuevUfB0qzASLtnwpUrBmUWhRpYk/+lA6CGQLQMed5uUrivT8aWjM+D6n
w9FtWOTtpo7ea30MCuZ6uXYy4YMxvQGlEPG9uwYG2Z0cYP6Fg8CaYHfRW7KUOqiMQNd9kCk7tY03
nZmufT9H+2R8CoWAwh00HKbVAp+3Eg9yVWOQwlQdW9ezNl7HY3djDZQUNACEIy/V0ytaYNsdLq+P
Np9fWuodNm2Jqzd10voyovTNMxhOpnVl7a1pgBar2P1W+rm40ZXuS+QUrbJS2w6Ea6iPmgYHp3wd
+K3sGXe/H8YpxOOw2jI8vtOUQYP4G1iMXp1DDlR5PQyThi+pA+jeLJtgvBc0cK6jPFcOigD1bBj3
PaKrB8rnLqvigx3n58FuSKTYl435BPXi2BVWzygofYcTcTEKhQkNmMWVHDpyHSQEd47T0jhEfxTJ
FfVC52hhGR77XnxUFGSS+0wvQSZpbu/YX2ZJyCmKZwmVMntrbEqP6UTdF/F0zYrwAhgbhbwLqC3P
JAjaSGP63IdQ3BZgQx+hUdf89byB9mk3hrmZJk6hVmWnjgBBOvpPatF9LQWPB6niwLST+hgN2vOY
WBZ2Dhy1DKWDDf0lWy0yQBOIGn5Gg8tj1nCGNv0l/OgHzHhg7RVxdkZbukWG6gFOkL/ZkvrokrT3
yrY40lSxo0uPOZ3wN7FaVKfIYbAd05fqKqOzasf6vfEtIht9tPJD3foKQT4z1xRYXeZ6+1oIe593
5iNjZxqv6C+J6/ll1IDdAdvZ8aHTTairnZtp8yq17CtUjm3oFHieAVgkQJPcvtB2SmXtpqECU7zM
76PhOu+yC5x4+Cui9KWVzs7OjSstKLeKqLYBtbacU1qYNP7bfA4lZrgm6j6ayD7Tk92u+2Latwua
uluw40hJVJEqvAuYWxvTMWzT6wyqtRaFd4y/1qGV7+wFe93Bv04jfIwoGOQYwD5kMLJ9qpajFC8e
ElEDQxvv0bvfgarmPaZM20bqjcStkqReYOU3UC3q9X/XRt8Ua+gIv1gbrd7T/7mCQPiz9RE/+H19
hOsVahptgP8u2PhhfSRY6rDr52n2byDw98wmKycVey0xJ/yVKpr19/WRIM4pMYo5LLUMk7GR/o9U
a9bHf2wFTRbPGgwJ59sO2mCX8WkP0PqETdI51885t4OaRBd2QFaln367RP7jPkCXrBB/OBCfZNmf
YZWDV8GkA8f7nxfqdGknvB2SAR0QCnhLdatYozotdtyIDDxBPIWOspXWFidn6i6qpLy39ZqmWfxB
HpyeFjaKlhz72nRWIA2plZ8Yb2P2X2DG9ePQlKWXyRBpaFnWhE16W3JATy/Tc6GSI9XsHGt/pVcr
SQMr+C2yBNksj1WGc5MFnZdrzbxiDMRSIMk3vtVv6HJqVx044VUDhKy0xYMi7UtHdA4CvfEIe41Z
92je4kS+UbKR/Kl51UZqj6bCY8IiJ1M7/dXgZwFIRw0EkUwhsBHl0BcQede311S8bgbRPTiyfodr
8xRk09d6ISUkuOxXVKafzdo/WnYWbcBK7yzHr7dNWHOG6vq+sIJdJCnAS8PwyDL6Bc9vsukzFW9s
D/UuXQBqRDd5N5NV32jt/KRlyHCziE9CwsmcUsqbS2NVWclTZyP3NMFlMWadW2jTDVbcLXBXwEiB
wgKQ3u1BGBFmJCq28QjfKlOZellbSc92npwWSIExrroKaGjTCbIKPNxxh9PL2MRkNbsPOSHgM5i+
pIsJySZn/VkxIdbs6UofSLKhEblDqEWbREvPdO3GG/JT2zkTl8RcCDlqYuv0fLfhAplTLCJFZeU8
QYTdsVK/KfJ5Whlz8yWy8IYF9K66RotIMnR7zUz6VW2or2qKLSAYpi9pFJnb0ZhP+oi5qwnjHoWm
ftNS/U0fUkoIRm1XpJTHMUWnkWDYslC/zqjJo0HKurANVCMrzV/nuHwM7Sb0MpJsdAHEK1HZyW7o
jC2rU083/A3vYRpgucQwnAkc2RoFfs85Oky9maXSTp5pjcTI1DGJIDOR/2t2YqjylWoPGw1LAy/d
ejykqcm4acJO4oMGEMbboDr7/2XvPJbkRrJt+yttb44yKIcYvEkEEDoitZzAMpMktBYO4OvvAut2
3SRL0HreMw6YIRCA+/Fz9l47FtpmmCFFMKyshscUWQOlAemC80osbrt+1GIvTfS9AepAo8ruFg6G
U7+RaHGrpcpXeI/YjqDUl9yNFIMDeNy2Q92GvUSm2l7JBWUtBkCnISBCoTJkpsI+3A7xklwjX6wE
0+YYVucwVoN1W42kaCyRy+2pSmBld+1Oyu55DpCWjm6ChkClA12iYOCRNYr0GpnnMVOU/ZxRxUdh
FPnzOHHeGuIvlpzyVSITYzX22i2e7O2IkzYl62I9Qp8qmH3KxkeCuo/AjaWdspss+21M1NdZ4Igm
lKpdTYgFzLtBthSp/aEqyflaNBe4dPQNTAoUKoAaZ8OXhrkbdAOxTMSBYK6GrWEn3UbVOCaFg/la
mAQSjqX0AoX+uSmrba8VV1MpX5qS5MJ4Mh+7TnXOBI2Z9f1Cqw0dswl2pZ5r2a+W0R9VwssqynZh
Yp1YHP4Y9ZY21adOe9vinAwma7qW09pemdvgMN6V532CYv2teIIitqckWQVH8hh6L9ka+08b3PXv
+8K/qF2uSzyv7f//f3/utvD2Lh5PVFQ6LZef2jlN0ItBsfr5erDfqmDvwrp0x1elzP/jrg7fc4nH
JSrPMlX1p24bwge0FURfX6OwiEAaZ9lXN9zDs/zF+4g/bUrfryd7oIaPnrHPj5ezBsIiei1Sry1x
bCxA7Jg/zad/vmbfO3X/t8X+/pt9/jI/vUkfqWqrg2i/HjbtI7pWf9ipXxxvEQ6fF5fB6rbxOWhv
9N3DxfGy1WU4x5vH1g/8m+QgVztYy6fO4z96KD280n/858+nLxfz58+35GrZhmAQLn5uoWX9PBNs
omrXdCMuwY3qq2ftKTzoOObXvTetDi/adlxf6o3cCfyGR0ANNxzTNmD1f+95/rfJZlIN/X2TDc9V
9/avNe6VP3falr/8o5IE0e5omgDp5f6sfSSnjT46Ta4/Uif+l/5h2L8BjXJIfIOnR8P/s/bR+o27
UzBlWBxSPAH/kemK9twPNxKv5KgWrq+lLF0mqItf7PPi5AYgZkPHqa6KERYUmbHcuXq2GOaLp5jD
iK8nzaJipn7JUhtBnOj2tdDgNao5B8BcHiSWLVpObKWd2u9C9AqC6wGnAAFwWfS0CuiZJHbyLgM2
Pg2z1AqzIWrqbih8OxcO9czkXkd1/iAaZEK1RPcs0vk0ETgfhl0J2OgpSIz7nMneFfpohVAlTRKl
YNMHYsc85Fn0FJjEOadIDJ20Y57Q6181pelRWSnyvqjdHQ3NY1KR4KNiWQYOe1trkvBbxoMgGy4D
7QtyG7cCf+x6EAQCAwyOWtGsmqnkuG/PFFEGwS9utA7C9gMDJGrsMBzoNkzN2oiDbRjXdyYhDbB6
AfqZzaptmng/ZParpkHTkKO8gBvyEIAucilKsH7MdwhWNG9M+4g+R0ohO98G9G52QtG4NH08HLMY
D2kuwgvhtgfXSTnOZmAmOuVLkmTuKq5rcMmwtOQsY9hJnO6VIYVYEJEG2s/I2jLnGiwY1BR4BJlN
l73rjNuksm/L9gvD+W82L9dPXLK4xl0aae1b1FMttsyCV6bdoT8xaD8uElPD0ldlNmCNz0yGt1O7
wNtusUOV13WunesxGX211io/FoCCUfbq21nX7835O37NpYQXDxWx2Id6SHap3cWeVQcXmBbDmqTn
DYfyI+iNaxmUXpfRtZPFphxxH2gifnLN1twWo47SY3Emu1m9mWN8Y/X0rJf5xiyGV1NO1T43htuh
VWagS/Ir7zz6o5FhWai1q4IQsVWtTdfJ6EB+TKOz2yvBaTCad60JbIbsmr6PQ2BXkZLbfm33LpHl
SFF8dWZmJAKMEQOwhUFBEhiW7Q0+AND4NjEnLheoRg5mOV+cypGHQRiY3u1NQ3nVUVFOAo2sETQv
LvUkDn5E/GnFW5CKWqGHayR24l5wiR0awEoezQ9GVWorU8efblT2nVNbx06bvi4hUp6Wilt0oeHR
mgd/zoeLDkpCc4FKkICGeL+NviRz5e670v4y2ktDz5mJHxhchF5ae9Phj+ZBPAcpEjpGiRVWZWQz
BDcvPR8fhaXJHe70K1qn/AUqx1Uhw2mTaMG3rAqus2bqPTPv1Ksh6ol17gmdgrxzrPVC9WfVqklG
gvqn0WEKioNM9NaLA/0lgQG2AnLQnSJTUc8GfIGvNETT+1LFtwKNEOqWlkW0d78vyv/dnZby6u93
Jz/7l1c2+Ov+vDktf/jvzYm0JAI/cbAZcI0Z9XC+/2MMRMQyBQZ7zwJmoQ3yB5rKcH+jw2ESPKqb
S5Pj8+a0QCzR+TDlZ1uhCPyPNicmgn/anHgd6mYIR1R6vO6Pm1MdBiNL4YC/DrqMXAw2A04bhcYM
qtO2uVbmxYbDUe5ZmATCuyTJrzpbsXHMMIZplaE4zCHjGwgMDQcx8wkkne01ZLetK0btm9lk4pEv
hiCO7M26M/uSxHt3WNeLcSjBQdQvViJjdCKyROwHF5cRZ55iY804x6CrH9ir4V7hSUK//xRILPxD
Ut2RKw6ZSIndnaYieDI5phnqkXb+pUSju2TjaSu1STRWBg0EM46oTMZbInjndYlXCprhS9Dph84i
9zjCTaUOYbYJawu9hMRgw4zj3SKnZNctNqxmFNPGLcevVml9BVGdeHT5e6/FveWOxnOhl9B5+6xc
GTi89CG6iRbLFx8TN3N+lbLHOcZgI7azyvJxTCa8gKq2TTUyiASBQzRtN2FJczOAvDcL7MQZdIAl
nKjMqq1JXBGryK200nBH6IhDZp5AsSjn2UtixfJ7ZQRyLw0Y8/pjTBTSsGQioasqmVIAPykq9NQJ
0UnZIPeG1b3mS6ZSbZCu1JPiMs/kLTnq9OhkzBSux5bkjKobYQZlHNjcU6RU3+YlADlgI/LbpDcp
Dpata4lyz2NkkXWcuPuqnlDSpvoD7VnsWAs8WnfIpIYI8TKriGkJf3f7+97Kwgu5hNVhVvPGZciS
7oBY+zJRbzU4iRyBHbyYADNXqRo/LiBNJg3o6Q0FeJ8RooetrGr0RIlXQ1HK6xCJ+soC0Kxb6r2t
YISUCSbGnrZdZh3MvuASkyYTJONTJeIvtpGfAgWNYaHVCHwaMultpX8z8xZcomm8KHr2SvOHQK7Q
3k6uCQM5Sna6CoZzgfOPPSJu3SiwUTqbCbP0CHEFP8PJCuyz1lMSOICY8rn4pgIZ9ofesVAJTzTt
01CsBiX50CzlWegMD6LxNou60zQo98DAXjsOc7Sw4Kn0yhHMx0U1goexSI6TzPm1Av0xzAEWRU1w
H4z2EXIxDkM9NDdsX7TkHfeCjPMlsOWDpVI5ZWGW4Kuj4WPH6jtWmFvZJJewajZ6sFhQ7eFKauat
MfFd8iC+aVptDx5pTd77IcT82VvyWCkCUW33uDTTQOozkBRXcJZ2RpOjF8Wtl7bTM14HZ5uESr5K
Y7rsLHOEj9UKA91lahKMAxE8cfPctPkBkNQ5NXC3q/NjXzDhG5TAWNeG3GP2j9H0LLNOJbtlIPgO
SZzpQZo1q9ly0Donhk+L38G8UbY+QUdgqV1yME1ArkmVJ3s4N+uxxR6oM/FcVlxWKa0EHz5clz39
MZ3o4k2PKDxUMUZqBEOqXALWpBtjss5J734ICzx4ZVsPumWeDbNO1kbPAAuuASE4yxLXRLM3hOqd
7habzI6QOFVtvmqZPruayHY5/FEt6+DJ5p0FfWl86ufwDob8u50zpAh150yGMlVsqCgbusu30M4p
xUMMDJNuv+skefhakeEcsSp/Mqiw8hhhLivpJmVI0nQzurR6TtZxo90X8VAQLmfHH1WkXKxyGHyy
f0lji59kNFw1brSj7P8206DxOxC7TB9VpsE1ppW4FQopqu2cP+WM2cPzrJOO3lnDQt8TRyIi7t3F
79cszr95Ll/LOXb9yhwMkqLn52DA+WdjGLQ6pV7PfYPcMLtEWAoNrIUjFkNt8RoaRXPIZt1HZ0/1
24kbrIXn3lUQzS9OxYSiz8G6qCrYqJrFzShkoNJn6u8NjI5xQIgVxsdkcUCmlrNM3uZnMi/ObT09
5kLeVDK55n7gImCjzLFTziJS8RYzxx7UYtsvnssR8l+BCVOz2oOKKdNUx4cC2GKAWdPCtFm5gJQc
/jEufk47s2gaLh5P10IrFS++z0LVuxVrrIeHaldgDW0Wj6iNWTRMLHLtFv+oWJyk2EnxlOIzmWdc
pkoK+uG773RxoKJ10PdMKGOKavyp5eJUTdUGGNXiXg1HmtiLn/W/VdnvwycqlL+vyjaMNf/KK6ny
V3+UZA7gT07lTIvIU0ZO9qkkAx5O7gNVl4UClbbA/5Vk4FscYaOj+T5c+l6t/VuZI4h8x2JvC1tn
nIPu6j+ZPNk2rYxPjSf6Ba6OURLqgq1BjBHGT83MNEe3MHaBfSGb9hB29VCcO6lPMJ/yoarINYj7
eevIFlxVlIfjY+liZPFKDAOIcZLoZTTauzyqJy9qi3Qtu35LGJZHl5i+ORwuziiYLksX8iX2Oh5U
XA6T0tZeMYsL2qSOLr7yUpJBgRLnCcOKlt50SGHuUEnssFABSggWI1GLrz9WMJcVjiR5pkb1oYQv
U9VF10EQxdZ1lE32tSgcRgEm+cUG3DV8LZ4IcrW4t2zF2ASsU9JvRy0gfEhpo/ixZyMeMPnLp1R3
I3RHabmLoySZ2IKbs0zMg+zFrQjNiVFy8ajO2X1vMkwvo+pDX9jlVoQLsyPfvukS1jPjPSoSXA2K
ebF6HRz5+NhHsVgbFITKoHhKzhIQLshus6o0z5kAC7SFbeIWjJ4gRDtMMVIgyuIudcilSSqin5X4
C2bE+7w3v6pmEvttzkURTndjG2BVQ5DZO8nro4St0lcoaOyTMt6pMxOEehkE5ZlzX2eavimLtAC7
3Cng2vRdRBZnMQyNl8t4b0QQ0ESO3Klo6Iy0alrQJqozFo7pYFT6TaD3+RrHPkBzU9+RFqKtdSeV
axfq5Z4wC0ZYvfpFLWkK9G2+VgIRgMNut3nhvoVRebRc+9gapFLHDqIKY3bv7ABtgRu1WJOUL8Kd
N5k67gn8vIQN8hNkVV7VzNYuL5a0taD61pXMDaxY4kZS8g8ZuSOhb5i+XIGDyh3snbWU/txeN6ZW
dwBry0snEoW6kSOuy5CPpsoqjDQAi5Bae3bUFXQtsUYo1S7SKy8S5XOf6A1doO7Q8Qt2bb8RkB63
o+AYbql16c+Fuc8HolJq8aS13YWwlnvMqemabJ/HPIxuIzOKvUolHiq0lD2LtrEaouZ2soN7dCE3
c93ziGgQeCYNJqIbx5NHr+K6D+bdlAUKiYHKR1MrYN1MIkwmwSY1azA0ZU86YChaEgRVE+fMNB/K
yr5KpnLalI6QINgKfH4DbtvalCeI8l8yCGZx75Dw2sZnK6kIFlTt41SiB1Fxv5Hmir+RB8AzteSt
USu5mdzuym3M50GJ8PNxZ62SKbfWUW98yyegP2lV3vZzte56m0jwmlgYe5xXZlGitEmHBx0B604x
uTuDpaRrs/hrNukzm6P9LKS405mw7YcyZSba6HuOiYaHw/wUDejKLAgAAFdNcyPr5CoOLeJu09s8
Gy6EjiiMJBeISpL6ce5e62FRb6yM84SsJHPTZpxWdWHdS42YRrVRvwW6+aoa2Qe90T29R/b5sOM8
oehfzVZ5bBPbXed5/pjLTsfn299NU6dtYyt/KScTu2U5CQjAU9SaB9scrRsjcSqbbHbse1NUvxuy
ANIhCEhdGCW9qM8WNil/TjldDfN7Y+gvteMaO1clebty7eu5HwrwSNgIzQZdmEVe+Apb3QeYg3av
2t1dVHQIR7BEYWUsp1VvpwlrrfFaWeZdlwNYkpED3KIPpNf0dGWTqiqgXqiXAdq9z8zx6zBPZJsJ
KstEH7whKO1dmhbuelDMbOX2NXZwlRMb8q8PBr/5WmtJx1UDKS7xSNTJ0NYj3Tw98gy9vpX4YQ6T
Q8aBRkMqjYuR3ykG7GFMXkzQCwLlqDoTILOf8uAVX+jo5QqIKn3pTY0Gd2vVJB+WXXAKC5LZF0Ww
CU1j2llFU+/LytykBCJ4kW1lG4fYrRXr4bwFxPvaOGJTNArSnWBbUrLf0PS0YIzELjAJqULdy90N
oGpC34H03FiFXm3oBO7r0DgldkyKQ544W87JwGdoja+DYZoOUd9/SWGubKKqMw56ZRC4QO+KmO+w
2EVFMT/MMue3kZOyEeRVrBSK+1Wog2oX3bA38oDZsOaQsi6GY5i5h8Cdj0o8kzGjcb4JUjIW8oVZ
RltPsa3T3HLSi3rSIaj/r6s+ui/wzLIhatkGrgtd3Ehp8Bd2H1ZNNGqORXU7OsgrJg04GqwRWupZ
dN3FqEGCWfXSMh6wJc5HowtO0Go8Et+vB/I0fSNZML70KFax3VxckXw4BHpkbUBDwnY5plqKAPUj
QIM4k0/CJEPRGaC1qspHrU/fylSh+xffpaBp1pAbLJ/JgLVqzOprRhh9mKuwbw2zhfds8pIIDz2Z
qS8V3rbV0MeXwO0JmwDV68m6wQgapMfCydVdMibhI65rCDPBi8VhCnRl6ttZ/g2l5gteG1Kiu0v1
fVbf5R8B5hJfcxmcu3n22IMFB5PDJF4HZ4xXWfWULD5r5JeixU2PGQiYtcmeKpSBBUzTvo5OizAr
ODnBlMNzmA6IIF1YvHCzRfGUT81lXDDI1pTDH0vMNT/ooW61o8jyL0rlfJMjx0eLDkpRYylok69I
UzZtX3bb1q78FiInvm/lUU3U0xwe84SzSm9jRE3f3D55j1oW34Fo26SxISaSIiE6zOitBfOxlZzc
Un6enJN6QutnnLmf6Z5yLNbNrwZB3ytEOndxEvKfWcCHHBFZk9EpJoOZVBMn3lK5vVKB7cG2bmoq
Hfr+FtbjMl/3VXxl1c4qAKiJDfg4VmOJhyg5pnSttkbefZBO+BTStV1X5CCodk4WRPGoGWx4YO+2
ItJInHWMC7qHh0ZKjqMtGdELib2K3dPEyd0zyCjpFfwpdiI0NCv5FsEe51I98S1NMi8yKqITSPLG
4cujU8zIT4iQucuHmq/mFIMfUXeC0Y2Jm2XuUJjN3jaig5ySbxFzgE0onatJS7blvG1d+FAOgIrC
08aTo6T3UQYFmjzXfI1Ia5vQrV9NNoWMMb8bDoQJGb47VnwydXyieHIjfqz6DWwRQkpdJoKNeGiO
PD734RKMxvntUatsojMAVbSN7+yMMNvpSJsx7XqBY1Q3hdUQtaYWsUV4BYZd5SkaylKFVV60zQFF
imTkEMvBGUhvHJSJkD/xWqgiVjwzQNsQEvIYe46bHrCW8ylSAhM5c25nN+RAXyobhYENNHhFbmKz
9Mw87b1gKJ8RD85+4eABG6ZQ8zM9eTCa4k6a1rhBa/CtTponM7YFSkONbwoGn0i7fWSbb1UxXo+x
C33CXqY9cZevqbvadZqagOAlJF6FxgjbyURdqLKxYVi2+P2W347avHcn0nujU92Qsp5Vpoep/jJ0
8ZXb2ycE/S7jh+RNcyevdc2TNk9UN2X1zt6CoD3LgBU6D20cm4euV7/OMEe3c4IdfxqcHdzya/KC
Ioq8eTtylFhR10jPCoovjcx3eF6UNbpughFb6wRn/1ZPB3z7zJZEXsod6+7JlYh4JsFmh1x61w88
0YnOG4LfWgMXJI+RqUTTomJHVr6tdKpdV0tf0xraQXSVVnA/xAR5wdiLBhG16wwXhZReWpRQIUXy
BWk+A33QpnKKL2WoXgTjvqwYLibkAFp1ylx7TaOEh0Etn1IZ7rsofuns7qFyS0QsM+z8Zjta9h2a
HVK8cgAJ+mtcaTu3VVgZ83A/T/a8Jy3hlQ/4AMofayG1oB91FfHHufJq5iW2+nkgYK5OjmOUksXE
/I244fksh4mAGkuDbquiqoFXLYu3tHLgWYGazSf3JYMQEBvRUy7pgf73QP/9QL8IQ/7+QP+7CGD1
1ry/NW9/HrUsf/zHuZ6pCV4WJi2mi69qyQv7Y9Si/mZxOGeeIgAkaSZTmH/rAMRvGkd6knex6vxv
N+Df53rjN1hKFgwecKnLGOY/Otf/aPlaTvWC7oBOtqRuMNgx+HSfVQBGhEKeWHPzEkFJaS/j+PLp
svyFBglhwp/6BjQu0B8ZeMDpG9g/SUn7oDU7IF79pZ+Fr+vVt6kyCZFKbkXTfWP2ylSmiT2SbnD5
KMVet91dUydorVkJLMUCKcPTXdjNTmnV+4Q8J7OtviiZtvg5Ecc3jHu6VK7mKLvSOGCmJ2PoauMq
hMcjsRcO9AN0Yy1QGUwbo5xmouBVsR8Jd/wmBQNJI48s4gFjmwiFOPtS60uwOEWYb7YETzRqqDwn
cBBhoZoffTTmm06zw7WZRvVRcxlbMsy4sitb8TOneXab0PAZMLFHmqZk4szB3dBLoosbTs5TUyCJ
jV9TXT8JHbiIm08nGXIyz4pyVxTd7DVBTdJPtjXm+Iw9w6DVWbwqqqTzb47f8lS56iDasZXOBGzC
Jgqr7s5OWILUam8gsUxVZVdU/aGDML0GvXgzps4hgdbOntOg100PtW2/Bdog6UQnuxDhep/Gbx3Q
Q5iG5gpGwY6wqSsFMgS5Cl7ECBfyz4F1fpfX4mQWtUAnMpwzIiqt3PCbiqgDMB2r0nQfk3jGFpVm
102Aj6id6fzEFIK13kEASojSMu+7jEhEvFvgXWfzLjZwUEftiLbeifdThkREJOB3gsTaqnUMemVR
u5quL9H88lvAiS26YUOu/QG8yhpu1ZMJ80lG4mK11kvbzVdpbN5GOWCTfsmWNodzJJt9Ocl9OCZs
06hKc1cyeJanSM/uLA05XJdkT+zcjzh9nqyg35SNdXBmsVHG5pV2AZO2zt0qRvtS8uX1KR+3yjR/
STNgNXa0bgI0L+l4ovfrrPoa6g6Dfl7UwUNhAg8KLfuVp4BoguQlDJZYyxYbDRki3Db1t6lMds7S
FDKq175RXxRFvWvtZRcOEm8Y3bUqsvc5DW5STA/QCMNTmizwD7o4K1Ox76PZXdecHtZkUcOYzPN3
V0OjrVQRkK/ZFmdnhEoeE0PnKRXboLDuEtd87qs2ZGTUgPiplqcnkXeqlhyVnjpNrzFPCIY9JJiJ
29EBl9VPfXZkykAAi2W0vptV1N1mHPiytS5hh60mFhYxIE7oEUMNycLtKOk0YePIqKye5xtiJ53B
SQmwg8RDjBEvtk51ZYHo5FKQa1KFZOOkcE9Io/XofDckFCiq381klxVdgGrY4YywQNePFZ4nJ5r0
VVc3R0ahV5VZtRhHRvQvBgJWTa/bHZ3WxA/j/mRpIeVMWhVkcYttMM4u0lVdW/VmVvklsggSZOPs
ys7UDKmT0t5AiwIQFlQfYp4em8B4s9N6x/oGyVjL164GMGzKlFOQ6kuIDT2t1BLwhbMyvytFD7RM
o2lFSktxKwd8Kbgwr0zmo6wsa84VHjZKuK9VcbRrmwWRgkqzF48KTpyKEyVr1CGsg11m1JA+gTzO
3SlLlG0korOaqU9pMzACUg/SpbdfjOmrmQRi1WI0kU5gHbUOrlJAEfjOdFlfz3O9dBFrmd+nWi43
Q2ygmC1jPHN0UiJnTv05jpvz7KQXQ692KRJjrbba9WIuQ11OnpAUHkveXicL3g9Bnu6zaXiwlOo+
1zlc5Ks+81q8ff4kOXaz5vQHqVolStylgxgr31C7qDjpmJvzdqbX0K64gjFGgOSU2sOOIJphC8dn
2rL0I+eqeQe9z+6L3Ig9FKfuoZ+a5JAl4aVAaIuWyXD2WCmjlVna96IuOWiZpFSucp1u8WQGAaKd
+t4KpnunEPMiaaaT1JfthuAAbWXLcdMRW76l6Ce7b6oxc/KHK+yH/XMTZ85mdCZSW0DrR+xKUUeB
WvATy2pjOHnjTXn5Yg3VvpDxZrQnv2+J05zsQ1pPD2qU+EMMjw3O3EOf6fcOLZXjOOFiLcn38cog
Q3/QJ6CJVPXFsFw6W6NZP/cWTd6qJDmYVKr01sbQtmIG+awvoyIy70fwooqLSFj9ldPjR50FOkNG
/xBhsHnYCD6IsP5x+wcQh0YwTIpLt0Q9j/NeWPJGNu3mn6sA/a/fxwSnbRsGj/3PRUBnk8cFrv2S
Z9m5tfQHVqVrBzIby2WzkpPLDzBluwHmYeaku1aP6PeRk6QXR1aqkwhaKOjpTQTOy6pV34jI5iCS
C9/s17InTX3iETBn52KpIeXaH3XdXxQwf/nJEVDjjDYFA5plLPJJwy3yvow7Ny0uhDStwgn2XL6O
yt8j9P7WcOMuepZPqt5F7+liK9KZGXKNuNF/fJeW8ImJQ95wqcKoxTBh7o2ShUGFp7wB6iYWntez
UmXlDagOb3LVvXQk0WhTxUJl0DBOcmBcc3/TR4Z7V7Ar9SWHGJWEKBPRx1rojBtEGV5ihbyKAOmH
1HlurBzJxbSoD4WWvaW0F7UsjLezrFdBq1l+lMVoKzvjQ2n0jcDpiuOt5tgGxX9d1gbuWw5GbEWU
NpG1r2f9a2yi7OcA2i9DnNHOzhMqQBrAE+ZRTSZnNUJxMY99RN2EEDByESpocfgY9Fp+X0tCIl0t
hNkHb7q1qm5H9wD/HVucBolyShhGV6p+JVQMN+OMbVgzslOgvvVkxwh7z7r44igZ4gmp7abEfMmA
qPlFVcwMRTGZKKo3m5QeI4+ZZ4d96Y1KvkNtwYlZGw9M5N+IZoo+8NpsUbTlTF+js14u2XNtvYmN
1l31+nibW1Z2cbHoatY8Hmu7Pf/zPQdr4S/uh0X9y+3gkAK3xDJ8vusAVpSEjIrugub+zXDb3MPq
kF0spW5XrKevYUswCoq/tWbRkY3RI7CinrkqM7KU1N4BYT53zOrlrJ9F6TwbJlk5bS7qDR5iZhNC
RxAQEwROi8Lx1dLMd/D3K4+ZA5arRqEeYSFS8xInuajvwpz4Wy1qAbctsv4OenlR0VzP54+mtN5w
kIn1oJX2usn1B4sANLOdQg/lqWeVLakGsAlXjbSeE8fay0D/ArgJeLVkGXAz2r3jfeAmJ3toiBoy
7ujZcofQMp/0O0L2zmkS3dWxuM1td2tN3bNDz4L5YKn6Vt1TC5Ly3vYSLalAVmkkeIMD2sYIWt4U
7ol15RovmqE8a9FQezUhJn4EvW+YyexRxpKJWrNV1WTv0oPSS0iB0eCZKRGujiOPNlRviQyNbb5a
UrXuDVldXGcktXR6M6T6URvNW2FbPlqac9oXXjqkV0THnOzC2sjSpHlNnGxc2GDn4pu0UtL95Mxo
IkBUZoGXVxQ0qLA5l/AwDop7I+vuG4rMAHWpSgpYsuk6JkFWSyYPTV9Ns05Wa2xhT/EraWHuE+G+
BhpfYUGLTorGME2TT2UJwVHBjYZTh6HaRk+VY84uHkng2RqU1qol1Q/qxt5kRkQSoJcFcoO5EEZ7
Xnm9UhM4mypbdFfHGU2S7cYkKmvYeVqVRXdGP5doDl0j55qG1A5W3zGU9Qm4H1VvlylXWSUr5lT2
wQyR6zAgpDfPHM2oYm0tMcRHlTwrLaeEjOkxdvwS/xzpZfg6yI6V1DEXgmksJlbmLrCHp0olmDVX
z5bADAvf4ZREkpA2Ym2OvY6ArUV2DrAwKLZymL2KumEHaLv1cBntmoEqxC6ROdvB4DMu1H6xtf3i
STV+MtnokTslbpX2F3RwDEjOzDnWI1rpQF6lzVnjxPLPa8NP/o/vO8WnlcH4aSfVESFyumBlKMuv
mv1lGG8H91SEz9Lc/fMbLaqCP+1JlilMHREovtbvBoJPO59su6FO1GG8zIRe+lU8tktL+l60YbmP
SoV7jhTtqoohwONWODu1I4gNLtEKLh0vyeuuW035ZqrOzVgYyKqM/lGJy6tSte8yyjdOPeuu1Zem
2OgVXbjJu/iVvPEnJcqq27CnzSeiqNvmoj+KRF1RWPiTBq+fEm9bAO1/cnX3rpohBBri0BvdPjZ0
4lqmvajcK5nCFmTbtpX0mOpLpJ6yUiJnPVbaU141fpwFe1nhMM9GjPcif5vVSawzGb7Uo9s86WFA
DExrhL+4qj/2W74bO9zPF3XxbH26qCi1i7gJnPHijK/R/D45v2AW/ur1f9o4VCWjRg7T6RI7d1WC
bM94+MVt8c93hfXT/ZdbeaqmSLMuQr+OMdtxmdRo+gVOabkKP5dDzLOQJsMrFI61FGWfrtJot5Kx
Kt8C6R5YgE7m1CQPUCp+8WvoP97j39tfBl5cja0Wig2V6Y9vNCUxGve50i+UMR9sat59tgk8xR9W
8fppVaye9tZ6OL3fxuvocfTfMn9654lud7+y6ulLn+3nb/zpsf7+QT99Y3eI3coNWUa6zeCpa9Uf
7/ptfhNtXN9lDr7RtlznDVnsK3ArvutVg29eio9f/LZ/9Sk+353L4vPpU2SAPR0MP9PledzrPtaI
jXttr64w+0be9kmsTzCDt+4l2oy74k7s7hlnbscd695q3sISbz1aZ57rKad+V2zbK9iwwD69x3LV
X9T19D/snUdz3Fa0df/Lm0OFHAZv0kA3OrCbOU5QJEUi53AB/Pq3QFu2RNtS+fumrnK5ypJJdMC9
uOecvdf2jZ2zKw9i29zmm+ufv/TFYv+XD/D7l/7pBC2pbUxEaMx9uUIcu2nfqk11o3i1Sy6HF3nx
utjk+9K/eD1b9zumgqOb7JOVs0d96vLwWQOl+Bq4dz9/VZ9yYv6y3M1PT4c4LkFembyqaOesInfe
5n5wg6wwBT+0MldYS9xplflkpG3VJxpp659ff7l9P99V36+jT7sNW400tdU0nuS5XFtCHCCkoAYg
MObn11l2lZ9d59OuY5OMOAxzNp04U68G8SqPW2G+TNq6xnMqVZufX+3vv+o/dofPxaSE1kcz6qQ/
RWRMTsFVFV7+/13gU82H6j8zTSYup9Q4qAl9QMfyfn6FX3wx1rIQv1toxOrYBWk306msToRXbSr1
YUZN/vOL/Opz+rS5tUrWJgPu6NO4fCtz5jpj4v78Er96H59usL6ciedq8+kkCOONzVMOWRq8288v
8ou7y/q0K5lBKE0053gaEFCsO8hUs+5c0yBhYZ9KhIq97legur99XwbiSVLzNGgMny4JIU8Lqrjr
TzpihGSTkkGTmv7P39bffj3fXePToslCpn91pI8nI9Hp31/m+S+6Cr+6wKctcQazpSVlPZxkNm2a
0amW/eIO+3g+/mzhf7qPIUvZapBxH1MbrIjf24PPP1IiuHviNdfhOaie3zLT/rFVspiMfrrXLO/6
u6UD7FqDCh/xjHqgMVywqx5Drr0Sz8rZvBtWFzMUCx7dxhr90sq+lFZX5DPxVL94rC+0PVV7tErW
U7faYlvwf/Xy/vZB/v2W+/nOiRu4TgGLTjlfHuTSqgVDtisUd5X6undfrPbyajq8yy8UZ83tdCBx
9xe7F0iZn39Cn773QWrNqAbLcuq8wZu9JQjCXDmHzLtyTuaZ5vfeo7oJVgUd203jV/6v0au/egnW
p+eeBPdBL0TVnaRDuUL3Na+Sr8ZG8axD/zZuq3V+ZvmSL72Hj5o7+uk5mbxvP19dH4XXT25N69N9
kg4aeWwFt2azGTf1CkzYcqrbpe7NsBt3O9Rsq/nE8P5e3pRevql86wLthdevox2+hKff3fL/fN8u
B+O/vJ4/l/tnGoMtoa+jVO5P9Vr3TR8e/biZN/NZfFBWrziDN6lr76otTb0zsr9v1wh2+Io6P91c
x/j60fGvPz6h/xySMjf8Hy1e7xm3/m9EzNNz/va//+Nnb0Xx15H98kPfRvaqgtXeZCBPU9YBvMsW
9MfIXv1CraDzj2LQp12Ood9G9lgqZVknUPt3eyR/9W1k7wCBgnzs8C9KYWgg/0aKr5jLrfvnrUTV
QiP9w72v2jZdaX7dD1sgWd2WOva2c67mDeM0Q5krv9HKsLjUpCJSKZvzNnjCbtRcaojczH0+xIU7
0ygwE+esKZwUpVf6kuIRIrmC/E+K70nXMYVUWjbmbrMkK4zMn/rBuURh/g6PLXathpy4XvUlYGlh
GyMzrn0ZiJoNTG2spK0UZy+M4zVaMeVZmIjLdOGvmV3jIdXeWrK6lVGqgxkULgw/CSsLFYHinFTE
i/FCdWOKm22YcWynhfhWSMpLAgJurAdj19jWQwUcbm7EK1Kmo+00GU1x3tujQ4+uW5hy+PXemsle
MgxQ2S3cuXQh0M34mmDNEH06KFuimA7DQqsTC7cu1aRmDbe32Mmazbst6A+35XyP2P9oz9DvxMLB
axYinoqaP9LhTWp9uGkWap7ShNY6AaRnA9TDXjp49cLYU4Dt5UD3iLpGsFuejwuNT8oDY5MvhD6I
pDuxMPucGACcArbHk4U+AFSA7cfMliApiQwgUKxweabL3Eh3bUizLlKTr1M+kB+90AKbMsAXSfWt
hdNzofaE6CnKe6dKewXUIIKOMzQVsBAXCuHwwSNcyITAnRMGZAjrR7CFjOnfcqkQD3yfh854mnPz
CKLdHbIM7F2yJxrvWiwcxEakSUuf0KlpMapFjwKNGVe4qjImteYKTYFTc8Sk/Z61to5Ya4j82LZB
PuRh7RxVS4r2VloOPomFhEV/xCYR8l75UWA71wEEQCrcSUGiUJco+QeDzCycd3rmZYRz+MpUEsdk
FY16BrKgv7dL094SNik//LcdfiiZFLaHf94Od8X0N17x5We+7YaK8cXUMYvjw/4mRfq2GyrksTmE
tYG4+x3++8duaKFSYvO0TAZ+msM29eduaHxh6Mhg47dk13+9Gy5nie93Q/hKjra8BpVXARXn04mL
nKmKCb/VUXyY0aYkFN0by1y350swWTNa0NiJgtlc6xDhI4qHIRWASjpVwfOmTgX9xCnW4BjYcT2d
0/NmQLeye2E0DPJHRgxQOLJI80HSYYEiLieLWwTnQTKonhQ4ZfE0N2avX1h97zSFZ8HYJI3QMMgA
cxVa6e2zNXfNPONlDKwWjejYgGQAhxI1ftJWzjGq5QhxSgNjVwj9ti6JZGCkg+O2BDmsp0nuKbUY
DtDZpw1uInqaWdpfKWYqXuTCMCos3VH4Qk7xuMlaOT+LzbRcQ5ELTolk6BvsvRGuFwV6kQ1h5VKx
VMJT+1Ic08ISJ2J4OmRH1Xsp8EShiFWbZxCYKAA6BLNuhOx6FxlJd6OKGoFtVBiv9pw5/hBl4gya
7yrAielnkq5d2bNMtuNiLcp6edQZUbDHGV2HX8WUOYjhfN+kIAw3eqVU5IC2WL5XGm4ovqZuWwcy
fkOlguDnOJH6pM3VfBHNc1KAQu7Vl1RvjUNft+FuYkN60IxWQx+gIn+nc+bNdt6f9336ykda7GrH
VK6VNpYzN4HceNQF3gDUKNGJMWvohZMRn4y4bX0H5uw6mR37NDNjQuJUJJiVcqoXttZXdLXZGRbQ
9q7Py37TAtsALhCrqMaUDK9P1KabyQlw7o61eamkKHfj2mgvtFirPKSu5QG1PEFMbbpHdD5DdJPs
TW1M47vQo2xrV3m4H8tY57UllnSMA1MGsdhCKiwnrDcMf9DITHbhVyF2HB1v/WpENjcyg3GCfdZI
5h3m1XvYAuqZKsHy4eUHxHnB4YNRgiq/aeTzaY6g0tki2YUxQ64Sx/oRDd10FTW28IZW1Osp7sd1
OMzBpq3bNvT+21l/21nZiv55Z932OQzmr91fz5qLRvLb7qoi55RNGeA6WywiIjbeb7urqn/hlAlB
ypA1XYHK/sdZE6rokn9tLM2J37Mwv501P9IzFVVHG2r+bhb9NzGZn/ZW3WZfdZZIAwjvYEI+lZJd
D0fXKg1xgeAoTCBUQw/6VRvkg1r65wbOu4A2gh3N4ZmAAIL3++NxFlyTliRpW11oArZniwaxheYX
aWqhXZB+UnOyKs0xvZzL2CS6KIqsB85eanppy8bkRsR8qHvVrNx2LHc1w9c4yNamFiNsUnBJzZo7
TdlFYEheVkq7qXUABJfXnQzYcIqIQKqtqzFut8FU56uIwWMRM7c29HovVeJcstOXbEqfJRDefVXt
QBk/AJzA4xBH52HXrm2VnJmopcAcm3cMH36FcsjLOAv6ca33rgRXkPmS2NYDwvveSm4te1trrcvb
ewhNeSc7KNY0pdrXY/GWtU4EnYDgqyl/C9BwMvismBHLDKnqttlUWX8WkI7p2cXiUBcqx15Lflkk
fpqOSFXRi5tBCfeBqt42I+cmNe7u05w+WTSJ19bU95PeFJs6qY5FNArEepbmGXFguEHZXDcxNCxL
J886nLRjHsJO6VrtMhNOSPXQP0iJtpkFbCUqI4DfaveeWCTf2bFarizwQkWpHyzR6OuKSM5VltZE
/cmINDBUhe6Y9OS8VCqb5UB4oF7N90peYinFTVr20pUhJJgPanYjcrLKIF49SnWjr1RR7RylS05Z
JxQXLseeDZhQcqVGN2eHPIFeaXJtnB7DTC5UVx9rbCtZcR/M4PGD2saFFyr7xu4brxssH0nkK7NM
2i5Tc+gt/dVu4UrZSfxu53gKQs4NqAScG6Ar73osXFSob+zpAi8cg2uVQG9ltN0yzC8GtX1RkkR2
m0XpBoZ2h1oGm+TQbWJ7IbZo0CX1thNrwEcI44r+gs36dgh7WOIZGTha1CyG3utw7GqvpHXuFgE8
CZ0pN2Ef63k59zp2cq1qgwujAZ+IM9ynMjaGeDLfk8R5MnjkwFiFh6mNaYBmLEqPnFIaN0ziymVf
uQ2n+rrQjYpcbzTRmWV5URkJbtbxaUgIPK1E3a9tGGVodObH1Axgo1IZDUnxpiukew6NfJuGGeYN
gmNHyY5hTXSY+qT3TrIfQdEDGUgjl54cMoIxgH4BGM0s1XWnTemu+qBqCr1Bz1jxaTjgeesbIxTI
VExUHJWTpbeprDk7YybwyNTETV2rnO6rtxziTpxW2Sorq69KV+PVxbm37jsshqnoDn0TJ/e63nmZ
GRC+aN4taa3+FE3JWU5kfCxJV02fOEsNh6rYC/Km9AYEDZI1ll7jVKXbZgiN8bkRtlhBLNV4KBo5
VS59KWjvFWtzpUW050vrIbKNNyLsajBoKHP1WSFnsCLKYTrQKHim23UQHTQ6o38Mex0e+qxdNYWy
TirlqlS0nVCkK6jsnimFd2qKTNk2sLvLJH+GF7D5LqY8Os5ttyEj0yW8+isOFsSSVuKlSNvXwMbd
tIbH3jbkfmN9bKrhZFnluqlThEnwdrCOC6zzaGYSW8LAKp1PXXOXx8T1Bmr71hJJrtbjvdS+GT13
4mBaG00n5cANCoFYygkE7YGknyRpLQ+TdWeFw+jXdaO6STiqrmFXXXVKNe0hL3XpepzJ9R6KUHaz
hH1rlZZ6NXFInjW/I0DItTMqXlvL71LEa00nHoTI7tpaeoSso13KvTFf8MCrN01WP9eqsosa7esY
2Of1TIc/4ygH5x4ZOBp8L64HmpNJRq7jnDs3em5PxzCPruMwfMGCLbkiRZfc4J6hjO+AqRaYb/Uu
eixUvkUR3TCASzxHk/b90D70SjnjvdTyTbAAcglkRUUS8+xxnZQ9oJcy4nr7aj6XOlu6MRN8rNPk
iHXYkIfOKm/vSdeEgdZZ+ZbVbHt11nm6OaBhVTrhY9cjRTgvJ18URHsOWUUWaIeNGV+isRWZo2zp
ElwYaXfV6tHi2PGTYSn9peA1LrEHzKZyQxPjoVHG69BozB3w6ody8Rgg8wl+EWa3VEWfHrowg0k+
N6mbLGNpf33fRjezvgILXvcXpS3w6J0n9o3JqzbowyDB+O7cc/Hbb/0eRPtpmsIDnh6aqWjoTGmp
KZ9bsW1bjp0qWnFhB+sgvathJUq/mLT+6hLL3383FRBZnWWiz8RFxcKcAIFFgAGr6/+H9+HQwrM4
W1FafLpIG6XpmBRCXGjNTU2bViKrfvfzS/z1a+Gj+u4SnwZqHbbWEKeHuCCQNod1mHdrTiGF9ZxM
v7jSpznKb1/Kd1daXsl3n1gWDUZudryZmgGBUuDfV/d9jptsPeT7mY79z9/Y8sJ/vN8UGzS+oWsU
6Q7i+x8v14UJho1OEfSWHpRFjmXehNFhyv/r4vwW4rSMIP+51rguoVg+/7XSWH7qj0oD6ixlAa1j
Whhw1ljxf1QapB7QpsFAAXhm0SD/UWloNq1wFeafjgBaM0DF/tnHscmLwthFX8hU+W7/XVebKIPP
dwglAA13ujiWrUG7+VQGpAVLN8U9fa5qGDfx2GPw0TSzf23AEw06UH85D9KtFBBvlCjOXdCRihg0
5BQbhvXS5dm1lQtnhd3N67tOXjHAfcFBsmuH+iyVEuwlBkniPFI84gI6ZrrKE2fZ0G/Zmg55Xe/g
AWCLiM9Bn+zyyDm26bRSGkJm+wAJ4zDNnHJbe1vEyXoWkmdpndcJk1pdmi9Ssw8Wz8CVqnWPDhJO
10iLyymVFMwA0o0UxQ2YAQjkdYyZGZ8GdUQWT08iXDZcI7lqG7rWDWdXJTcOhNlCzp0Lf8KlfJQr
fQGcIQdX9MNsVEBr+4PdBl8rRxxi1XyCwpNecvDl+FoER/SgqKtV6RHU5po8EeUZlC32VpD4c9vc
0Wr/GhLvvBKVVgPVyW5HS/oKKpw3kjnwIOzjlIXQ73kPgZwegaw/twn2iSFI47WYcA5Ham34hRGA
s8VK29j57VQF54hwn9hRIGNZ6tlo136nczp18rxAZQwCDRheHRjnqYqS2xDzthcKoqAZ15jpbOi3
sfVEvtzZg9vayWUBVcAdCgze7XwmWhtFYVA9xBEx5YNaJ7DweZC0k0VMUvdgzOIgzJrsqzZ/L+3m
SIpHeBal0HMhrSAuJPan7RHQduq2DaDPtXV4o2bNTq6i2AVh4eyF2Vdr1Yy+FqF1HQaT36diXOdl
vp9KFbOQJr2NenWYTRiQSXfPn22LEh29Ptj2ulSxqkVJRy5okp05Y35jngEo4vhu5Z7JlMiLtCDy
rL59z5V6m1iNbw51BCGlCTf8jzD66nVVYqaR02FACdxeMwLxEyN91CfFxxVOEWUbhw8mSVciLC6K
/LJPoglXdLrRO8QduKrXU4SBCJ+B7aZzc+R0jW0iX4SMk+arYXlIaQdmxHmRKd9c6qnYJxEizKih
N+fw2evBoQPzvOKYb02vZFE09zBHNC8KndxemWVhXakVPQlAfVCVLuXKqa8QeueZr4AL6zR5kwKT
RCIfvKfh+BYYBH9EZcbQg2xmqxjvWrN56dK+XlVleWmFmOqi9FIBxWzbOfQjE13baCEJtgYvzmRC
L9C5ovDXeXMVYF6LMmtMtqh5SUkPdIh6mTUTeg9JqIpzryvHjWZOz6OpejUFjh0gbXemW75o1KYJ
tX8snRV15EeptCtwUZpA7sIkw4EWbBPsoalNsO9oQw/QZ3BG3b1SN/B+kLKr9AWG3IapGyNUj+sU
ko0KTd/yhWOu8irnC7nrmsSfxn7T2+R75/0ulojCoMeKZ6jljO485LQ5Vm0TnQ1Lk5OGI5SS3OxX
c0piVC2ftM55bYXOIsAbNQKVSHXQCtV0RAm+E40Gxx3e1EEVgu92IdX0275tXvtmOIdt7LWJfiPH
IQf6qWG8Y5l0Uoq1nrIKZZiX9ag4GyWVr40+eMPixd055LvOCW23xYcFWXJ0pZoQNg0AhDwPh6iC
RhEb9sqOBzfS+6OwigNYFcp04on00MZe0dPWtreAo/HvyL5j9RexOdzLarVb4typJa11mmTsf2Mh
4cEorzR8O248N+e6TP8lTLYZG2AVD6fAnDlUlSvMogtGak/fZ2XWxlL1Tt48qxvTbNaapOzKsh0Y
0xUzu7AG4KA7yMW8hHdQXwITriv5BSEj5kC1f9JiGygS5uQdpt0LwPmrKgwvldk+c2zwl/MsxSBd
BcMucihI3nWxISZrMBzOTgsNgt2i8ULLpE1KrDxZ1++aOm8KNPKt2a3bxqbdG9eFK6SOiqu66Cz7
dozxYuaGQUhKblCSJmr2kGrBhFN3eE/a/hCN8l3WF6RAlGeR0w4rKllwSaqnxs27EeIo65XqFI2I
FpL5NlVUjDtDescOvG6hVjVSgOdYdh4ls7kf6/Eg8ohWep9bEKNtt1OigwqjNRqNc0LdDzrddzfQ
px3xtDTSlaCe9K1JQ/puyCQBVFoqlI00k2Rvj/Y6k+OdaqQJbYF8ZooSfYWvSKrAUI54/JRnZ57P
lQbXL8cFuugYAcaGnn2g1e9WN6Su06H+iS22y2ks6DTE92WiXpS5eqWnhSCcS8d6074atup1GPss
aTpvzXE3q+xfDbbIVWEUt+Mk3YEoITuL7pYoNI+OGkKeSZwPqTm72Lyu54IgnKxP+sumA3VmwDff
6oUMyiYYSAjKFW2IfqE7Un88wDJ0t5AiM6U2QRwzblrOSN+fl9uaJunkaM65cp2vHozNcAFncoUf
9Pnmqj2W+3hdut02PjN8XNPbchPtjXCbHCP/41z3n2pD4Tz4zwfcXV69NfFz9tcj7vJz3464Ch3z
JWoFsumHOIOh47cjrmJ+UWSA1lS7PEd+YC3QgYelINPd5gd/TDdVv5gwrW1SvWiDI+v6V6wFbAc/
HHFxpZG1gLEfoJiKr5IUsR/vISuqm2KU6uk4alWlLJuxbR0riwysdxmjv0EvsZM72lcaDLZ5i/k9
FQX94IQS3dTTq2BBvtuAU7eNMljTQuZ/DWUwLqUTPBO4dZ0GaX4xpYQu1bOpbjRDCWnoytyfpvke
VTYtJVy7lHsEYwK80tZWGzfrzhTWCqaQcTZDJ9lJRdbRz4YMNrkj3iM3ScLmVMkKkDqAP9Dq0gMw
0sJrKzFtGoN2bVfjJcsIs3LJzoK/ByvypA/TPjXiM7vsggMO65TTgQNHBV0KjxTVJNozBWA9OlaE
VYw+U00T01VSq+LpTcuntjFUybr0mNGeqMyx2FtRf6OYuImDHCoO9J3KDdnyT01ivoqCTlZdWopf
Gsn7nCRPIHYA4eqDkuM5s4KzSk+mW8hSgVc3EZpBDTFClLx14aw+0tfFRAkHcjOYWe1ZbQbBF+FB
zcstnANEYGVtClna69UonxlACPyYXK1V2DChayzr0gaacE2rfyei6UaqjAIeQsGT3OacY4IIIwus
cG2KL3ZFxhQ8nRd4k0DeQo1wpkQc/aypiQzMWSF4Q1lLD10wKZ1P7OZEH3huGrM5j/juBhJh4+OE
UQ+YYqgE4PkSfpPj2g6Pocp2ahiPiC6MXdVN6o2El5pNfUjnfTMUznkMObhelbMNhsjhQwjOHYhE
EIFS531QnPRMBc6ItWy+1gcaUf+NAn8vz1nK/7x7Xcdvzd9yYvipb3uXKhMiSI/MoTznQOKwrX3b
u9CjgX1FbYZBRVc/4pf/FJ1ZBMlQMBu4xQHG8Au/E505CgqxxXOtftT7/2IQCI/m095F6a8u3QO2
MIAxKC5+3LuAeuaRWsbyOWKQmITSeUF7PZXhV9mBDh/Eq8YszmIbwHEsHPVMVPx5o1rnJvlbfV1t
YENcZX3/1LazK0/S6Ldp9FA0hl+TSQJenSMtPf7WekQPB5ViQSVaLALDgujacgxUw/62GosbpFz1
qneY7Ne10hG4Wz0GCZEihnowSOulvnqeIzpayfyg6rCg87HbR5yDEb9blEXxtu0Z9CXF/MCJd0sI
HxAoUuFHK3pM8uKWhXHmJPUDzxnY4Yb6Lonivm76O/AJ8Dx62u+OtJmt+YL2ugXvo/IrJ+ld4QBv
jDsyAwKmW1YgCAagFJYmexWyEVi1tGla9FtTbt/VQgX52E3o2foUYGWgHxLA7GjZpS2h6wy28Iht
e+JASx0jDoGvojKvRNVfUX03t5kxPWcV00SzhooeyfcyLQNbBvVWyeMxTCtjJUKANEZSbDvUH6Sw
9Qddb3ems5yvA2M/KV/bongKg/52spkdTOBsVrMtwMdgcc5q7ZhZcOcsElocQ7k1Z6LihMwBWyLX
tWsRf01iMMngmbZJO/lYZdfVEBN9y2cWhpnuCU72GK7TpBuaUzdyKl0HyAL9jrS78dCV5FzPeiV3
u9K2w3VnccRX1C6hrC/lBipGrFPNEp/WOc/ZUAsOy4baeWYqj/lq1IgEd3O1xAifUd2HUV27le4c
874ms6XUXouoqRmGEVDCUDRiNwRhhlvXE3P7Ct9Fp99fvy/RSLhHUMQVNDstZYIUZABfmKvpAKH5
JEWkdXdqxe+AVFZK0UM26o+FPVLcjcM1+S0gy6Qq9vTa+Aq0712dxjeUPtNqsLK70NS5FTTtiIES
IWKrHppCitELdtpaN4aLUdUwSDvpVo+aRzs1uo0Gg3NtBPYjXG7mcrqJdtISX2ngiFWRQUud8g54
Z9wCQE2c8JiF0il8zAavCMN9MSZf9ZG0l5z7pQhpPs0Hsyj8pKwuBy2J1lE63lY6g1OzDP0swmBM
1iF1hHkfkNYM4y9Y2ViH4T5eMj53UQm2dF0ekRe1JCxIJXMza449fhVtOCv1JLBsgCOzlSRFSIUa
ILAkVAA7iwABkmG9S4m5pFlymhvyxYvq3XT0xs14psibekqb1/9Oxb9JTOiC/vNz5fDW/I2UWeFn
vj1VFIsTrElQnGkBUMTJ8t1TRf5ClKzCgZSiRgNE9mfTF4Xeh+YD9wuDG2tpFX97quiI94CRy+ST
UQ+BH/s3UuYPn9OfUwGKKofxk4LABKAZXPHPPgFLqUJZiWY4B+Rer1IiGegtwWXyrFp3fGuwn9sg
FJu6IktdmeZEl/Z5a/dQbK1YTR5jFdrteRSUfb1Du1rlTDETIa+JiOiti4pJurjAhnCqtDS+AU8J
ZT/SZgvO/9xyZIuSJy0z0AkWUwgPJkASGDJuA1FULCpCVZ+jTfchiKoX+MVOD6ScxAels7L2EWxY
wsR1JE4A0qXWm23cblTC1JQ94WhzeR3OHO0QgQQJ03BCRH1HC1E6WyA1x6EzvaYUiS+lU70WdaD4
FLfKWoz17Mup2dzNpCwp4Hgmc15rbU8PalKdeVxnPaxNaoZAQoerVxJo4Go2j/3URqVXqaV5HdMo
IavEqnhAIxX3lSpKu2vMP+Sa8GjNzkfanKpfW/z3FLblwyx0h5KfzIekoT4vrR0ccE1e/7dEf1ui
rKmfLNG4CNu/qVr5oT/WqPNlmcuwFhUTuPWnNcqZTzYZ3JgIZb+by5hf8EdzuENKiz96WYd/LNFF
X8uqtVSqYJoWLOx/cfD7QM/8uEQpjkklcChOTMZDbC7f9z2UQOvIrLWMUzRLWnML/z7LIW1OueJF
kdQTuYRIPj62dqo9VOi0MAWI7FKWNNcBrp0DBR672O0sOeBxa5ttvcvLBleSNRBn0xstC6ptg73Q
MhGhryjn9LKE8E8H6orok6dRAI/jZHyazKL29CUWgHQ3EO119AJUwmTeQ3gAtX20mmTJHckVQFCV
cj5IJ0+QORApwQOSUFIISjkBsJx9pBOkWQmObIksGIwGYLkX8VtNtyQRrzjq0kSCPAE7MYgzkmky
sZY7AqmDYqheIOk8hUNiup2ZB65SFZt2RCdU5sm2TqQtDcFuNTbFi6zRDs7AOIGcyW/jUHpVj6Tg
HUudeB78hYiUZuQeWXCj1PZlDs7EmQY/mS+VzrwVQ3vPgXmtg8J2fqPL/NdBWtyJ/7wQz57Tt79Z
h/zMt3WoLgNScjV1xabOkbXvKzDtC+uSBUUeukyrhb/6swIj5lOVKY74S4ag/MJvz0r7C+GSdH2w
kbJyltyOf7EQGcd+rsCWPYAqzyZrVyYB9tMInb4Ju3JdMEIbsvAghXkdXI9jWuAbV+PUF7oOIski
FQkSh0fkTLbTG4RrC5JumwZo7fJJZcAvZLowSWbLm7GfEhCFBvpDgNK2gRBRJDHHdvCKkpMYR2s5
+I+ZvDHzkGYHwQnObL8ZCUScYSK9Iwj0GbMKmYTFKA5JkW0km6Esj+b+qhta2g6j+ZSNTrFqkwiI
IwDnTC63M4IroYZXtVL0nmxOs9eqqMOKvNl2s3JyWueNMI/LWLPPodTt0K9cxxDbpLJ9kEK7OhRB
eagjAtsjPd4B4XzIutC1peg6V43bMLbHFc03qHCpVl0rbfiICHun2dU6kYNHuPPPQLIU2MM1tIJu
EGS0x7xm3VrO64PbNLCfrdI51BqSu7RRMfdkpxrWMnDr8Fjn+nMTdecdYVrdgjxxyCmdS0ERFVT7
3EotNy+7reHYnoywggodr89ckIwGrNmqNMXTrGk/B9KD3USXk9ADlxncrg8LwMdWO7MLsA3aSyaA
EoDHEeUW4f1jygkFeTkkL62ZN+GUkZteRa9tDjRpqhTDK5TJJ3huj61Y83NbPRUV9Y/oMtgHTXNX
BZG+1pr33pzkrZmazprGEc04w/Q4N75LY0sZ7DjnddbXK4iARIdb9Y3NiONMcrItYXGXGXnnztAM
tNQoVbvKco2wgKUlh9PTVMx7O9S/WojyF2qhQ0jc/Khz9icU5WmU58saSRUNpUdRwclvuujdynUI
PyIlxKlNTrk1bdN2pGWgK5i6e/E22kzoAFDSm6rCTaL2r1PUYBcwtI01pK8Tx8oSmDpofTU225cB
8ckZtgt6ZfliG+oQGmeeWMxEvH8CQqbFYRQYMW6jAdsccAvbIiokZzfwaPcjH6wDfjhdPvEZh9Mq
DshxLrp440jQ4gkOhQrJYyTaToN8PrMYLic7sfxUssVlhXZwxaNqr2mJxmiMYNB6qXHjSjpPwlBb
WaNcrjXutlVj1BDIUmWS17oWjzu0lMYKjGG8t+1x5sxriDVc+w5xMtEf8jBs4Cq+2nJ4jj4BKZiq
HLW+LqAyOZcYAUOvzZJTbTKrU5V73CvTdaNI6WOhJJDVazKhNLp4StBUa7vjhmxMLQUhDrOD0dCK
ykxDfMyatZnr+rkKD9YqSKVXBDC6XNfXYwjYg0HNMVUJeXBQgfa0T4E+Io9k6v3S9JKvEP2yIk91
V5i9xtDR3ks0rPZKmNmALhNlIbw3Typn+hXBO2LdhwOzyeVBWUQW+P+8qTbA7UiO6WaYWor6kOR5
sHFa/l/RCNsvZmCkaQqVrcwRGLRSInNerktIn8v3G5gw5Rhe1wyxMyFO8TLVFnO/TxhzR4J3LUu4
jxmAKwzC42UiXn7MxhmSL+Yld1zm5prd8w0xiaoYqZNYNG1yhuyREcOsTMgCIT/lYC+TeFpbfsxo
Hmq83zOqn5eZfZY1yMfJuS8Y57fLXH/q88glccEPqmprMvoPFw2AwcPDq6SMBYs+QAXPmt/kH6qB
aLj4P/bOZDluZNuyv/Ks5rjm6AGzqjKrQPQNgz1FTWCUSKJz9D2+vhao1E2KqStVmr1BDXKSKSWT
BCMCcD9+zt5rZ7OOIDcINktnbUFAWiHOmwdKn3WP+KD1nZdhViOAGt03sz4hUIeNTfzHP6X6t1L9
lyKqY17/1//Jghf58rOC/Z2Saj5UUyGwn8KFpCTmS99btTjiXHxyNEtxdGCYeHeoNv6FmQK5JVIp
tvC5Gvh3oaC9nbdJ/zKJaCJD9W+lp1JwvFPazeUGPuS5frFtwIG2mL/+TtgXO4iU+syNL9p0NZk2
QMCNUT68K51+ouhECvqTqzDGwrFCS5qnmffg/VVKUps5OpvxRZPHkVzmjsjChYv/1vN1LVnFel1h
YtLUox04mdcSV+nJyT907KPXqG6uZER+ohlGx14IigBVMT3VaZF7qxH4owATvpbu2i48RZ27LVr1
KKb+qh61Uznlh6HSz7QK9iJGopV29CNjUbpre5Qowlr4gZHmPqsDQncrAdsZN4jH8I6+0nxE+5NZ
uIUrbKdk7vH9yJ/IjSHty9r3ygSgpx/sZaPUOKtdMGVka+bQmJuM4Zxm3PugVDe2NPXPWkrYmILc
cROJJASWSS9YriDKJhD4VLTDDqlYELYJt9mBJW4YsekQSsd65JklnwcXrhOGi0YvdOd+0koL14gm
N5UyWeZGzXt01l6hgpQvvdZMm9FfCEJxz06pKSd+PiKEtwYz4vNcyTYOy8YSEVpFZhD9k8p2oi3K
mWTfYk1zLrlerX9GymLXB23MuxwPnH5NArQ5XIYqtuwyGN2DW1n2HoNC8Mgo1Xjo7JB2jByZBTVZ
a+wcDIkVPONZveWEHeWJ6Gv3Ls/J1bZoRqwU4JJLrRhCgLuA/MoAGFunmR2wzNZeNbznR7Jq6qea
inEYSTMYBwcZTRntFJwCKxpYHOxAc1/jNtnHYpQrN1fda+x66oIVmciM0cXiWaTYKBNj2eUQJcro
AfFQd+Sj65ZWGU2rquFEWNNxonQdor1FTOzKZu/bACdUvcz1jYsauizU2LLeWHq37Q1EOuGg1Veg
TNWVo6SnKJMnwnOARlXRlZGbOydsIUlZcptH5KsGuris3f6mUe3uDrW884pFhyI3WVr9YL3mUUsr
tl4mfqneCoU0equBtp0nK1dJkRkhyxrYgmureK7r5gVO08sYj/ecH5eV3u0RkK1ZQOjRThtjEKfR
6egVN1v6cccJB0pQdV+E2VKLKmvZq9R1qPDa8SvebDLhv/qiVZe9JfXNYBMjmZjdo2lFX+RkGSur
Tuo9ZUiwUPrpqKUaOhftZBXtsm+Tx4KPr250NifHXvmdtSYedNuK6XHw61WQkt9bipIJR4CJp87E
LjZxlKsju5ptX/Iar82Wme0QTQFFJ7xvoxPRKTQQ18CRv2pkVp8gXB4CbeBmJkxLlgMsLN/mLkvH
g8tDJEBwaiBuBxK/nEI/GkP+gDzFS0z7ptWCq6wsjvhp0QC6x7TtrkKXkldDuccMaBUEw0IbmagA
iITXWeW5F1TiIlGSz3mifi6SdB/VySGXIPFb9Wrq1aUkrCiHSWwasVfKcjxMtr2FI0ZBRPRWCUq1
dc2lW1FeIclZjGiFnHwaYd1m2Z7wuOd0JEJeCTO5HAPyVM1BTzalW2x82IfX06iU61+vvD8REcDU
QUjt4P5jXsi/f1x5w1ElFdiSJJGUibbqpDtixxiTZUqs27FJSZy3O5K08jBFVDG9qEVZX5VlIm6d
yZGLfBiu2yo+isFfJq79IIZmU4bWa5bEwbIo8B4RXUzS9AgWZeKeln5EYpNZe9DtCXErcT3bTrMl
7uYLEYCtF8X1vYawYYUHgqRZgdhMoogqvXrYqQUTsgYupxpXG43MW6nlmzq1n0eZ3mCF27dEQU21
3Jct5v4iR+upuZumH0k3GaOtNoSmV5PUa/nEpIRGvAnY/Za1qK+NsVW9IrT2InR5rmmsYotTscdU
wx14eWPhWpxjtFE7G9GUeaVlIWWIklNXTBdhHe+S3tyYeHaQGZY7P0vg+jpEbqHwW2OPXZlBcZQB
qVt2pp0j2R9km27Z13DHFaTY5WO9zuPqjLLtGsMDtXTWyaXFgAcNFsLjqrqMdERq6cTJt6riO2M0
UBIM0ZNLtF7UcTMN3KAOJ7kkKefUMZq0MIgNlRHkuEx1gnpdY9uzDul1/py79lGUgvmUqzz7MIcX
hVYuqCiHRSJTdacU81rWHCPb+qQJuRaCWRa5SI9jqqkeA7oE73tw1idTXYIHmUMlY2dLcFl7n+s6
EuKorE6SaM3fOAxoQX4sRCzsS0i5ybGDhfehRIinqsfrnhIARgCAHu8roMO/fhgomd5d4Q1fbqo0
RBhvzN3QefDxvgjRLTQzjhsEF5JpmWKdozbaRsV11cfcCdKLrHLtxqtfX5Pezm+uOr/udwVWWyRN
YeiKchIjFERNo+vCH9gVPwUGtUdI/9FrHJMoCX3XtYSddgMcDpnB4RZalHtZNX3KFfsYNYbwcB8i
ye3VL05o2MtUxHeWk/ZLEJ4HWxqPlp8Me1Uig+duyvJVO9nZyikUwlIKvFF2No67drD1L3kWN2u6
MfoqiqKvknt1VQorXLICj8vGsYTXte4NmQcTJ9bkjiOYtksDDLZj88zpZsumdFtX1dqq+3qhmfFW
F6FCx4QKRfZMEsepFV5JCt2y6k0iHaPhWgsz5pFoQ0s9sBZkIh246V/LutcWdRHtKkPZ0t+4HSaM
eiLZmw1hSNVMDol8HV9+ExG21pq7ZIqRtBL0OvqMaaXAducnrLLioROkdURxShLKsMkqSOD+xB0s
QJIHqNDx2OcxwuRiip1lJf1TQaQBHJKtmqMTdILhhhENBRz6+7YhA1XXG+FNdrNhaosGqs2frKA8
VSK9KpkcYatHfqDuO5P8qM7Utzan5GWhqnfZGG4Hn/jCrmovCos9ksDVXVUZL04pWs+fsx1MYxMU
xtHuf8eNerNY/9l//+s9Phfi7+623qDE0IDYnOJjdhlcKOvyUN73G1D9W+vosPV4X5kQc9o+ZZ/7
34kef2w5fr/4LDyx0AwxqPvx4oyOnCwB6nIqluYiO2pesW7B1hyUB3stVuLurHjHh26Fr6F74h/y
YjyKxT5a+xezWPk3v82PB5tvv4yO9sREwccxyvygQBlFT7NGjcOLUFwCKlpE4qHqtr9+un9cs/56
DRq979/tqUpbJQxlyOb6ElRbd7z69c//6Wuwad7ajqFjifvwaaaDNdFNKtm8lcuSCXxlUnN+W6H+
afDraHL/c4OfTK7/WoNb/xrVX3+CtJm/+V2nn7M5H8Gbqvdtvv39AK/p6ESZlZOFNU++Z5/a906/
/S+A0qgl3T+/63unn4YAg4GZ1Y9wC2/g3zrA/3gPzkpjBKfwHd66/QJ1yY/3oMkS6MR+NZ2n5qF0
fOzEzW/2zfknvFtTTDhl/AxBZ0hzZ8vXhx1sKnyrGOhFn+tBIeJqbcpoUZvPOFnffQA/aRP8+Ep4
Qj9cZ34a3q1duULxWUWmejZREqnVsbeff32BN8vlr17JhxojUEvwV7Tzz9rA+dq4s93XXBkR5pBM
2K10jQ22eyzwSUSXTe4jrHqJw3UQXGr5VZPdBP0sXT1YZrBySIwKDDw1Nwjql4Ob/uatmDs/v3zP
ubHevxc6bpCmr+b3Ql/5E1rV4qGltiXm49yjnvN9Os7jq61wxuKP5FV6v36r3sZDH98qFTUzWBBB
JuVbWfPuw2A3Uxv8GOMZfgUgfhWE2jEx8KsxQDDKwoO9kbW72HH21VAvzLa/VmVvocBHHtoJZcI/
R5azVrSiI+R3DiDCvrSR6Sct1fe9L2r6zUqs3g16Gm/0xI0hGDq0eON4hXZ1V7TjQuvKtdqMy64Z
N+F07qxolQYQD5Gstta0qQb3MtUu/Sle++2n2pco/27rwDnpjaRyII+SHpNGAitGRc8mlWMkJTMx
b/OCPAQLW9KEBSwi+rJV26Mt0tUcQ1B+quN0MSo6eKXsoDbGVRyf4iHddJmW38F2WhQ6oRC5e9ug
zjVicxF3Q7Awo8BY0qNmOOCkxipP5GMD8z5NJzos5NEsk8D4Da/1A7LyLw++8eFxgVEEb22op7PY
6Ft/Nx2bB33j7KozuKgjgCSPMNKl65Fj5+2rfQq3cnhUdjSrN2JjnaJ1/Jsckvnh+XjHvF8mPpTX
Bi0zO51v2TzZkedGHFyFgXFdit8sR/Ot/6vrfFjwnCidZBhyHQgg8nZ4LgMvaj3GV5b/m4dgJu38
5VLvH4IP+zvcB1npbqSdQ92LL5Nh2Q4emqO+XjGzCs79717az1ZAdnm6gDNGx3Q/fKTg8gfbpho/
gxIk9vZLp1z++rGef8DH9+79BT68d2TQ2lkXaNqZ82ZLKEyvcPJOfvMB/e4iH1ZZd3CtaXS4iNsd
pnLfWLe4Tn/9On62Jb1/HR+Wx5G9uqrIpTnPWTKD7BfCuqaHjQHr22v5766OThHRNXX+2vzP+Sd/
zcl4jYKw+d8//rX+9vfgJZ85oz/8hQzaqBmvWpiT1y814TDfZ//z//n/+sU/yKW3YwG59Ok5xVQR
1U0VfW3YXl7errB7/l//45sGXeU9+8/l0enp+eVnGvT5u77XReqcVYq92lA1skepP/4cbCBPx7vC
aINbWSOyji/9WRfZjBpAkXISRyo0K9e/10XWv+xZ+cCtQZQDU4K/pYAw3sIl/rzZWSAdw7GhROE6
h8HgzL/E+z2UPKux1ho1OPtuSrefoO6mxmohye5mi3goyPIuBlSyE+ne9hzznaUIZfN2K8j/NuYg
8N41OTj2OGZseRiwzSwmN4aF1AmscMrVfJxdNHO0uJPKezGHjfuR665Qzn5V2wLSqANWuWVDVLtH
i6RylcRypMn4yoPws+XKpUJv9Z5Oh9hmNLeCtPc92ze7Jb92TvgShX+kIJJWtcdWEmJVzpHptU54
ek/q13po/Neur1+QJRJWjG5h5eQxphrS1/MkvCKKnpyS/l6Zsa3uHNSemzS8E7LbzTnEvZ1VuYUb
jujo8y8OSe/kKF6kCMwWVc9LbOc4+LpQLxXy4WMZnHLy4uM5OD6uTNinkXZpxvGlyPRhEUVyjhQk
cF7SfNmgHMSYXPdfST5H8Ku2EWF1jlxPoYmmSsS3HSn26KmI+RG4h2pd2kdITjc1mfdpql7VWV+t
Y2mkS8WdDqF092EzHIo8FJ5N2MfCaLpdoJIkFuTMYtE+5Yu8NUnCRvC8dEMx3dVJjk2WhEUgQHaM
/KHR9+hK47WbDM9KNxKb2IUqqdyCmXgaOxu9d5RVEehHq1R3peEUjGR9/2pUMqBJMJ7WY0CzwZUp
nBaFwPWszcKr3FI2+cwAimx6fOXnEXnlpg507E1FSO8+sIm2Low1QFI0p343kl+FJj4oAR/Zmb2g
bfi1cUPY4zZtbbCI6Upm9A6G1P8s7X5nBVVxAmxEUnYAYAaeI8Gg2bDEcLuKfLVZdZlV7zWtvKYv
jmUcCc0yHkxuyBYNnqgNfVtpY+oF7fSVvFB9UdQt3UvE44uYuG1YBbm9jWIN8vfonBBZuEtnsF6q
ogMY5KoXWQ8+QW+4lWl5D8ugi+S6CBjbqYp1k4X6585OiKyixbyoHVtum3oArxT0N8ro1zufprht
6NmiT5HzoROiPGo7bmPXxjOMaKU0pLGFavvoxtoXmsEbW8HJoQ31SUkpnwLFgZ/UZ8spLL+MrjHy
4dulvcxq17pCL9MYe3Vi5Ej/0qShP1RjutD7FzmGDwMmdKKsHPIa2xaGuj2sR73RL+0+feyzguwR
B5uoXzct3ZjxfmAcQeOYgTwZlIAvCY0nF2sk8DwHIdv2m14iPIxyNCEVkic1DKwDluNyUTohcXZm
djvl/rmyimM7uPWyzbPXqClvND3cZZpz6Bz8Yk18mKZwozFXCBXSOWM0PPkYBwtDMi1LK+Na5Fa3
VPm5a9zXB0dnKEavfAfsS1sxmnzs3WCL4/sgFPFqNfYa5MS8NFFv+um45yTzpM09MIwu5qIcmp7q
trP2pOyunSEY/NaL7aZ5yIKyy9dDWBgThLQqv9H7tr6n098zuNEIirVE3VVbzNDm5yDJzX1TFzK4
lIEMnF1TKsZnP7A0/xSbyMhSN2mWres/qAxuVuaACwKTmVz53C9bIyeVqY8RSfTcdyuzYCbCXfjY
Gi25v6mGwdjahvhFcLMhXuijIFu4uX/lYBweMggMgGUmD+napSSl6K7FsrlKi4jlKZEaupD4Najs
q8pCJKb05npE070Fvyc9ezYJuQ3jlu6+NEmD5yneOD46aZcswVJMl64RHdqEDKeiEE/wCAArZT08
1/Ra7VXpNY1fb0upRNxr/nlMhOaNDZhBBTANOZK9muyynD56rWdPdt6FnB3byiO75Rgl8RfN6VkN
hi+Dra2zciwwyxAlaxg8h7LD7qMkt2I4ZoxV02TrIDzKpg3N6I3SOedANaN1N8avlh4C1mmYN+jQ
vGS0UulnAbEDyonJBY1Q2t+kkz4QuszqV6VpsM7wdNNdBlMfaxEqcpTmo5Fu9E6oXtoTcK1Z5XUU
m+5SVvbRL8rLvBaRB0iWYTyKqzLULgxSa5dmoKzNqgKNZ2f3iZVjyi4vFMvPvFxYD7HTfY17K9z0
gzz0mK8XtKwPPog+syQdq4jOo4m9SGusfeH7qH/iYh0RQlnUzmcq32ijCw6JlpLj/EZJmME/9YjE
W2Qj4VxM7mw30dHqGC9W51brfmKx1Z3mEGO0XyCZs/gfhzWHxL3ROIQNRyFn4creQYxkfUarl3Qg
K5ToBg75U9mSRVvy36Bcd7lyn+h81AJ8d9XmDctNt07V4CV23a3JSTFX+KpfOK9NFz8XtXpItX8c
2X/Uk3Pq5H+uJ8+02oKXv1ah83f9u56EAk1Rj/aGXpv6RjD93mdDKIMJGwEJihiwQnPy7Pd6UkdC
Q/HpmORffisa/11P6oD0UaE7KHD1GWL0t6Tt6iySf3d4ooZE0UlRCsLaJaNefUMSvWuJgGAbox5l
+omdkSd+kgnCRda+gzKU4pDZNc+2Isb2sxGH+8gfH+mhEC9ix1/1jmEaS1Rvby0E8d2q1AmRFEVZ
gHyIgA3hscjvGdQzeMR3XhO3GLJsKHFkaQjIiI00mKy+wAj2ETBm5iwMQ1aZASfM8Htjzo7ictVI
BqK4qwz2jyp2rf04a1VcRCv1m3wliQqkLPGsahmq6lVh5gE4D8ULSM9uESKCIaBxZJiLLkbRY3ct
Z60MyBamVMhnZIuxGjlNbYrThLxG1Sdid10mncrRyOWO9MLdEPmTZ1qkN0+zRgf2RrvU4Ndhpyai
vVAuY1ICrwvfOTSzxsea1T4k27AI1LAANRgTq9HC2FcVSoxYoz0PTX1WEnimfWCwjRsQWPO8X4UB
fNyFtGiyeJE+Vq+J3twAgblBiQIbppNNdqmUyXTSjWSd4icNCiv8ROnq2Q2aI/LrT50hAbTkSEtr
WLVaYQckejp4RdulO+rpjWKZ/bpwkB3aRNUuOW5usnJWF0kL7DVMMn+yraWmZuG5C3qfSWJMMLlZ
r5tBya+tHq2vNWdgjiTJuiRjF5rqRZFyomLBNq5iGG8L464G7WLjKl0QaOysBXm6VI4pHkwaR1Nh
F4+m384Z5YpLcmJGUKtXk2+9efcoXn47Ev2CuAeuYJ67mhbQAhp9TPd+PCgxtusFUd7xhUbg7hpr
hfbEoM/x+jGhhfZ2rf/uA/XmJZ8DOOofD9D/X5+nWZP+8/p3egKH+9flb57ffV/+3gwFs2eaYdVf
iWtvyHqL1UedTT9/Ln/Ov1gxmSYYeG7+sCF8P07b/5pJzAYCQgbexFGrf8dQgDvgw/LHL0aQBEMA
zEcgMT72G7GV44FVxHTW0/C+1DnvSSbZc7Qv4+UpXTultVHZRM1RYYbt3sO2RJHcskalrnUbO8ZJ
z5sdVKMVnE5aoradIqOOEN/cydyFr6+Jq0DJql1DIYh3lRj7LxraVW2RqTOhhUhWaC3mG7hlRrjU
M8wlnbEuYga8kOx908/IF6cbz64JfJ8c0WURTgm1cH47wokBzHmncyRciBkhIyrOVzBlwsjZq4CN
R1gz1QRtbIbPBLG4LqDRUBbda10NnqahsvAh1nRFBZnZz17HGWYTQrXxDXTV2gy6MbXh3EC+KSWH
JfMNhgMVp5zxOI1A4eRCzQkE+BxOsuoa5pINDV6Bt9MPueKh4D6orX3WIfK0kHmm1vbwO9oo0IH2
qFp3qLriIZxpPoYN61nqV0ler4gjvU8iYO8VBKCm6tfdjARS/Z5aOX/VhMokOrp22/lErqfHIkh3
ajreJ9CFlLx7FRVHcqGMpA7rAJqmCHmyoiTNQpfJtqxZYPXQ8hS4ZktfY4BtMuU9a2MxehPiRa9r
CAUP895r5miVPEaTl2LYX5G7PLFBFapnCftrOOI61jEdNH4sFvWAsM7RqNj0bdtWZ1+Cu9CRHpBu
UJXFAsllm+L+hpC8MGW605vKq2vz1AxwQ/Rc07ww69aG8L8kgFATyVjKaDn4ZsNTYNF65mfOdDq0
WjO5OUQ+HurKk6hY50n4pbZM0B5hGwF94pxQ5XYrR9TtmtGQdZS9Dnw4q27CGuWf1qTIwLUA8aHt
xsupardhN0wQhKVBGW4vHboVG6Q8DUn0pXXRolO1FWNH8vY9+t2taLX7vmsAh4W1WDa1pjLq1uJj
kYFtCViOV6GJnxzWn7LAlW14WND9zaiq4qIYdO0KVjbn86TbuAbDiT7Yp0ntE3KjPTH1NjEcjNEZ
nkOP8d5Yj066bpu6R2MXSc/ssy9jTZ5zF33KAwJ0wC2tgpDPM5ajPDNSXETMNd4tar/fSd5GeIxT
GFXjKMQU/KHlVugDeTmKq55lepcYz6a5/K1O6CfdZZduI94rzAvA4Gltvu/qjUUw1NRFxjmpv7TJ
5VjcZu630co/e9Q8xfv1HlXk9dNft6n5+75vU3R99dm/NpfVtmHNe9H3Kp2uL7BW/dv2RUHx5y7F
MFygtrC/x7hwX/y5S1G1s6UhCzeAhtCl/d76/uN+o2v+i9y0+eP/0PRly6NON3Sk9dwhP94ecaUk
mj1p4TkVmDxOoUZY0aCK0NmZVZYFlzll+H5qS+uzFRo9mg0lw9nUD0r/WE12fQ8CMr9x3cgEFai3
fb7WM7t5qPVWpX9CE3ZlhTG+mki5B8qAKjuYDE9qWuJpg3XpEL7RBuq57eDVyvGJtOAnDfYgT9q1
VTvpisiOjSbTiAWUvqWaWKuhIypAqfaIjyAh1biGOAbUXiDGp6SsUEv12JjQstaojeDmjagyPWzy
a5l1RNJnNsnqLdHsQVURpQo3PbWujc68TiNLXSY64kmfSG6nCpZux76UlTeFrn0OnVhf5D57RZZR
tQbaNG2cyE09pN4IKA3zOrbsY+fUTGsBMVmZPEJEP7RhQrvM15ylUdsQiaoAR1QPR66YkuuuLO5K
YypOetXliymjWVHNxrSKPIEFoVV4mSS2sUZH7z1kgTzCqMWcW3zCoQ7EUxVkyYvqBejoiHNokCun
brdkkm4E03WVLlNh2zGNHNeD4z6AhNLWHOHxe8W8B1jiey/oHHMbZfzJ6AbocG5+n4XJM+2EKwfy
h1PIr2oS3lo5xNOmiY2jD5QUz9VVVMy5ZqYdevge/UUApSmYPbe5NK5Dy7o1KphMSMWegVoeJpTw
xeigRBYOnZvMthd0S+NFHgyHjEl5I3pMb3m2kZGCwNhoJzB78C7KDHRpjfATZsuajtPKKpqbzOSM
oMAqXYTCWRul3V20czObrFKG4ZWxaxIrvUexPiyrpL2aOvYyUw8vMlAwi1IR9OXH9q4a4y9+1yPx
Cqt2AZFnbVfOAxjeT7bP2ZKCRKYcLIb51xDdNZSZdelPZwmhlSb+2vUvuVnzC6Nrj9JNLqfR+hxZ
9E8zqOrraohowtLm47w6HhqL204142Ou5Wx+Fb+44jwoNpMEYisiT40H31OqmbqfXJhFetbd6kCY
x2VX08ttZkNgYBtrRS8/Ey0GLlO7SxsOYlZu74vOOnPC1tn/KU1cVMldSfHo17c4575YynCqrPZF
89PburFBNFrHuEvUnQht7NXSrT0z53Pw4/RZqj2P2BRgNx8kBqrMOvPirUXTh5/KCgerKtKz5quX
KPHWsGG/KIrvObkrFpzFsATCtJzZ2rSmKDvTJnsILdRXbJsaB/xMHhR46J4ZQvf38f96dpo+9Ugy
Vs0or9Ta/ySVfPR0VJXIO42t60xHmTWnVk3oRhuPvZU+UU3u4SB5Tq9dxWBhpO/uwqI511JsDN3Y
6gUENNgqp5bafpEZTrbmMLY0tDnkScWPaoZ7t230Q6RW2RUzXL/eD506a86zDvCnPhGLVGICiJ2H
Ns3QRuSpSusTAfa6lKLZ0LJHZJzlYCAGQ7scRmOP1Ey9CHmwPD5zE4w4lYnZMe+m1zw8TGUWXBMc
Jw8xsodNw1uw6qUit6B/AWXiPdERYPiBWHRWE24bRVfiBaJPdBeFgBoZo1P55yj5ZjybYda/2KbR
cH/9yR7NN73bo2dKissWbQpwLnzp33s0YUAmuGybFtYfJIg/OmnEBFFYIbw2aabREmD7/mOP5ivs
0WjTCTcW2An+3klytr//uEUbuGTpz6hA8RkPv5nF3vfR8pLGbRiHl2Ubm8TbJD2NXdM+q1oUsqAE
ykwrgbLQQwgiYEG4jBptw1+OaG6h/IpUbW56Sw3c196pt5WS6f4Tbo0Y6DNcP+UA/gJEhBrGI4QW
tLDBJTzRKOXuN8JZWdZqA7LUyZxk5BGh42PfYBZH6Ew3WoyBeKrAvdKQaW2CaKuoDLc2ExJiymJz
RgrjgtqWQeXGWNBrRMllL6tzwBAH0Jg+9vYqgK7FuMuxGNM1rfJiUnp/q7P/qVA1mq6/uvWzn2g1
5+/5951P00PXbGQfGo2PN9DJ9zufwhUaqzmr2SxEl7Nc4XsPmWDCufHMM4FigF4KipU/y9OZEeq4
SBL+vlYT/sPHex8+KMx8phcc7jGKz19/d+/XE6fc1myti0DPpiPBc6LAw+uEpbFUBjLVpsXktwyW
FDrCcuk0vp2fRpEyPaPFSx+2MYU8OW0k0gbGHdcI5hajYqzAOxuxuwpws2XEvPSmHBZ9E7fBQ98y
S11OIiDyCdq64ha72qiIYnE70xrQMNrMl0IlD9a2WSleO2QPnPMxpzA8buYCs667ZlF2WEqYfaaL
NlBqFHfiNs60U5VZuBhTzG6juOY0ymxUJZAq9wum9ekhK/2j2g/3IxJ/rJMUV0WRbtpiR0HiA3TG
CR5ZceQlNtGAcrAZWToc+lt/wiYzkK1qu5eqgBIoccUrbQ3qDBP6AsV0wckS7WE2PmtDMyyjtvvU
DCZn+0CCDxXmkvbTJdzncd1bHQ4Z+rog9cvG0+1pWCYNicoYMgjZMysCHIW2wiI3LjF6ofpwumfF
GA6M/2jEVH7lpb76PAykAEGgWWMe3UYmSUAAPI+xQ0zrjEzARwpPquyPdZu0Xhd1Gp1q/UahGCvt
lgTtxPdSwloZIPvFzoA2vxiM/CLW8uuy7D3fLg4RzauQyBAA+ABVbYL2WvnFGAsq57BbNjo7q0wg
0pCaCvdzb/jpqiocxmE+XSs60rTNZZ6sHdr+FFjkLimUb4mssG9hZ1SD4KGl3PeS3GUEN+oRWLYA
kiFOJgPKtlo2+67tgOqJ6iHIscFPiXkYR/WmCYYV0YYdNkQYU1l8HWTdMTL1ZWJH7cKypohx74gy
kt7Ftkr80BNIM4WZ2yun1F9yqdZblYMnvbv8wlShoYak6mR6ckdP+j6NS0IPyrMSFoVHrQ42UbK2
OjJGAJLe97YDuI8hotAfRdHmS5vio+vlzZCYO0bZzCv8EC+9g/trrGOEDEILD1jTQGe4k9iGff+Q
sR8uY615GPz+XjXqW6OmkRRU0yYL3XNcm6QGOQvDbJjYIuxFfNJ7rZ1Alk1UvMoMRPWmvfFjWol5
rLa4doNdUBsBAcHw6yySsJzgc2lyuhkiGCluHJVgLQzVM0R710XoadQEv21uhXtFyffCdp8yzmQL
EZSap+XqDY6ldVQZt0UtNoqeX/Yi6hdDpN8Y6JqWDqF17DsA/ELjFNmF4gEoWw+RfABDkm1geTyl
wTRsoX5s244UNCV0XC9TqBf1VObrpskeY2YXvD94gOUwOQdXEH1MdM0mEFM1R4Cu055hta/R1prD
OxaW0q9lPZ5V1XipSH9Z5FV5wQnsLod7safXSWieOrwkkXsdG5G9sKASL1QJvbCexte+48DUdTgc
/UAzPHznnBHr2cJpY2vyZXuDU4lbh0kgbAsF8U4RjV455qZHrvSWOIAnK2zIM4dKuBoslyq4PKmK
8ZI0A53eQQKQn7UPJiIIHBKvFaKIII+2hG48Zm9qCWQT9qyfKBBSiFlR4QwKsqqW0/GgGbugYexF
VujcVo1PKpIMci83IxINXPJXcQWCWMa7EAmHH5avzazpQJF0HBF5WEpxW8yqD32kghazEsSdNSHV
rA7pkInYs14kRjiSzQoSu0dLImnambO6pJ91JlHX37uz8qTNFZ7pWY0CQeRxmPUpA0KVZFaspI6e
0y/WEBGN4YPWv/SzugX6TrTKRuMQWunjMPKOqm57I/tGw4Cb37+RJ/SalrVhvoQBMpAxYSg+6eZO
1PlXxpqfp0q8dio3A4ei26LiA8MzRKqfbGC/BRl63dS+7NCpwZ9Q0Tv0Cl747sJUkmteKr7f8DxB
+libxmyf6hCgT2i3bOraZeiIHSm0Ed1xZ9gZvXmjFf6n0MZzWcno5f+ydx5bblvr1n2Xvw8PhI3U
+DskwRwqpw5GlVSFjI2cnv5OyJaOpCvrDN+2e7blEoskgP2FtebK+rpfkMNA/9hP+ZxudW/k+CMt
e5gYwHzJuf23QfizQaA2/22V1LzjAf9Fj8DPfa2UGNax43Ftw2WjTaFEEfW1UoIgDFgCyLllWSZ5
ehTwXysl6w9XQ0hhk2X/fYdgmDNFzsWqNI/wvrDnfpra/W6KBwvr5zIJncYMXneMmbFF6/FjmZQV
BBKPmmOdM2Pq1sAWxUqq9rMN5Eza7SPSkvtkuvZBoCHu8HSQaG0T3PszI22cJzcF2LQSfBojAlBq
Rp/cZzNbTZspayO4NasBZ8M8fVcAYlMDYp05WtamVsFXmmltbE1elJnfps0kN2NmuvGY89EvxsiU
AAT5QbXP+5DICyN8zEx5zEf3eVIatrdOteyj8nWMk2s3NF4rS3saulFfWs1wQlcilyPJ5quijA9t
y4bMzGT3OKrOS4Ry5pDDcfK0HtCSWsT35NW9qKM97UQW7PwaX7PlTNup1F+6Oju7JG6Oln3rVptk
Ur3SlRXJwP19G0bPTqRse1U+1pUS7G24tG4NBTfvCHDGqp2O52GMzvNsqhyrWbUafpZMH6gekbRZ
/dmdxzAy0ndCrmNW4OEoITnczgZIe100yXOphzz8ingDoJm5itatUkF+TEMW0zKJdefeF/5CmnW9
7Sw3X/q9sYl95Whlst/KhuhMP2q9XqIFqK0jAq5pLVCjznHy25KY3EoBXd/oNeOlSt1U1kTWXNde
jY67JfPJWqh+l2/C3Hhvokjs05zXSxEemgEMLbt6U6cxwvltHUPyOWUdvw6W786ayCMu7gtRe+es
ECsrNqlUiYDsAxDQ+Gltc0IjLAbYGiqiQjQYjEgmOSytvgOjk2DLTm34+fCWMlg9MJXHiGSVJkNP
1tivZqHskIY2a8jGhCExFdH18bq3rXppa4xVSwMOFdlQAglErlEzh3xzSmHcm0izSoI4PTxYzrFU
tF3qyFMRk7qZDQ9hXb/hVWWt04/+arIsjkvApcuxojCBmbzrxoa0SkAibUT7POFWW0Zhdu2j/lwm
3bClX5brioZjwWSvJ4FxZ+gR8by288H3cZBFcRFEaCXMpk0tVZcZ9RR2YX0xpsYtuVIvUFYOjdaf
5ERnMjX5Ht3kUQURp2cwJFK12Dmd8xaTte2GAdpfPUWSW9/1dXRbtMp9JK2dmst9iweWZIFdAp2K
MdpLXqf3VlLyoU79URjVwWjlqe1YPRbJcI1MZjP40VG0Fvq4flu4cqdVHDyjoP0O9+hBCpp041Dg
uO9r9UoNRbpGN0HN0Tz1NjVLLSbKKjD3LbT/cbL3lavfmFFxSKJuK5Kx5R1mmJg6jP9qdQoK+5IX
3ac6gvflBPptLetHjsQDEptTGwqSjcabXE0Z/XLTJ2m4ZpT7GCT2xgzkNrMiZ4cSdGN1JMNEdnMy
cneOizKuRRzs6DKvM6VjuqyWy7CtdiDIntQBB7CjpoQK6e1NH5rHtmLVCFUixP6RPTGK2NotZ/XY
rODG0pw5+clIrZfJcTe90nuNS5kWdc85i0l0OR9THUBUj+g9mEJGNMG0dpOSZzck+45LYr1Tfe1I
QpvGwTD2yI3hn1jpgcioIyPeHTxM8pw090Bs8kV06cEPxn4Ry+AEdTzzIjd/66IGG3GVnkmp3ZTS
PVewIBhjDshsVM3DvvcQ4acaAMIYicIaOr6d5q+QrdFbAVtM1gFiyf6gBcrjoHYXYiDPKs6a0Joz
Ssf+VVdog6IigDBXUoHDPV9UmrnO2yDalE72UoDJHl3a3yaqtomMN0TB9ava0h5s8tBLInLCELly
rVx37ECWurgjKxeb+/QWp/btZDbBMTfLYqcG/k2R5SdlFhT4JKiJyXzRCmtD4P1CGEzT4wYESl8N
+jahpdX14D2hQmRWJNXDaI9H9l36WtMKc61GxsYuYXBxURRsgqjtrUDd1hm+tD66LWn1xza486t6
myu0tkPvPOR9tOE930Hne2zKsNsN4ipJklWsdks9tkYeK8PGFPLSN8FdpE71yrG6rYIjv5lwedUW
CRTatgpcPhq8UGSFLMJuvO5a/RZcKVlWGgRUp+qTRaeBnDOsU51y3ntpreip1/Zl9GBmUcPD37IP
eo6pMHPSbh2WJFSVk00j3nF3MqMg3WthVbylcSy2FIwbO8jdK3YSziJrutwjFQl4RkeGc9CxHOgI
Ou9QAAsrj9ecMCa9GRzDQk+XA9stE9yhHyKsHVI28bJzu32cwmkvlfEjr+qdyV28SEY4CEZcaQsr
QjJhpuljJwOdjt2qkEsxDNfC2lYWWWxhxc+CY681xSVH+PwUazbrHXOqlDlZy7yue2CDqTNBrutT
gVWjQ0brFf2UrpCoHXuj2kPYuNIdgtGG2LP16QFS5k1Qkvdc6qz9jXypp8Decq188nszXtpB71Va
jYk9GTatYOxvNM1bB9VfS5xn4Runrh85ZKIVyJl145sL8B53BZwN4InhK0/WB2ivW78PL6pJ7lls
HJA5IxcLI48LiahhBTbuZB7sKDsBzjKokDP8FwnUu4wWnSOa2aSzsir/EjPoSBN509RIyJjX7wgi
PppDtNUq4D5Jsctc3P5STSBJoyohpfba7bPbBlFOJ0fgIXl+By4+ZzSRHGg6d6qqnEAPLymFNvpQ
7hrfhTod7gK7POCheLSEcUhzErINTlrDgU5UfKIx9uIkuB58KoXRLLzJD72Kbtgsm3eiEY+EgC1r
LroB+lTrpp8wAaErdPOdVKObSoc8rUdLVzDfMjIE4YN6WycK26JcUUg2Y9mBNg88yNrvWGPOApLW
RWYXa9us1Z86hwVsrA1rE96lwS6C0qJcQGQqebonT4SOLdFUY9qrdM9NGPy2QQoEJX5wXX9jONOV
2sHtShrtbuy1tREXjxLPNp0z6BOliz77leyII+9brwmNc2+qZz8wgFSSEhjFhSd8exO70Q59notV
GGZZMr0Xo3luCo133KfN0dK5WALZm0yWmHCh7NQ8f7Sci9TkPhfME1JmxWGjXqdCOaYN+hIlMNZ1
DXDSN0P2qLWabcPRejb7eLx1edKsEL0ch8FpUZXKxwEqeaFYz7oe++siKp9UsBRY4tp1UncE6tW8
a8fXtu786ClnmqN0w21QpTFqnuRU+LNTRZkuil4dCi0oV7pVD6uyyugUh5oSsWTzxL+NQJK1rrwN
oqHYpBNJOTac07Fp4UzNp7YpngaNGy1WYWFgz00X5IedtSQ6sw1ciliEOzuc6iNQz1l8YjzqeAr2
feVfu3X6TDaH2M63O5At9Og5p3lSdcazE7InLcQ1c8To6BoEZ2jFLijUOx27wCRNlQiRlkGGXKlZ
ciwDddPaAhyimX20jkx5lus0s85d0hC7RYefMA7siEjwMIc9jVp54w4AMvPCPsdaAFo0XhNnMcKo
jR/K1H0Wg3EDwU8eTCPOMR1YSGoa8UzC9A7hqrJE8cQMpuMvVkptLbWITXUuum2csi2s84LTMRCZ
atwOWqzTRlQV01owaUJnFGdYiqdriGbj5Xcd31/CiN9KOlHquRYQDs5410Bi9WMDpUeqOuh6Hl3i
Aj1VfqqnYeGK29+/yKzm+Y/WAvzFlxeB7Ybehyian4fZiQ9Zj2zs6KKOOyU/qaRnKOKu6e9+/zJ0
ov/7ZWxWWQAY5oHXT6IiX1VdugCVwl3/6OW9Yuz/8d/P5B8tEZIiPq6fP6saar6UVpZe8p4Lbev4
KGS+dd+/+C5+8fsjaNf5hPigwJH8JEkJ7HlAa5bZxaHvMK/Mv+RKfyt6QTL/28/np+8aYJrG+J7P
B6+Hki0TdvY2ZvTF8J7Gq9+/lV+8FJQLoDWOIOeMPIYfL6vUYV5IWkFyUeMtIjtycwsGqWLJMYxf
6/evNf/aP11dP3wtzC6+X5WoWpR1NomzlwL6OWEl9F3Nimfq2K1//0K/elPff/8/vancjl3ZOn++
EFNxJM9DuOYcmY/i4r9ca/Mv/fObYvGJzYXTEWss6qnv35RhghHg4M0vtbH209duIMTl0+/fzq8u
t+9e4ufLbSL+SAamml9y5zX2n4Xyf7icZ/0vq2K0yOaX2c13K6y4TM1GKHp+iXkCMsBNx//Dw4sN
mWpht+C2gSX044eUKzn1vaXJy2S/9va5nTc+zX95dv3qS+ciZtlNULXQ5hnX918Enkvw+s6UXSoK
v3E5b1zM665iEr1im/L7b+QXr+XAetd1DVaLxvzpx9cKfYchW2zmJLJRk3hAvUIofCUz9Y1+8+Wl
/l0MG9wp3x66syn+L0P77BL4//9vpvmcXpv3X2yH5x/8NvPU/yC4UdDm2Ojlv9iIvs089T9MHUWC
icqBy0LlO/o687T/4NDRUb/PMJRZG/H9dhj8D5cqXLl/vh3+8cb9AvRABelgcpo3w4wYf7xM6rYn
a8wiuVSVV1UgvDG2/8vje366fPf0QZ6LLpeRLt58W0cSPF+o3926BDcmRmu37aUW8T6yHxQVpfx1
Lbaaf9V351rzvvsSrv78m7+vQr7s23/7ivNv9N0rzq1wNGlpSx3SYqwdgwZ6bi1J/pKBrK/7Sjr7
riGl3EpMf1FbxGUTcVP6g296TdbYXhzk1ssAmGiHIXKGsDK402oJh9wJj6ZMHxCSJ8uiUj93SvLh
DsoTg5MryQIeLL+A7BdUI/kjqbkw9NDxqpQlOGK4gPmPtalHkiOJRTHwB0Vy45NDu4yGiB6/apGh
TSoFuB7dKj3rqza6cbrugNgGeV7UHZXS51uKaZt9ByBu36zECNvP6q99xsXELRtbwL5XXchu1rF2
OSt1cPHBAavDnA9+XymkbXb5SzfNW59w29lTTVhQvQH0txGFsw/hDy9CS/b0fVW9wUx9kkhSbm3C
cGcU2FjntxIY59YCxxPT7W9LRqjN9fSFz9Nm1SAvKdiZRtXsM6llZDXXzURTapRvaBePCBFPTICO
hR3thqTH1eYz1EnO42Q9ailB1aUy28cMY13p0SeERp+RtZleb4rTUIi9z061S4pjg9GAQfaOhfKV
CoQ498tVNIzHfhyOrVPJVTMB4A3M/lB36mPZ6p4QpElm+XSPRiEgG3BMzlGbX+VJs6FlPydTslcl
LNABeh6NGfrXcnBYy3aJuhA8P8k1v2cuRHyYogZrPSvaXdv2zSb1YfI6UTkeUTOaa7LQDmn22VX6
iwidm7plnKCFKcPssFpD0Nz7aXTV5spt3+XrENE6tFNUpxEA+6z5THooXHsrvtZp9902ayG6aozp
ZujPeI06MFzUiImsXmz6qluThr5qLCYimopzXJI5LK4yn6i5fmAi1aRJdzOM4Y3la7uqb9GiOk+I
kpYDkgtGAwp4maj6yA2kezTcBjGu0wTQiIKVoUL3ruIMyRmilUKjZbNdBq8sKQwDEanS46IOrsKo
Owk4jKWZbQbV9KBFLNvBP9S13FY0g/XUzDOxMyX9Su+VHQ8KAgmChtG/Wi8MgvpK13gQWH517pBl
OXtgcjMlZgElya5Kc/pKRovGqOyTerojy5UEnbQ5R/jHY1gRccyEvPXB4rSO/uq28Svj5ZPECLOg
d06WPbJe7PZ9tjT9ztn+e+j9ueejJv77Q+/83r1+pnj7meyi81PfTjyVnFCDEwr3q2Ehtvthy6fD
fucoFPBWbYT33048l7MQaKJNzQI5hR//z4kH84XTjh0CBxVFmvmP1PrGjzX+fOTZdHSAjhA68YI/
7/lAvRYGaaDjJcqvjNFulrrPwHlo3PthglOpjqBrXT0/OlN644zibSxSZWmja8HWk/K0jWoku427
rxP3AopGMmK03twwOaWt+zBN5T230kfbButSsQosMPYz7spi4dSWvmQLvVH17Ch7o192fucukokB
j1rCI6cDYg+WPFiBNa0NmsM5C50NGPek1M2nJLUfgnF6U3z8q37ibvuyvU+i5qpyxTli1IJo3bnN
SFGUcgjOftfsZd8VcMXqg+YwKRzwL2WD5D1Pq9gBNubwDHPCNU29j0M3X+eh8tgWTMXY4RMDcKbz
Wk8Cpjl6c9/zc47qiecISpN16RCcQSTyAgf1Z7Q9lzrRrEXAc/B2UrJV1Pm4nYp6OZUD4vHYiJaw
Y5BZ5koMYNx8zibA0Bahx94QqenelpG7KnutRpDmwwSX8crp5/XeTLYexQzHmBaGhoRjLCRjOfOh
Klk+LQMELMym2vmEb02JimuwWA7ea33PdANpfolruWzU0EtjdOAsIL+EfoZzAKgvWbyVZIIy4vYS
MkLVdNhOc2hoO8eHkonCQ41A0S8JQ76p3QubZ29G6mhB7lCqEkPaNdPLNAeTWjUXTkhWaUNmaZS+
VySYwhmR6OLr3Ui26VDBg7FIO8VwqBB1SQAq0NSTq8IsSNgnhaH6OAprn82hqRnpqaVmlvciq2+C
TNxoX/JV+x0i0s0Qx/h+TR9pWuRvczL1lkFpHMY5ptVVCns3KiNCUzJcla5yUIoqa8JuN2rUIapD
iuOQ+zq5YLhUWRBxEuSYNBRo5aTERlFoL0j1JuTDXxvkyNZKpEOHbh8mhuEpSbPS4DPzY4Z9ZNBC
D7ofyaQNsupqmENqh8ZBqjU91VWe8deHW3ZYNomamZeTcJu1xAQQTfbUNaQXkoHbjJEHSemAdGml
RcWzFVHP+AbbqWQO0E2r9K4V1X04R+sWraj51ZJDAqulmBASNvZzidh8UbXWqQK9MYVkWRswQebg
XnUclxlJviaJvtg51zYJv1Tgl6Eg8re0Jh0NHQK/kjzgKenOJJ2uk/xzgkCrZajm1b2/kVE/k3cE
YixzvIowvjmqz38BQs9r108TcOulb+mvmQ+iwlSTZqnWsGHSgKCZbryzJmJgBpmS2VTZd7iADqB4
nycnPKXucG3oZNKoCeiREgd8pm4z1+EysktwzBkXoH+XxtPgEcxIlpUouKG0Oy7jJ7tBOKz58txE
1nXtGp/daay8WOmvpM/WJas1sUT+RFaAn5t41UM20JhD8ZcOKanr7k2Ct2OeBsMU78AUkzmEH8dy
3wa/eU3S8srXKjSLtumv6l5FPTiWrlfF5qFwanE1Gc4GU2aYX6NqjG+LXPvkj5BCgmS6xyJ/NKbg
TWNQ36btuKWoULwm0c9hE8TULWG9xm6ew0KipSrsyWvxPeAwKfA+NKW7KGASLSzXBpFuptXSF9Vx
0uxDo2v7qNV2YdjcVCx7Fmpv7KxJnIdWOciMdxkl5apoQpUFjCJg3AerOMxalqDiz07m3z53ngj9
/ZF/lb5+eq9+ceTzUz8c+Qi8/hLvzEDYb00u4n9HcN4TSmcy6KQa+Nrk4uojdm7WTNMXMjXmp75K
oGd1tMbwdR5gWKBu/xGWDa38D03olzPfBKqoU0LoOtOXn9pcouAIkxJ2f2kwiy5FQwBKN95A0QFs
4wYXIrnjT5AacuhFxh2aOA4PQ/FvWZ18KKG6Rn4kULQp7LfAuODGoei22TcSIfFWBYkGDtDGC9fm
N8JNAw5i6W/6zj+BaMPFXdhvrRHdWt30GDJjotpFh6cXYjmQgLBN7GJvFDUdoj0L/Nx8PaX6La+1
6huthYrWhmgIRyIjHAQYPkmqTeLeM/VlXZ8En+PaOQm2GaoYLiH5Z9Lm4cgD6FoPVXUNLA8JrZjT
nFl1Mxy0FraOQTlLCXbkSUW5sjSwROyo5SKoH9pWC9nMkBhXe9QWjteOheEZib+xEPUupJHB3ijE
XeU25Ou5q9YwvBYF6QKHUwSTa9xNGo7iJg8JFVenB9P9jLttVenDqa6zvd01T4R1RMsiJhqAcDHM
YSP1jdWBSDKH8b1T5a7T7LVtKITSqeFDoCGaxBCPjoDlGgshioxpG+v2pY/s8xwlGMjqQSrmG/3g
wZYJm8MJ0qq9LGttR3rDtT4iQglM68bhE/IjkGeKhPCTpudKuDdWpL4lw0QQi0ozhrFlFvP095ku
nmNG5yA6cJl3uVgXrVYv3ME+4G66A06XL61JfYi6OIU/C2XL8O+LoTozcTgEFWkNdZrC8wtfhk65
KwzECeFw07jWWrWUp1aJP6E3psoCQbSsCjxj07w+1+vywx7HW7XFnFIK98TXdOyZyIBWWfnig7W/
RwsM26yd1oUt65UuwO6hD7NiRyLttTdTbJuLKpcvRm49GxiumEMMr6Ltub40ZC/ZHIjXNfKodeln
nyvSrYwMi5fcaKm1b61xK62GsQZTDD007sw62AQQRHAIlFea2jeoisG9kewWLipljFdK2IJ/IroQ
fXzyEDd8SBNF3sLk2F6ITL9prMJzi2yLoYA037rJiz15ycFZb+XDUD8TbmFwzz1nTYQsCiBXGLBV
hrKG6HcMSR+s3J1PhsRC2vWwER2SAbXtxbIttRitesjjXyk+UKA1Lgv5suFoCv14ZI6TlNN996Um
NEm/oVoL/ETc5r5BhcWq8yESsfQENSWMC9zwVJlDLig357rTiSHB5O4GHTwlKQjuFWDkdM+y0Pay
zp93+caz7MzYm+ZaJA25pMHW4fkfqmXE+HqpRNkqcNzh1imogCXSliGcPs8Il6gMnBWBFmuVWrpN
CBWaSHbycqKWVmi6WQTa50GImWm1nFTnMaIyDx0GVfiX1mgIdxG1e8ViP6WWT6N2Xcz120SVLwu0
awp1vwhzAifoBBJB2PJoaOS9kCgUU6fRM7j0DpUhgOD4/VttiQcpjadMtcl6o9+IU0CCZTlNs9Do
wQxnY8VETBx6inM/Nyz53LokYXpU6WX4rzoC9DmdqTGf2QcXC71UvMpIPkY6oSK2H4oyOsEHeqvq
iXSJzL5Y9E5WK5mrlMypDMp+1rmBslR97U0d4huH3osvjyYsnvpFk9j3WYeTd0rhQJu9E3psk1fW
fNbT4uGW4viXDTfTyK1nUxjUob6r50qBkL0bzBWUzdqeedTBb5tjMtcWYKAQTUITA4IAWtGIsnTR
2k68Epk2eT4FikLi91q6ZbxuWjfCQKKe87me6ebKRqfEmQL/VRmzY0jpo8w1kDaMn8B3xrcjxLll
1SMeq0W+yEak2HZQfupZlqFhUoslRct95FgHvAefIsIeloGuZndDXm2VXL+39TZb+gXfRmr74CAT
deX4UHqsfmdnhU/AUwsrgtOhaNBW92JRZynXGrIf6D+pGmDrrlRtpE5Kg9xjHF2va7+p3Rc9w8H6
b1Dvn6DaeYH1u4qozV7r/10RzT/1fUXkMqgUJOtSv8yU/u8rIrTONnUPJy6jjm8VkVD/EJghSfdF
nvwXjuxrRcR8xMVj5rIxoJ6ahdD/QO2MrvrnigjRNMzbeahiUQWInxbExO3keBhHYO8o+ZMtBBaw
7k6ZnGI/XYqJoWY4PQKt4n5u0k0fuI9ETtWLLMRVIION66fMNnjEVEC1PENW11YnIYaoRECi+cmG
nTHUq6klHVJ5lkHAQ5+nWHDRYjc4SYipS8ukfrA1NAJJjUKUjN3P9PtIO2ZGtPCdZ+yXjEYNhdCY
vnmeZLbtadRWhtld0SkaXgkChT9XD1OHowCQzEmwx+dGZj6vgHLPKvU9KuqPftI/OwrSKNkm4ZJS
5DZzBh5hA67oUXmsJqgkJNkxE7GcZTe559wax4Mikhvgax2nApbkwedAoPrlH+oP8FiC/xFyT6et
NB1IDejDmY8PDzwLSTrDhPVJTZ7oG8OaLKRa5UwA+2DFbrjy7aYi9bsfxdJMVERoEE0N5Bu4OBHY
GY37qkVAW71oqNDf5F2IISNPtlj4SoYYSjtrhQsPJhuTKtWdBSUgbul3EwS2XQX5JqrYWAR9c42S
GB7RlFbXnTRiDHCgQ3mu8FHhmF7UlVBhzIICzXL8T1lpPcmpgvxGLJ4nKuEspATF28xH7OCCTfBd
30Q82I/XXJtigRqYCWzfLUNpyT1J4QwGMBydfFONV73b1vsw6OzNUEFyQ1bT1qsSqy02IcPfaEn7
obvSIdarbJn7+sFWs5S3jhAg9hYuSV14WhYEJwAtRoC+JYDi3WUPANCg7z3kskwlXLFL1RYUqRmn
V44RJB55bzhgFaYKLtSKjUgNIo272tzgdHzPBs3dYBjDkFsp6ZU9yWDPJ8fx4ff5q0NO+0IfI3Xr
q4LPRsUjk+ug9QytSaoVoFx6a0y/b8WYBwsJwIAwihqig6NUh96W/SHoSRpwQ8T5xRxTW+D18/jy
BPNn8wPLlGCLEH5gJzI2s3cyXKgEISHiKqij4Fa/qRnDK0rvEG4t1iZmKuxCCtERgtxrCr9lbsEa
wpvHPRfsq1gHXTqR/euFhJ6p3mA4wxpvZRV/pJgQtw5bx2tJwbfCB1UfGp+10sGgoqjU4S5lC4Ta
nPVUbrgJyvzyAcRFsFQnv1lIt5deHQK96upnJSgfU5lTHjkuALyMkUSXSUKNVRtf0Bg/aLm8iss6
ehld5Jt6GISITh18bQXSrImA7BzlrkkU3FLmDDfc1noP0+4FpuC6DxygHK7y0cfNbNOLnjHv71H0
Pw3sDDc4iqxlmlXzQ8Q98VHs2oTkDO5TZYbTNZlzRwDhVamF+wKA5yKv5NlWxSfdch+7VCFQuBqu
mqlydk5VbeVU39aTe8/qyvfUhnqmbCuvi8eIqKdo3Bg680JYTowas/zQg7yrnPAmUPFp2gGkjDY1
yoOpTq+M30oKfn0byXCf2P7FMdhoDUa5GulKuVNwZeVcbIyJ03whUGO/xQ5DQStp4m1gdCgmBWu+
gYJsb1kI+YUlQUub2Ztbk8yVqW2OFq28kr1yyyhzNnUl0T5AbsswiRyeZOwdfiUqvlFprDXFpbXw
ZR9cZyiBGPAhQW7nm2dSfdqu+UWbwgy9GEb4RsUQe5NCd145OgsinjDtpo4tGiJzcDeF0EZvimnc
MPCmPGHscTO0Y+z5dWQg5SRiwp1iXHqV+QGfcVolYtqhTb4wrDtkRnw02yHzjF7VN0aPVc9QC3+d
iDpah7apsijztZVQJWHh1mDO+VTUZ2SE+yjHN7oxb8Fiftsw467V+37O6CMuA0PyzHLgKaWCW9n0
Oe/UrDpzJmIFQF41a6PEDGDjjKa2DECz5BlGPR5TfwW5/Tv8mcuPvy91bqLuHdns5/dfVDv84Ndq
RxN/CCQt+heFAyKt/xQ7cxIxOx0qGpelEDbOb8WOIf7AdToznTSyAqEnMU/6WuwYfwgM8A4KFuwC
2L6cf1LsfImw+I8EgZmTgdNhzuNyLYs6wPpZC6PnHU4eA+e4LMvCPiqpMhKkTrVSZ+oKEXBCFo9u
JBgCfEYuSDuntYYL2aYxAUri8Ky8tHMETJ8Nys40c+PUctCser3OD8w5s1tmDP2lHURxzKNGfmqC
pt/rWZ/cCq2HRSNj/EjNYL+z2RdbKRx/TeDkHFJXNvKFQQ1jaaWjU6j6YsEIaZPoWr+a0tx8g76j
fShGNN3otUXmiBvChs9HLV2ojguu0ypXgx7rjC5i/EGhnVxlWevf6dQaNy0p3uGtGptJUGOD1cpp
NxWhj5Ybri0UZ83OA50XbFUU/Ej2hUZ0Kw8YOb6iVumuq0pzmIJLUoVXDJ469WxZRexlZlTG90o8
mfMCJbHt5aBbZYXa2cAuanZj+YKd1NiJLmu8iSp0RR7qoirGvdMUcBtnlqzaVa556GbMLLmoEGez
GT4LCgQOrVLOTNoxyg0DLB1ZmCNGDXclJ3EzaXVnb/UZbSth3DZxyuOfFMPpZGIZ2zmlE3U3hO1p
67Ey88lYhlyY/Slz0zFXNl9uhH+fCAar179/Ity+fqrQP+XNr3RP/OTXRwKGTnXuL2Zum/nnjf9d
A+RYTIu//gk/9XUkzNzXsKjT59uUR8A8Lf76THD+UGmMQPqYDkfpP3wmQNn4uQEi4M6efzvoHCyq
zXlk/J1KyIi7nInE0F+G1FGXgq3wGg147BXxvOUbGrZfSc1JbYruuY+zQ1FzSFqqYzO3iKKlPxJc
7OeOdhMElqc43AvZmNtLS42Ug9pMr6avT6RKN++9VdaejVlhUaT+rdEq1okwVqQMnVFygHflGakz
mqPwoQl7rycvB3K5s88afS8q7SMZxoc+ZHYqkkuZYkXR9K0bMSp2Y6rFKCNjMk6R9cAIS1dsLOG4
zcB5ZvXvsS3ue0t5STrlve/CcjUnjiwHVDILQGifywwraKIq54b7n3opx5edIAPpXOttDHGzggjQ
lilDW0bbJNG2o3wIM3mtW4FnSSyc9igo39um84IKBt0piHZWYdyUtYVhzH+fZgdcfmVpeKWMKjnn
jD+nIX7MIMn7uv8pzM27zgTWrsYfYzBvuVL92qnGEdckNW0X1PdSaZAvtg1ZyWmYrocGwgiikXJV
WeNthtl81di92NaOGi+NNMTNmLcMUyUxA1kECLtGHeJRKNUr0QTbJGSLmCnGpmUCe4PvUOfZyZY2
Hhl3ahEZKKZUjFNVzsYWlufLBNn/flKqG0nGxEIgeN60A34hdMKrymgivEaxuW19d0we8kCxg5Ne
T9kjdAdUTCkMaD6+bloOBg1uN0T0LqbzUeODGMLuEjZAXRnRMpVpvkxoKnOKPgNPsBUwCam7jYTm
r01cZhdbjYYl9Su2En1EFiN6ecomPbp3MHVVTTRsMTa/JLA1Kdth4fci1ldK0QLuHp07N+93RmZu
/oe9M2mO21i79F/p6D1uYB4WvSnUTFYV52mDICUKQGJKzMOv/56UbF3Z7XaH917d8LVJlcgq5Jvv
Oec5knZzIhRGvm8M41HrGch61LTNFC3lbhhBbRV2Ua+8Fp9tWyLI6/wsrXY4TURxH3gHeGScvQri
SD7dlDMSgd+P8oFqh48WZ+2Vl5mYk0TyKQ3uD4s966T3jLPmV9wrgPLyo3cMlm9dv2+ogd+bxADv
a7fOL0PllQ+ZSeJQGmkSDrZ8qPxu3XUum2dVLhinzn5yWV33kcagTmiTDpyZmFoA+c1qprCAMLJx
UkJ+mHh9ahki99jN+vsUybBOxieMHEBlS33GA0izSGwH3IMnWzvgNxvfMjFiPVrqaJ36XbmDupJ9
ySyn3edk1uhs84/ZmEz7YUERabpgoWKWhsKV6wTN7WgZ0XVC2OPkD/O55aRCNsbJjaeBT2YxNNtJ
96d1Z1ItrvlLtWoNPGWZMy0/jI//nkcW89rfnUfl/1pRQP+X5xFf+fM8oh4qcFmr4UJVkyjT6y/n
kWujNXIckC6BJ/Df8wj2AKYjiK+/L91+Hkfuf4AS4DXnGQjsWqGd/tE+7v9yJQWmY+jMqCbqJGs+
9e9/OY7afnacIfO1s+cUIsyRwdKI92TuEhNSWerMm/eaSlcjbt9yCgXwfkhej0Swx5ksNgaXw6LS
2SDhRYjxqVqZKrtdqxR3Spyb2fWJgpA3qdenmekMkrx/LVUC3CYKHknrMSYaXqiMeNzldwyVNWE6
6wvY+HBQefLI0m8DnYT56JMvbERDM7v3bbLdaStGeV+Y4tEzlJyRsbvvNRT+Iqhf7F7269SQ1I6A
dxGxJF9baVSUZP3K0JrdmGk8WSNkyranpGbxxnTtRJg1F3KP2jqa7DeZD9p8y67JH7b5ZIwFGc62
44lUC11iQTJsInpQnYD0B1tpNGBg2rnYmDy+yJFZm8HBWJhp4qYXc0fIC4pSBdG018XXzmMm1+0A
S6KPW7c758Oj2VYeetAYUMWFfxbDw703GdnKKMw3QZKVSz6xPjKCEESr4cqN2vZY6+UHeALRgBBP
Kn2DrseR7Ba2eVtnMcWE3IHXoO0f9ASzkcd2Enyiro7rl9Kunlj5VPQcTNU1p/8cal6wKT3cZbE8
lHmFR7rdFaTl88A7Tk70wlUL1Smz5kNFuVRf2vrBQEkii9vOBEMnSAAuITQ9ZwDm9TzjuUyPA9Ln
BjTNuPKNSFN0hOJCSOABYRVfGIZcugO8K/t7PLdTSd3se2i3+R7gNUb/tJjzrd7CI9Ldlm2pEiwb
qd/HaM2RSgIvjXWpiQZrhJcZAW4d4R2gY+yyAYC1yhIPhIo7v7hMAQiNyZyZPYbQpsO+5daTCKcH
OSGeHfLJXkXRC0cbNCnUXxLME0lmSaK5IdlMAfJL2qFUq8gzFwAZuioGvZCHngYqeZB6zO1EVtpV
oWl+5QI4t/gULHeGhtemzbGzsVTYmkYhFqTsmkhhmw0rThXL7vr8hLpzV6jA9qyi25Zm36f9+FFq
7aZoH5reMEJ8O7cxmW/JIqWUyxHixpMeiHEtSIe3pMSBMrFMYymdttlboYLkmse+RkXLLTLmiQqb
Gyp2XpM/DyKj2uiUqi/ughuQ2QDhz+Qwq1ptXZFgN33nw5I6hA6VbY+Ty0jWvW7Gazopn3IVgtfN
eVurWHxKAj4iJy+KEjQ46zfa3j8GFaW3xug6UOF6i5R9nvOfkbofO+L3Y1McfPL4Q1de8V8upGYt
C1ee04EUVPl9EoYzgrdK9Se6SviD8XoVZP5LR+BRUBQArd2DOHhtoQOMwbABm7ETlv/WQQ8oevBh
Fac7Fj5qjiwS5PJlVsABU42go01NOCwC36gp41F4gqaxXlJ4BTh4w1wBDCrfvrUgGsCIuTUV4mBe
hpMzAD2YoB9EJWu+oJH7BC5C6mfPwsyuY7199Eqpg1DU7zpICqbMTwm7qkzvn7PCvm8UcqGAvWAX
ysjZnOCncRkAzhDPbAEEvIbcpMocfgNvkmOlgA4JZIc20reDQj308N8Ks6YpjNjoAA2iggqBp/tK
Y/eFO1872HAjdPgRHU1sBTyJcUBgXrLrCThjly+33ZBR9VHUJwsSxSR5y/oMYEWbP1JV9pYBlLVr
59DBsGhteWTTfjCs5GmAceHAumAfk7NcjbaDQ8gVGkYGFcNQeIwFTkZkwo6Cm1EqgEYLSSOpsqsU
ssYEYQOXChEBbutGVeuhgMJhD+m2hMoBGuYqhdLx712ZIQJQEbPC/282acr35mv6VxRJ9dW/zyes
0AxLTRmUsP6YJ37OJ+zQoAGi0+nKuYw5+r/zicO/YQihhgM8PW3gf9ihcfmmY4UJhaGHINE/GVBI
2f3pvswllL+w6zlMJ7Cb/pwUCiZHkwFvv7OW+ebaUbsdnzvnwVX7nuH76qeruwYKxayxEsITyJU4
GutWPIIlwvb7fYFUql1SWQPU19nSsmMCS8G6qf+xe4qnemETBfdPsJeqf2ypLMraaiCSan3Foqxh
l9V9X2z5HXVzjUO9w6rUAEutlngRD0XFGc5tT5hhnunzfWL4RboyBa3aUuYAEqks2s9Jim3D6b2n
0hgQ1XhYD08SE+ZEnY5c5tAuuSeFWluXYWZJ/8bKBomfphavmiNJtQQG8Eg8NBF3MyP2V1hG0tPS
4qkG3LgUceinVAMHlQkvUC9C9uM9WWWvOHtuOdwVkDZpA8vg1Kly3H2vRQ433Np/MxEPFhzYQbVw
WvXutPL81PHI2uTeHU4U2GVLV6R7ytSWL4WpQUCLbVI54axzCIInDxzBzcS2epA7/mB1O4erstYS
j9GGV/AlhoEohr5oC6NPSjqFEzZ7bOmGRXnFR2tZgn0Qox9tZtnEO49Vxm3bDOINZ1p7G3itByLR
NbjeUrH0AIn9HFgkM26wYPXeTanFg76JW+VrjqOqrw+UlfSoJKkpXjO6oh6mAHcoo1GfCXQUPc33
ulV23krzZSQONdPbdCy81B4/3dGPPwNoYjuQNBHImaSCsRAATmg1uh8LjcRx5qftS2IZsrmo5BBH
1G9F9P/eqlQu4u+fXMfqve7/qkFIfenvjy2QboFB5J/NulrOqXvLL9cqhwAjTyx+ST9aG/675rN4
fJpwb4nAsx3kYfP7mo9CNjo8fnwz1of/0OagVvu/rv4dX0f4Ukg521Kxkz/ZHDzIzdNkz81l1lik
404CtopxsvTFweX9f0ltaskTLzm7TrPjk+Dc1tikeZLod1Zk32VN/1npsl5NU3IQRPESz9gO2Pky
iOXaAOWlNK790lgvJkaewZ5Ii1jXOtT2ldUXZ/SSbRR7122ibatZu2U58ujN5bMzdaEf1Z+UCQMa
4ukxl4cMzmgCOBrNyzo4fvIEmCjUbP2WcslzD1sMeNN5Usu4wJ0YFBY+2QbUt/jRAYOj8Tfa5M34
EaTdKULV7RrrzYrz3dB1xzJyt50VXA12fY6S5BxUiMV0SMSJPPfQNKwKxtpkPns2whpspIAVnJZV
F2GIc6UZm6FnGdQu60QfXoO0vUmS/hSPczgg4dtASqBDnRsTcTL41oK72hSQS+BN9ccl8N+jEa6P
az+T1jpobbAenBaq44JuJ9aFXFaubO7nlr6GaEovseNhiAU7JtxHpy32y9zeFX73UZoTe6TyjHhx
PbjF3ln6Y9HM+75uUUPlN09IKK8gqEDaW7F95yUeiRtN7juvRIbNx1PWe9rKmJnnouzdquy7QLph
QmPeigr5S69117FZrJd4ODQL5BhPuxPBdDD06MkuZq7G1salaWFVA8yJFJopifQ6VKNb6ucjXrka
etjcR+sqdd89OiR3sp52vnRY2U2SWR6hvxinD8oXgphMRazXm3YORuxmrd+IPQJRcuiqphEXe1km
GH+wjKzd0LANDmgWWA9q76gWkFXd5+ppeZdVnTyWLn0drVpYGrlhnaCyDOthNgTIVcIeAfoOkYpF
3JmGiahE7I4LzV6UJG18I/A3/JVoTKKKIzTU4lRICMCdWqb2aq0K8M6BcjXfp/Zcr/HnU0BnwW1d
1EIWfi5uEXa0ftPpm8zlTivY36b+TJpdfBvVYjfQzAeNTW/lW2s2cJfFdLY2m+C6zcZ1xoKVisHP
dLFPaL/PGtcfcWrUOpn/lsWyJGphsWtO1c65AsurltByaAkQqsU0YzfkKml/xCAEV7paX8u27tet
HRARVO1JkyCJyd5xsPHUDWoBnpn+ZyyDt3I2Hx025Lx+XByV3oazWp9bkusIErRcO6VIQMJhNx0w
RUv27pSIXgb28H4xPtnT/K339KNgTw88FjCuBu6LDX66APwp8vo8M/lsC7XmN9XCv2LzX8okpn8p
azdmMljr3qbKZTTKF8pq+SnXxVetUibeaWTHjztrK7LpEGn5TlDyHQbLgAUK/iGonkuqex8I4B+T
DTygmQret57LCpjbhZfk+9hvNGxbUNckAnttmbuoMl86oFoUditjtHMgV9muejd9mWOyWYFmf0mj
uli7+K+QLD60vlm3JiLcFOkwLaNniyVvOAeYe80esQSsEzqGiZG+ob2rkQ8J24S1LuYZci6/9ymK
XizsOayVIo/3l7WtFVwpCEY+omk2h1XFx7IBpc/Ls74VOsGmIYpViKvBVZbSoFXUB/hpLq9tOBI+
uUwFzop56TFoWIcx0YmVDE+lrh+70YcHqAUBTmBAyD0tt1mi349xd+WUyYMxe/BuBTy/RtDZbI/W
2p2067T3DWTU7LFJbJwI7D/WuSeBBCdJVm6bsY2TUKto0QHfrYNqHpKDzb4f8wrNGLqv7cA94rMq
QYyXbUG1cW8SCJxvpcLze8aU36bVkIb/3qK+36Jsju2/mUWS97Z7Z+QoO9YMh6//53//MGmqr/o5
hhhkSQJW+yh5kNhVsPTnGGL9R1c+R+REGDIkSH/enr53TBBK8XH2Kc1RXax+G0NwYrJTQTX5zub/
p3OIo5ygf5xDYJfwXSiIcRh7QPv/cb1rqj9c5nV+o1MjuHJsPn6GPT6xWI139FtfZELuv13SEy3T
9BfNVFRAqueGxZMa+/pn1acn7M4PBLiBaxm1r/xGctUCH+XhuvfzHm94tMF5tB9H/he22mokiWlZ
xmvr0DOeEp6mBmnTTvV74okTBK1PTySbkZOto2J6NRvyVE/2F26hu3jG9Gy1FU75tOj3Qjb7Jgiu
WgEKl0f4Aj4N1YUkmjNAGqsePUAOo5n08EHtdJcs5nvekJrR9RdGBmfrRfRYSeTGXUM+jt44sm42
HfKMQUCywfZ3prYPLLHJEnFPcFWimFnjZpDTbclyd9X6cju6KiXHi7uiZsQMF39c1lpplCsNS3lg
5V9xF8rdbGIeTWO6nCmDfwBN/y2XtPTp5UjXXStOmQ2FLo3NDHOezEOiOU7oTdWMlOlvsHQcE6cr
1/GYP0KV1Y4FEDJ4XrdJw5O39IMjl0XOFac7BaX5UCf9Dkf/LfQGbdMvbMbnYuTB4OPzw44EruZ2
SohC2n7wKoRxRyGBRmtU5XHVswowutbDUqSvGczEMWepzeaK5WAKfpS9nKj1b4pzuycHyO4q7ecN
ZlLunJEFdzh5TgSvP54p111iBbSGY9a7lVzJ0rLZUjK2iox5K1+PcUN1WEv3a2e4IbC/VapP7WqO
gpL+8eQFSfhuauwprHzJEtcCaxZjd6xLYprdTAB3xGUVYr4P1kaR2bui6i9V5T87RsTvve2BqU/1
Si/kq9Gn1/RjXjcpbDotNnxaeTmxbRMDYdBCI0Z6Jd3XyV1kVWcw+HAeHe+Qazwy4zY966J6rUWd
Uhakkphps55IKbgjL3Qc2Dsb+bCvDf3GNNtQOiPRKSO6auL+0JbysdeGXdWWbLkqsL4TucciRQpv
hwAT/MhWIk9w0uvDy1Knn+3A9C6m3ZhK+hdKmrhKt4Ioxt9q9m4qwBphFgz3fpZvO/iey7kbTpGW
bmc9OMRTeTGc8sYcon3uALDrXYZaRYVWcMkeQhWchmVtLhQSuwDZeIOmUehqGKdrABdVyTctC0eG
WCSKcLRBLBT68C3Jpmw9FZa3MRXnwMraj4lTa6x8htuppya8Jv3VB8EO/8whMeDxLaxqG7Z4Vrry
y2DaabR5bJzJikLsrOM20HwwGugi8ZSQBY8ywUBif+0hKW1pVftaWcML65YvSC5iU7VsN2NrvJlp
TgcM4XLcd2634XE0WKHTl2D6IOd1Vzx7lFVaMtRPNRNgSV28U4KG2Fq9dJ3HQc98f5fgXIBTySgY
j3WJd9GbmgW5OJ6MjV9SdIFxyLT8PVdBbD+NhfJ9Zrk89/eBDjr4fgwazbrqp766Gh0kjBdc2uZw
yTq5r2KqLaWAyVHZmb1NUziLNc5Mo4nvWnSksMumo22X/bbRGkZwzb1yvAlRiZAiPk73S42xeZV1
LotWYb9kGq7vZKCDwtAX92hVvJmz0s8YFTBIUyr/JiP7HWXHXHe+oBNhgc0fJAMNpSrCUo4mPmyc
wk2HCj1n02kGrT+lgdhmUjvZZXOrRf1V4VdvQzqyJbegczCmtAYLsFg6AKSt6ZjMeAqIaAWefE9B
a7pK++tMjJuWiwuNPde9bopz1MK1FPNrnpjfFkPnu8TOt2womIMo1liO5jyRYXEaTMPNXYZxnaoA
km0T3NOrPPFOepZjd5sq1RF4SNg5gy6Y3LBmK7zizXh2PZWdc4J4o2varcmJuR7hU7M76k+LPsOh
oWiNn4LceyX4wrai08uiwQ1bgFx7QeoRzefmW0baQ5etFyd+Nhv0Mt8WEVfbjFB/Foz84QyNKoRk
LQFTPPabtcU1FlAl8JhikiNtBuO19HF++D5jfGx4l3QsTxQhYl6R0SUAj94W7T7uu3c3GOcNTu37
OdfqDYu3HKM6BwiyxGPU4zrvx/K5yquj0OjW8Prlpa+DZMunzuY9gBrPrlMLm6r7bIPgkQf0Vpf5
dVYkqurG2luieqwHtJvUm8Ih1g/1aN0MXL4Cp/pIOeiI8etnW++u6EKOQoKCEVsEoyEQ3sDlHjgS
ujFeofdS25tlh8CZ/dUQlyEdLvWuddIxTO32kqX9DZPItjS7p6HgvpEBhLB7kzdgb0+bTKe+HXNU
vQ4y0J+4spPQg+q+drOBIljN2Llwhg4dP9CwTfIL/T5i5Xvdke6VhpR7cCQ895gjh23mikOQR9ZW
S5d4p40GZNXADamQ4lbKJ+0qNkwcO+BstZa1R1fqxWExMRQP+HcJ+tURDG+sfXZ6k/QCmBMVPuwe
CDqlEQ84Z9wvhclHwvFvzGZYuGVyMXCr6UtZxc8ACTGWeF8W2/oyufpWtoQOsvgFS4a77qz0EBXy
Ra/8vWU39yMoHUvQO2LOWajnyZXZjO9xke96z/wMsuUY9+ktCXGuFZ1+X9rqIa453MShwf87dv8Y
u5mS/2bsrvL3vxItbL7ql7Eb1KdBxMn9fY/3c+w2/0Muw7fY/Fl0vasV33+3f2rlp1QEIHTsDn8R
LTD5WXxkVP8CdgzVEPEPXBWGz3f649jt4fJTNj/LdCCTKvfxr64K2y9Ew+dovvhd3Nx4glkHL4L3
QsumeZzHLHudDfpc/G7QT+PM4pw1eLJmrF2evGDs7hO9yndkPNMrl0z3xtO6hp1JnVAypJ/zPAlO
g7L/OMoIZE0dXz/4ur3GsgQMu5LTXmNonEwMEW2X0IworYybtl7uRDlGoKUJODYYC9+KJImPgLWo
BNA6sTaVUan1fclAPT8FJvT23Hqfo8Ijoou9qaNR9qpUlqemGqcQdk1EBF2/QFqrGJyyjLpWGmah
ebEVMFWogzprbHaLeqYK8SnBPti3XVmsCXrGanv2mkxxxPpsQD+WR1HxJKEVKjuYS0AAGk/NTWzE
L3o2A2Owmq0ty1sH6XCT6p2269x4IRHZW8ck0b1NbuVXBm3UB6hiwVpPIHNkeWlvBlg2e9cARMKZ
nR3rgpapqBpul4b+KZm3hDA1oria44B2ZhVixsFZWAz0w8xPR+u15C4daV3H2WdcWoJP69kb5aFO
2iNbzDec3VjMcnZBSGliY8QopnG9dKqCK9nwqGvWuZbp28g19sLWAOM0MfLxsCu6jF6wpZfvQCzF
aersT7afLD50WlELhzYkKv5omIjvyZXfEvy3Vtk07cwhfzK/B4+pskpXjYmPrTZuKhPWdtwCPuGB
JjV9N5nwdOAnbyL2SVRXZShPgx0TiGcI9MriqrWMT8ep+m3rjvdDgjDScqIpCoq9Kgr94sXBviyq
3WA512IKTnLUdwmNgpsljwl8Re7NHIntEqeXYkm7ldsR4Ke8g7bB+eQwgslMe/QtB/j4ZGNXQX1Z
+uitMJsPi8j0Okj8LyB3dnBOHuklVdsbSehXgiSg2G0uznXmUKQF6qn/YvtLExqWgxklqqbrYCwl
nwqyS9cGDnDahWaOWhlQe+KRv7mOgWwf/n0Y/3gYs5f4m4dx916mbf7et3+xB+Erfz6QqcP2eRrb
wLR+04N/PpAViMMFb/ubvvwH17WOTGxSysPd2eVJ+XMPYnmo0qwuCGjgdvMgdP2TB7KlQJh/fCD7
OlI2axiQmDwJ9T+5rjVfs7JmyqtLz9V1OSHzOuJs2LowN11XEMxL66ELi9w5O7K+6Xlr2jGu6MYs
HgYDqy7+tOvabF6h7R3ztrxLi3TdaWa1sgS4Dcc5yYmtRemNO8JWAMHb7DrRx2dqtz5RLibg/2ZL
9tOtbult2RoFxt9k4cETwaIxbWBzeSdOHdjIiZURHt+hND5MeAY4i+KczNrgU/7rWU16NDO3i3c0
idnLSscyDZRRWuSjIo1ND0QLefAITe1qj7Q7XQD2gxV1mKyiYhQ9PblxYl83Im1fxRixZBiswtwO
VOHR3NzTCEaWERdg4LRMw42DIfi7SpCV3rBs6u/qQfFdSYAp/tG7KjaYl8+ekhswke/87wIESoSM
oG94SpwQSqbgeDhx/MBhajt7JdEy6gWoUcIOqIpwvqF2aM1y6FA/BobtchixsJRrAAPX0+hcAnIZ
Kx/dpMlNthnpu9SqK+QTbVV1/alXUouH5uIr8aUJjLuh1w4uqgx4xrOPSmNadHdr4x430ZF9zj5G
zYmD8lyg7vQVFTqoPQELbBP1h/s3Tc3ePjLii4uxbVXn8j5HL/JKmoulvhvRkZqOu8M0HgT6UuFR
0YPeFPjtMVcCFItiE337W4m3ykahslCquE7vbInaUbXUHLQ3wIheARNwMfDXEqWrRAkkaXzxUcDA
QpxLOKUtytiC4XpAKbMxVfG75P7J/RolTYBialHWFsvZ9ihtwhE7CJJvpiO2PkqctLqPuEKaU7/6
2GN/h2aXFsbOR8MzlJTRo+r1JrGbWpwbF7sgql+3aI8OKmBOWBp5iuKmrDi06IR+6q8CdMMAl/9Q
5s8s8B4rPcHepG0j6Vxb6I3wA9ikDCwfZuN6RJEkZNOFARplhlYJ8uPImjJsEgQvtEwtna5GtM2q
xXjkz81n45l3QzDdNUoGjeLBufVQRlN3RCKN7NPsmOCLc10ciixHSU3NCvWdE3peOVN90V0HDAdv
qV7lc4dWC2l24gRqg69zPJ3JO8NYsK69NL6d6s5dT8Sy6V/y1lZdv3Vi5u1nuWspgcDVw7zVrOiN
PcppDKBj+0X/kLHbtDSLBj+7Q0epFnQvulhWVmF7oZZwBYeGUSKwGKfItu9sSvLQUCluERO/8UEE
N0Jqu9bGJsv9aS+TTMPkAX6/nowTzaU7ssihEyDDsNmiuoFVQ2oyQJFnvqGEEJqK3dL1yyGYzC2k
TwxaUXZt1dC8WFgWLn2FpgLp1MUXaRf8MhYN9GWLLTCa+WF1uCJz/wCuwlo3lQD3mtFQHS3IwRqE
vko3g9BM6AoXqbwu0pzlWqeFhVm9dJ4NetAshlArlnOvpL4s/UpSVKAFmjB5AGFNKhVSiuHOLc0n
WDNHzYn3vtbnW/RlyepvPDmBMSOH8QQotFyGgSz7tVlH/YpNWL0V/Xxd1ThEXSu9ZFn9OLg9Imky
PcSuw/vdQOxQrDg/u0Q5P5qkLlDoGvEYDEUZEkoJiJ1o4zX59/wqcdzs34vYb0oGx+TfnP08Of4K
wGXzVT/PfQ53PFKm9cM7BiPzv/oHzXrs0QLXNgwDGucvFzEF4DLReV3Q8BSM/AnARWqS5CGmMjVR
mP/k3Ifx+edzH+gmKC/c7abuYAnh9f16ERtMVhu1FswXTq12q2t5uWmJX2a4mDFCXCE5Tw47QYf2
FScq5WkcAfOQWXH8DPdig+6XJrpzPZWs5zCHlase2J5NXjDMZ6vdmkYXnMEWV3vyVPLWtBuOYLvT
rvCXOoScq5cAMFWoOfqXsmavZyTLbZFWfPbGKicpw+PSir3Lghc6LKtBrea8LEyrER6vz7zfp+xs
ysK8zSwtPwwF6J4CWrTeJM5e86ZpxfanPRhZX/KAdkuHMqnsjkbyzzGr7xECMdoj6zbAnw6Cndsx
DqiOW7pAXvTefSMieRfUfJfIyE6MTSM7c3TsqczX0RicdBRKVNx8RVnzrZ4tT0UvHwNRXwHkeIPj
uxOy4MUuoxniArm2HfJd/eicFul/XQJIX9Ah6tA3BxqkKlWFOtah1ne4WbHuB8jzWWJhDPArZnqS
alp9Kk35IlJOBI+KVVXsRouoM38sqXk20oZ/YAOWQtEMdWHV/k1r+dq8I5ePAp8ospiOtF+DYfaN
Bo94tTNpGNWDcWeyKOuNYEtT0Ofi++nG8QZKTxyQPI2nSp95SJZ9K0OM4JQs+aPEi8bTeDTtZwrV
Tr0GAKS25WaYTDTz+TPy3A3eCsVwjd+pOECVj6nrzZxy3dlLtTX0jurq3LyJmhn0mQtgSgqJnrO8
+zVwEwPpi7t1xUhjA6xCBTgM7OCEqG57vcCi6HJHVbXAS711oBGEiVXuesPFthg/w7IKABG0AL+6
nCGJJZ3PRg7SK7SmNIu7tTfTBuzlZUpddcudKo66TVoHT1jdbrIirtHi3ato9BuOf9pvOid9ZycQ
Qxyr3r2J/Ww70VrVatGyj7rKhgiXZRsZ07NRoMOvoJVJNJLYXpF8v/cij/dUZZl7syiIlNEh2Jfq
EKfEDeoUbmvWLRRMj7ew46istaJVORX+hoTZdeGaewLUPNvj4DKVbctV2UQaS5h2MVJj0jG6lTMi
7VOcdalIQbMyRY8fsy+96J9FYX3IebwRNmKbERefGFxxBMWF0vjPmPL1jfBx60ctLc7B3N5Y0vpK
uSUCpkz2Vj5/jCI4T2Z5T4eSCAtnAQzW6Rj9nHjrO0JspVoad5H72lY1eGzS20Jkn2IZ6v1sRrul
Hz1FkXZXrc0eIYgVFi3G6R6n+UaT2XM5Vs+km2kVG+z3Rhdvpdvjfu4qOBUUh6/Sikx35T+JRqMm
bjj6QaFv9MnZuAnAMiAjqDpUbAMZXIlAe+1qKslEdV01oKNGj5LZJPZeuoVRIYutYD9IAsttEcCs
MXjj1W1gX8ys8rV1rUJ+/16Jv1+JHU6R//ex+PCZvBd/YQtQX/XLscgiEeIjJxwH2R8oTMoWwNbS
xgOIEVHlg3/bT6L9c33miso1lZuvowgJv7sTg/9gccSErQff15P/DEzgGCrV9Qd7orImGurPooXB
VafsH45FQJKWTkOcfxkASLdrYZHCcnQMWqUGRTXeGDzFQkfpCNHQH0juGqsK8/DGGIJj52RuKBH4
t7GYH3ytqne94O1YGinEaLfYiF5+ic2Jt+zSwWXfkQnrtbWl9U8td5i7GZvezm1c0ov27HIueWu3
Numx9YbmxEHer5zYTEjSGB8d1CMdfNpejiWfa6GaRRUdCGHobjamW8QI97YmTIbte/TXel4SCvEh
zeb0xa7iHqfCHPCwLHhV/pQRA+u1vSGgSgtFu/H79KuBxY8zTwH+OmbYvasgRbFcCORYRKezqDQu
kSlg6vYl/x+hlr2H5W0l+eMXxVppMGLzp+ASWhSJBcQBqy3gLGDULgJYywS0pWs401hqvXc5PBdX
kV2qbnAQN8QdxbFqL3A1aDpN3y4IUA7AebeoqbcBFuP3qC7Nd36Mrz1KgDIBYBl8G/7BqZebZszm
NX6SZ6v2vlTAaCA4e5g7k6MBpgaT+kM8wK0ZGQMGfJINQBsdsA0XfCiOinUDs8jbybx6EWN+xGv4
OikuzgwgZ1KknL4LtinoHKcMPqVi6RiQuUHWEPBhVVCpFnCuQQrAk6Y4LjMF5TGh8/hQejIdXM+o
wD0QJSbC6sB8CoX1Wdr22YXzw200rIBAbrI4xQwfk8HFrPJUKTxQoUBBk+/G6xZ2EF1jISVjaMLp
oHcbXPJEfulooG+sv5FKRNaVnMzA9gUG0AvbzK8gJ+1tZBlfpZKgEyVGl5HJngR5OmahsXWVZL3U
lHRmvF13PbVbK9qX0bZTJXNL2zpoSviO2eaHll/xQUAVn1HHbVRyS8nlAS7TjSHabN27EL9K9CQw
S0XIZ1+GUknuKXwiN6GR18PJguTJZyQCz0wtHWJ9ZIBBVfL9iI4f0x5Mr/h0sVD4TZT+BMXfzXyi
wum2Nw/Y7aLxFPA9W7u7l8os4OIayAr32QuKC3YOjgRLzOsIh0FGVkxXjoOye/GUBaGaODcrIYNN
6wVNWGH1X3Wi3FaZPJkmQB6teKRQ9ZDV8XVXAM40cDuk5nxj4n6weyDPnjJENNN0KXKTy7yevyaY
JxwX94arj95B1N61GRTnFKNFrhwXvvJeVFmG11b5MWISERAwjfTQY9YwMW0YmDdy5eLwlZ/Dxdhh
e85z37QXUzk+qI4O1pNygVCU6awb5QzhuMtWDJG7mJUII+8yheAQ70Y3esaDW8KuwuFEJI9HD1+H
bDcxo/wPe+e1G8eSpetX2Zj7FNKbA8wAU57eS5RuEkWylN77fPrzBc3eNCWdUReBqQN0NtDoFsms
rMiIFSvW+k0MOTU6cMdyUwiUijqiIQe9CjNsECx4DUYgBKN42gJvUYG51B0KQJpAvrRhpc+itjRX
EbAYA3iMDkwm8NErh7ClMa2LGQpa30cgNa7QOCgFyqaoYwn7E+XSAICDKawAOKQXqsDmKIB0TKfB
1hTUTpHaLtqr6J0A6HEB9rR+dSI/In2wRAkE9se1kosYMFBvBdKhDzwoEDghue4PTYBDWI+ClSEl
FdT4eGqmXTSPBdJolP2TUWCPYLT2Mxxsf3qjew37hbO8onJ2Fpil3g8fytw48zLQTLLANdFuIZUX
WKcOi8RVDfzJEg3asRgvBoGMQuQzB6HiXfXYcTQCPAWIynGSlsZMeYidEGm04nvTQmCutM5scBfA
nQTbk1tU8Ra1J6/JNwNaE2C2bMBbJEM3KmCuEeYlymfBXG/1RQncC4j3UQD8K0REcoUJG64aI6VO
lJuXg6Xco356YnjE7F4ApIGTFUq5AQN0UgMzG4GjWAJ3Vg3NFNbz98xOZ24EtqKnjONGpMZA1mQP
gb+WSSATjwSmzQpABBgC59YP1jUeOCejbmyimkAZaGaGBqe1YnH3kxq4HGWXctJXzlmJ0eRSBVIX
M29J2SnsWqIV3KrShIV2URoogproviEO763ZO8t5FvgNgnQD1EvUSM5sW0LenDL5sqzK2yBSrgwE
16a0wm7wd/2OzJQ7KYkLtPIAgYEWVYggCmA4+05z7X5ZOuWC57srwwKFHjt7qFwqy06ITzkaf9QS
o9CYuVS12fNOOp2fdbl/VGM6OcGbYKpRTAU73Dy4okMkW8WDBj8hDB2Y15IbcSZwT5TcbNDsH/yF
k1Ef9WhVIccPHpxVVkxd2zj1LZlVlgfg4oJskTXeasAEYW4RJyWy905Kr4Zs9JeBFP5AefreIG/W
/CRZum60JI/gHbjtlWKgXFG0hYX4hXWAuDpbcapHaIFQZgMyDhdUUqozIYTgDcnPSI4yyq1IqViI
OVeSdyyjqQqLKf9pSyloEt353gkigVQkBncy15FvGJPck27lonEvSjiiRPPKcU/01l/6AVWkaUzx
/0BG67o4zeI4881JGcgexgx0CEbQEE7hH/87j37Ko0krf5NHN/G63HxsKxn81UseDQPRsdE50Oij
K08Z8UtbSUGYFB6PDfpUaCeQEb/k0Zr5BZ8Xmu8yJmAksQJ5+5JHG18EJAB9Hzg5iMDrym7lJT4Y
e0CUmvlvUADvy0s0EuSCFmlzio42wShofsCewWE3glkmt/FsKGMBWIQ3nLknAYWFmaF0iPyl7XlS
ZQeW40qTysB62WkLztvBEeCWk8GiPZ/hxSXL0UMLyAtEeAtJQsJRyO1UrOkLGI6y6U2TCifoXv5G
bPyhVvqtU6B6afsOeY9AwTvSuMBmV5oXnQ8hAHQ+Cn5kNxgCG3b6Ix+ym9YPEDCoKX24pvm1RMsq
7dNvtSN9c9PhyDetM5yXTtrIP66z4EeV2QlUOOsc5BxK4p6NkUNGDzsOzKWq4nqvZN+TQR5g+eGZ
nNUgaIq4W5H33QxqXs6RJ1voOvZMaoiYs96RDEWS/YAjODYXsXlc1fE1HtbR1IYqb0T2Jf4sDxxi
zwNE2qEWwJKQvbCeu113auctuID0ngLFd7dQz6osvdfRHZ42UenNm7QjWlvJOayLlRCQxZf+R6zC
8chjO591yMoTBrP7TnHAJUERTwaUTXNK7LMBXvaCxV5OIaAd4zaNpYp7nHr0sdmRFgMmZXLZUUpz
Vp5qXMII/xno4cZKymst8MCYjreJN0JLsHhIXpIjo+bYdShnqHKIe3hfmIjWVie+0/+k05LN6Nwt
M0w+pk0ZohMkq990z7jUa1Q07CC61j31Z6Oa7cEQiD83mmYBzfI2kZpVlfnUGw2THlATzDgohRy2
4u94wUULNW9OqenjGBxRn8Eu3JjIoA/MMVrIVh5OTFteFrWfCetsOOU5bw3pp24KoAWOCBlUMdoL
EwWPpVvlR4GbFIdjEtHapKVASWa8tGJj2aX0nwq9QLnXRXk/4hREcqJM7LEKZ+yIZCBWJ03tkUk8
VLzDRM29eVeOV5lX8qmpvfDcduHKzdVoa4dBB4LaUjlVVYXrzbwYge+2ie7rrL+1kWKhkpbfyUqG
1mXmInZN6bKTgxUQAHj+kr+SkYCfSRZmY7KcLc1BXioy2nXoqjor+pN4brf2JgmLYyB/mLtUeFrj
KHBgetiDqw3+7l6CjVFhYPhWgvWrOVaYdNIqDpJTuVTwrRnz8TzpTfVITyPSMvBG3kGsOr42i6Lu
G87qZTsvpcoPvjIMbn2m1sJC3QwMbWHit5JeW02Maope56OGwkRc+VN4wtY5m2QAnqII/HOt6L3v
QZPPq5gpNNF93T3NcdUOa/Ipu+sBuXkr3yIL8wtZQnXL6C/kWELpuAgQVbKAa0yweB1nHJ6q4gC+
kEslKOjrYAosKkaze8AkqYsvMALuiyWlVPU26jj8nMRpLshYsa/MetO6lz30KzibDiVKxJ2bOUKj
XDeKOdKZlnct11ZcfVcxKgdlqY30Egs5Md0fkRH4+omMsIXEObxv8n93Y566MYb2++0yi5sk3bZh
8nd/b5iOkAdSAL/R9HhilrxsmDBmIYEAmQOK8W7DtFHR1ADFKajU8iuii/OyYSKjyT+wadKocRya
Nn+yYZqG6Lf8U3iyxYZMawf0sOrouuj+vC08Ka3BtMiS5Gw0/EMAfhO9RV+5Zy2NaZihKAE+FiXw
Ez2PowWiSiu5UZZBXp/59PSp0eKToELOkKaNphx2Vb6OGv27WwGTSuuTflTo6+ur0TdLNpZsmPqW
9x3jywtQpNHcTJI1QqHmVEeieuLGzMyRdUCvBvfyOGKTsJMa1K7mHzXUZI9TLTm3fTYKkl55Mlrg
dZ3ozgTsqbkKp3Okc0p6prkT3nZKKyD2JPMGTEC1gVARwZ48gxrxgOE2zBvKDzAHLZP6RaQcAMc9
rmvrQHOTa23oN4M+nsAfvIvd6ppaQIbMjbfMzObINIgTWWueGZl1GNcxmYJv3GiSNENQ4Efnm4uq
JZCW4N4mnWOf605JexgKbRedhh31a0lxp43RUbKxOJUqpfTNSWhSZVTwZSM8piOBa1c+HFFyYe83
MDtJolFZ+KaTLKTQ+dGzhxptc6zDRznNiws50xZJFMw5hZ1hmr1otJ5SHHLlIfagWqmsNcWfBrF0
2+ruN46SC7NpyESoxVNvT+6CobkBnAaYboRlqfTh6YDS6ARVpgu5d/tZFZnJ10I/MIfKrie1DRKO
wlZ76skwmjvqZsBPuunQtFc+EsH8b0QLTdgmdZF+bXgMF2DhNAokXF66bGkEMmNjK3S4h6Oi5T2E
IQYvoWzHs2ywgTkP2mVgA/bv3Ae9YFcMTPNaz8xLidLtFAG/YwcfGeiBlg9phwILp/JLyXAPjLDW
sWQFr9wX4bXtpvc2WPjUTS4SSk9hWn71HDIwUzU6yCCRucpdpYNUyC7JkdybctJeaLqw5bBcVLeC
CM/JZjZSuDfGaCnr7SpSETNOmx6YOawaIEb5TDdhQ7J532boojsKgHFkeJCUjqsAOxqSxrRXMLis
yp7mvEX5tR8yyipOfoJb100xRpdu3thTUE+UggJJgUqBxUjSUDWNy+xIxhOUmky0aOzqNjCtY6x1
L9M2C6ZW4GB6rozjMknR3UlRgV84Q8rM1NQfeVpc2S0v3ui82QB4RW5cLF4kZaa1BnRn+7Lp3FWn
UZFVXPfAIuOjbck5Gnbcoqf1OS2pQYK6jKpJ3pGFhQXcYmkc1p42otDNuW4aM6KTGo+JupVmckQh
egDrowggBIeDJfTXZD5ElwCm8BGCPOmNayka1nVrXnt9ex3FSA729jnseQoJHkCaToUFqwXS14GT
Ip6l1lw4b/hDax7ikUImKPKlxoAGkErDmvc6HNKom2c5EEV0SLSZKukbta8w5JNOerlO5xCQ0zld
tDXgkNWQ18aUWvjA66LbBMwdTd8yw36p6K4Sq8vowNXK0gVqKgCOPE+LY1PXMAP5959qTKo0GLEL
3kTUqWPpsmjkTZUwJXQzCQ4zy7rJy+K0itEDQkNuk+fgNRE6q8LehAEW63MSYHVhKlQ+5bE8dhUA
oanO22bEj7AwSGGbMJuaOv2uo/24yCRisBfY6Lu1pY4ygLdy4TOtMgVTQBPDYIfQqEeQpGDggs3Q
T8baP6uEawttd3s2BNoVcqXdxNOz86KSlwCgr/ORWJkpV4pXUAkc6cTJmbX2QMjmpg+STQ9mXSDj
1Cg3N2hSKVM0eYXdAKyY0mBSR5X7vTXH72VdXPqV7q28WKKRqjSC6o9bQ91c5Tbac2XE+9UkGr9a
2U07y4XYlZR3YRkTKqCM+84ZgW4JfyGZqHp1DUv6a6TW38oCgngcNd90h4aponbKTJZV/4jstUWS
0Tem6DUL++YCur6iHZRVeJWa2nLMAUe5kfK9i6DTOPRpDXyVprYTqRMtN0ns1K+tedFVh6N72wVH
uq9dpCTvtmF+DSm0BlrCq0nrJVJheD2Bcs1jpVrJoblRCPRzpXfO28BkaeuSu5LwDyDzHYN5bFEm
D3R9hlr+cZXHIKbUlYVsDUdPRNQH5Qqe/5GfUU6Baf3NqmH8yEV9WNSnAkJXG+jKeZZ3jnszYDb8
M5cqFk9Towy+KcO4jOMyPE5xHF2gPXriDJa0aHGCWWh1H05GRdNom2KVYLjJvMu9Q0P4Y1X4BwFW
yDyngDRCE5j648YOEv+kS2v0+PF5MKxvYQZDEcFQ0Gh1MQ6nii8HU7/iPdOqNmGO05+GrZYRvw7d
enTOFK2EGDdShXSBDB6ge3UaUwSz15C7aI70aM35OZ5obB7hgmPvIjGUE0CdB0SjQ5MDd2TruDXU
GNZIpY7rkpUTIdrCm+iVtPIL/VTXK2+V+vJGG+QNqrp3bDmwUZHbHGRpltjWTAW0rdU8I0DpbIaT
4X0fYJ1oeD6AglClLUydOPXMW79P2iWA/nDeUfMqsOyeqCpGRq1Eym2ZR55ADt7B6FN09xImzUqS
OhWtAA7XOcymoEmUKRSpG4afXVyJN3kfHraqZy1yEJRlZS5Dm9a4oVmYpfYyRyn8fFCthQSuFN1t
WuP+1MdXhj7MzNi4Qf6QkwQycJz1DjrdXJRBDHlISWBO9QulztG50+8Jruc1QOop8rX0nMziElnE
BQEOuXtdMKWUCq4koDJrVFapCYIf4d8zSpro57k+sgNONMzLHvMp4n6MhPmIpYSJUl2P+EBuongb
ZOp6RNQVy6NuaQUhwdk2T0lyb8syP+6t2JpmiTRX0Jg1Ovs7W8ui7dTLsmiPWLkrQMEyama+6HkJ
aiBwPIWtNlKOA7c+cuPsG9XC286NhIuD9a1S+5OM0w/SJA7GFRLoQMfwvlKOSBG8iw/G4LDUy5Pe
8xZ5p9KwCewL38jZoyXzpsnbk7FHETgN7mIdE9VIoaCoDcdtbzeroRxoOfXmSaLggWsmBELJX8pG
gEu1oa+iTD3u5PGoKTUN829Aeia24mGXJOeaK4/IWtrSROpg8mHMgbySOE12uqpNjCQdpnll6fCt
y1VFIwyoTnhndeQwdt+cW3mlLZ0SgxvPqarjpMDevdC6ozgEtAKoA3qDKy2dR2Sv+ojyBeUH4tes
pUNTgIBNPztwHnHB8SNGeHzEC/+7evlUvfytxNpXVAGachsM4LW2ms3pSVURSpMVxIpewwAey5eO
AWcB4TWZutQ/5Uv9CzqaWEbqOgpC+M68ggFoX9jMVY5wmmzRvudHf0BTensWM+RHXyfcLrGnVAyH
Yvjbs1gvI5pVlinFS1GnY8l7QJECKnyvjqnnT4e7v9ImOc9wVamESMIHtIFD9wLeqqKBe8CeWzzI
K41ZJa7bwgz1nMzQcG4iH4NqpM7jYVwBUACEpdVpox9U9C2uUFCEa26iMhnanN3yLLQPsfJxjhRc
yLARKo3+3Cdp14aMU5I5eLjMtFFYaT9a6mr2eecWbbsIFUBLLdKCExOZ17MO+VRlHuR5ps6zLm7a
qS15qLcFlZvScBlQcGYByrMqvTdivcPeMY/PcCeA6a7kUTwsMrfXUNSmaxNXiNbSXMq0M7lVjOi4
jcOzso6wtszTfuo755oib4wqf0jZlNxKvraACuFdtzQkE0AafPUJnlBzBxd6J4E1nRy4AyI3WgSh
oCqVWTwUP308YMZcP1XU/GejtVfIrLPj6mX43YowX3S8qDmRrLxEz8YwD+MAag7iL3gCqhXpqqT9
1MMqXekuaiVpXeTCOhAFs1gycDixT2DUn1Yp2GA6SPRyyJ2XdWrdDIp0G6to1WShjxpKXXuqNWFD
95kWbPhAL3G90sUtanQ5I7O8KfUaMwfTTv1LfO+QIoB7M3d6ub/V42BgFFVQTlWEposulfDdjfGy
MGv70JfQevr9HFNZZK/qCo9zWehsgGmg8C+aBW+nWDGUhechzHrKBrSmNadcjVeIu02Kab1KAfNP
/Jk3T5bWHB7dxDjUF9oc9PI0+n/M9Uf1/lf1DZ2lDvOPjgSWszItgXfEP6MvuwZtn+yU1P4Q26d+
GnmFy7mGbMS2ImdeYFG+KFWT+iIquCeeVbqHCu/IjAqkGazh1HHh4Nnq+KPuM2dRqdii1nW+cO3x
B/bIBtURXJyAbn+DmID1UVkg+V2B66a3CSvYp9uMeeIclY4lIj/T0EWJB98PSFnOatRAqqjqUtcN
FKUQB6WWj6NYkq5CtB4y2K8TRMfmXecdqy6ErAiZphm67rDBwmrGIj7t6LcuCy+M2By9Gw/cKzzb
E45WspCGWsoRE81yCoj+cnj1+1f8NoggT+lgZydbJvGS+pHmvAsizqh2+Hm65ancJuGSQIBvZMne
jj3cHLtNjK4Kj3D9dz9qS+RSKaS9mlUfP/Pd25T61ipbTExOC0/7brhkWQ0wz7GyVnrSnGQFhAPP
pJpiFWhWx7AqDD0djscSHwRbMo6zwL6VgwrkcCX9pHRKOlecqJl5IbvjveEVP5IuKNA5KvKjxwf/
t3igqCf+/QZn63r9LM5zijPIf/7Hdwj1W/qJ/M1LeRRzENYlLh6KQ7tOFxXXv8uj8IbZnNDqgVNM
bKIL+YzL0+wvDlA+NAEVm+hNhPmnPGqDZEfgz6aUCZSOvuKfbMhA795MOMIYwCCTWqwQeMch7b1c
T112YRqrYX+W13QG0SLAOqO8rlWMw0JhUzBifHaNKXtMYyFJriphZyDJSrNqRleZKmiOAVvG9aDQ
tVMY0vKcFgbyEFa40ZBBndbCLsEv2jun6bA6GITbsjBVcDiST5MEGxGncbNrHe+FUqYVUOPG0KJ/
eQZmmJOJsGpQPAskMuZJcw9D2lmlKDeJsHaIYxRcQqIDXLADDfcHr8AGoheGEHDSgrNYmESQBv2Q
sBRdOYhsIxAc3BTCUsIX5hKc+popRYgeRFqsngUKZkUUVpwVuhmAVDrVBPMsgK0C4oqMsLNCmBuH
BvCvGUKgHDWxRCZNOW5Az0VgZTsBmq1BzzoCRmuAp5UbHRF0T56rIG0jELegTLBSVk4yAcWVBSiX
mivWiJH/wwCv25sOzD0QvF4RfRMqBXOk1OAOg/KtBdxXE8BfLVVwX/G8VTSy00smIGQBE+5T89As
OT7VI+U11FGxdBWoYt/F2SgFaMyLDqFL51eZ5J7qQJFt6kaasLfUASm7gJXRp2mPUTVBa63Gl6QA
0ozSAqALdzw1Ml5pnfczeFtAwLQ7VSthi0X3kpsTxX1M4gBMmwI5DWAE+2SBpubUeWDgmgPGAZNM
vDXPkKgCw57owB7N40ygsjOBz6aq+D33xgvs1REEAsEtCSx3K1DdzI9+amLYaZ9xcA61O1k1jeHA
ok86Rz7uSHL1ERwUqiiz2AARgwD9RqqiBcJn+kSRhsWjqq6LCzVQp/iwDWkZWqjeIcmtHON6gIKg
EEVxZYUd27CD5WBEsN4hoVXSyOEQt4Jpa5fpVPei+0KlHIem7oBW39DMsbta0DOntxnhrA2v1T2Q
hqrgTIZVescCn8rMVNTtL+M07ZnZ+kFvIy4HzU2+Tn0XLUhdXylZihIW1s7sZGYyU91uOupyOtEG
dzMM6irAdOcgMozrsnaBOqb11Iq0qWU5p1QIYw7chonkYiNPrNg8kOxSP6MOA34UvcIpNiPmAtWj
qzYSjIjaOIYdBR8qHZypLBmHZdwEh8qQHRV6rBwUGfUxr3agdN9Winsmdd6iG+E00DlHvasM4Nsn
5bIaAO4AzpnZRXznx8bCznKWOsskF9R0UPk/crjqvSCtR5Jlz2JBZPc7KO2uILdTc/MOqQ3icmK7
p20h4UzjwG/AWxGEm6CokCIgqddfDAqI86HIaYkPoz1pBLGe+hLn1yrTl4PnQrsXBPy8SI88Qckf
BDkf+ajxsAgVaakL6n4GUcaUAC2NsPol2bvNpUQ7V0PKAEQ/xKMC3Zn6qAFIYAQ8IQ9gohNQWKH3
s0I5wPFZxhcWagLjo65A6giNgX/vn09nWjac3+yfzd22Ay1/82r/ZPvUwQaAoFEgdb3aPxXOuqaM
5C6dROA1r/ZPh5+w2YLIUfkV67VYOFur2FQdfiQ0yP8M146W74f900LYwxToH2ESJYhlr0+acV3W
cp/18lkN9Qo8KM6xMKeOVKmhGoSpEuIR5Kw4V8D6iNxqkWWBMq2hdJWZgdqXYHkx+4zjUjC/WBHC
I8JctpDCYrvPT8pRgugJTru275UWIw289lC6QH51xCfbwS+bOqM8y4GBNBWQtNQRWOBOv+lw2dYD
P73mlIIya57fozJ9lMGnKhVd0I7Q0jJx646FbXdWYeCN4+yqF5beHvKb6YWs2Usl1PVzSYO5Y3bO
vO5kd5p0kotRfAnQMqbo59Zrq/Hu3cTuFuypKGIPeXGASBeGeZl0WeO5ce7UpQIgHs5krAFMcfFD
mLkI5U6BfGIY4g50NnXoU472UAUmJTI41DUOunBWbwNVu64zJ59JobrJ8RKau6N3UwKcCFj1DWJj
E5KBlVs4D8ThdBL6/ipyUNOTw5PKVCnxeUfh6FwrCL5OjLHOUK+Qr3OLYurIS6h9GFUYdqZTtTbW
Q1NhPmVVtzbewFSehQou2JROl8+BWSoz3w0uAqdVEDrr7O5wGORyCt/0p1yy05uCLx0ctUPmHWhh
ddmYDnhNg3bgWCbV1DIh8oAfZ3OMcQmM0AWTpAatPegXJcI+cRWtbEg28yCt7DNHzYdlnNp4FZrh
gZIWzolXlRu1gLDnjJZ3ITURDeLAwBm9RWV2UH/GqFqAHDSR8/BD1TmlyIpHaIp5mRsZHowr2mwp
eItDD71jeG7gS2L7rJMyQN0m3WZvyH6CgabirgCrKtXTPMtTmt4jJ/OAc5rSZCkyiNIy7FuOcErz
w8z9r1EUNdOyAWeu+nTUVZ9xQ5CeKA5S364QlwkGmnDZXULxEDIvVMZUulDs/Cct8XnjA4Ivenua
crqfynWJyH5cHORmctjXxlz3tLNBic4AH/VTJ3agvWfhN7lzb4wEEw4Qk9nUl6ybsvYMHls9dnPq
EZJN+xc8sFBIlS+ToT6U2byKKLwMAuzcmvh7J5d36NhkUyVCdHKo2lO7jJpZaXKMz+T0BCqmzMFK
OoRqoC9NmQNxg/HZLEXgWi6Ue87K2qyqh2+5pjaTVsnRdxJN8xrP3qFvDyJ3lGGty6dd3N35glNo
CnZhagYFKLv8VoP26ZAJmxARQ8FItKEm1nK3sEpwdpJgLSJTkiHE0hz1gtE4CG5jOhgPNWTHrkA3
M4H+WLilCv0SRiRdxmUIRdKGKklSfaNAnVSk6oLnI3nTjYkDubIULEseeOaNbYfvWnRiCyYmBnSX
laP9GARH09P9eIqAfn9IM1M6oIeCzw+kzhZyp95IGx+ypy1YnzkGapgfCy6oK1iho+CHJtSVSxc4
Qii4owkk0lCmGG9DvwUOViF4k8E1TQTrdLDhn9JvgLAiWGyCm+pCqIT4iYCDKssIH8v3aIKG0/9f
9tnno7Q4Qs4f5V0vmk05XG4q4FfVS01V/PSxqnmd/Wu/9PsbPZ9dr4ecs+v6IQlSDLHqMriv2Tsp
L78RnRWKJW927scHe3zq394nXnOf5oFPELBY4D8Gxx7n6fqPvzDR9p5/TNENkpkNSN9Wnk7Zr8bo
V6Pw+y/4NJy//53fPvyHQWBgdhwEUMOw1XVO8U9jwLC+GQRRIYC2pyjCiITP2r9BEOnTjoMAqtoi
HzPI1h6vD4OgfgEGRhLnPM26fRsE8e4+YRDouwAOJzd9vKjqvJ0J6hcVqJwlVIn+9yfC64iArNu/
8vX5fv8EA+sLJS1SCQVTQnEx2998e4IBMEI6Q5TKHq99GIQtcVF/z9X987iIhziaokz2X8dF9Lg1
0b7a66EQp6EdAwP9SgezJeVX0VFsEVwoaTw1R/ctMFBBfd+1/VfmA80sCNDYWz1e76Mjg0BLF+uZ
5z15/wZB3n0Q+I5wzQHqUi8XF0vvTXxQ1S8yg4RA294mC08b+H3/f7xN9ncq90cZE9V90Q2gd/3+
28usA9HYR+lFXPuaK2jv6z1/vhoskkKZcg9SAS/R7/1EIHyCIhCae//7++SWLUKmy7NzXARVrwLK
gFQmrg+rAWy9LdaL/jTg+xcShATEjoOgf5ENVdVo8v8iLtpfVHpXuiWEdLn2dVHI75uIf74okAum
f+ggMLx9KIiOVE9sA8zPni4KhSm843wwhTukodIs3R4ZFBsuimOi37OvgyDvHB6xcrEE5EQV00Fc
H04ROhuprnGKeBrw/YsMws5mt5mAcA0JIVI34Nwerw/hUUUdVpGh4u5reBSYtd0GAZSApYL7UZ+P
k+KI9najJGcQbGFA3o+DtK/h8QMN7c/Do2BtC4KX/ovDJVQ0zVYVXJOe5t7+LQqhDb/jfKDSBJxE
ccScfzsR2BxoNlmaYLrzIfv37Z9fyw6pM3GRly948c9n5g+DQMwAsYdh7b5OAWXn4zRxUbRJdRC7
76eA/gUQK+oFYHgfrz2dCM/p7A4TgbAIGhNsBZDll7D3fjUAPYYZur+p8+4HSZXQj68bkhNPg8Cc
fzMIivHFoDKPUNt+7w3qzmsCYXf6/ICMICdvnQ9UV5CMtQClo60hrj1dGs9xa5elYXzREACkZPX0
0rfVYMUxA5zFU3ayfxuFtnPuSFfKNogQqvZ8qvyQNrGTyOASlf2ND7tX28wvvGOaDS9H6/eDIKrx
/Iym1L7OhOee4S7LwfnCQYnaAVW1x2vLKQLpHgU7y309RQgRoh2zRgP/TxVONnLLW8OjUHEgXNCf
3NvA+PR2dpgJQgiVFgSA6qcxEAW8N9ulGAR+LGxF9nV32H0mmOyDREW2yl/OBJQ02EyfG8L7tzs8
lzx2mAlkC6DrHRMpgKdkgGF9PxOExjwlR3RFuPb1UP2MJthlKFB2EYU2y3rOIfmqb4cCciD8GA0E
5p4uCsHa2jE8itOEUG97ng4fym2iN4esMXjSfQ2PQlxnx0Ewv+C09MgBfYoMH8IjUFyEcsDa7m2B
Yec9Qpwr8YXCeuIXRypK8Byuya7tvR2Ep3W6W0xQsRekV/28R2yZCShS6pRZ9jVl0p/ezi6DwEZp
YUKCjcgv9gha1cQEgOv7OggCR79jTNCoMFBmsc1f4NpQ0sR/jSHY2y3yuRq620zQNKjzvOmnwPh+
i3xEbtCOUp5r3HuYMj1tW7sMgv2F7U/MhedB2BYThPgppk5P155mC9rutSZKSfBNaMk8I7sIuG9T
JllYFFGl1vYVxCI8IHaODAhMGHBKn9bExyoTObag5ijWvqZM2u57hE2HEmgbp+qnOf9hJoh+hfgP
9Thx7es5Qts9hab1AHAL1tVzmeV9fGCnoHcnE0P2NTDsnkFTj0cE2qAm/y4i8OUVGtmMznM5ck/H
QAhc7BYXRHOKoiOj8Jw2fVgSKsGRBiYYwD0dBG33BJpONSOgC3u4x+v9YoAOoDrUZR3nKcPe26HY
PW94bMzAm3yZ+VvmA0drahD6vg7C84PtkjyxFwJgowL9q3qT8kXkj5yo9jVjMHY/WotKk0IzkirK
48X2+zZtgiNDEd6mwrCnkUG4au0WHjXgG7CZadA/JQTbatD8EN6AEDXm2ttFsfNuKTBumpAJe2HK
EGvezgcVgjf9a8rR+zofdt8phEb2oxX586L4sFM85hRQzwVYnLm3f2dLffcqA2rgOjbjhvmrFp0C
K0CAgBHC2c9B+KAg9OfoNkgyuMqK3Oj9OmCh4ESD7MDeBoPd0wQ2ByQNwcI/n6nfZ9BkTKhaA3ra
22rbB3vHP54C5M4gdUzg8L+gjIniM4QxeKRPeeUfzIf/Qdz4m6A89YP44ZGajJPbNgbzr37hhZP7
8eeviMePNMM3vymoyk8f/sTMFf//v94ylx/j3qufvsTBx096/vvnr/jxw9982Mv3evnHVbAp1+U9
QgSP1OjnB31S/vrvGAGwh/VrkiRtAU3UQl/+bTvN+u8k4fd3x7hq83KjgwehcSlrYtt/+bddbp6s
H7Ly5Uavbs6c+WccPxLE/0dPPhEW3i/3eXVvMrqd7z1dx+uWV1K93OvV/dkcd78/fhfVh1fKqLO/
fsLN07pc/zXNqnrbRxDZd/6I2Sb+6zQrt44/OfrO95/Hf82yksnzcq9X40+6s/P9FyXukNtuTsTf
+ebLeJOmL/d59eCfsVxXTXKXxQ/1x9sLSO/Oj36Q5JsyWMcvt/rn6ZXPWLIH6bBl0AVdZ+cnP9qU
W8ZcABl3v3WQelsCgfIZa/V4HW2JYQJwtvNjH6+rarNtTD5jgR5n1V//nXqbeLNtZD5jiZ6sHwjA
L+PwaiJ+xhI9WZfBtqH5jCUq7o2twZZHFwjjnV/rySZ9yO6DbdFLAHE+4f7l/ebh5Ub/jLsAPO1+
84xnf7nPq3t/xjI9ybaOyWesUm5db8rNsOXJP2Olnq7zbbPlM9bp6aZdf8wdDdzZX77LDundWbkm
BLzc6NXr/Iwleh6v7zdbckeBDd15Hp7jxLAtuRN92Z1vfhmQOlbBw5aRES3Pne9/tb4vORKk9Za9
VLQTP+ED0r8mGzwHt33AZyzVq7X4gDJdlw9bA5noBH7Kt5gFG2/bl/iMVSu+xIIVcB9U99s+4zOW
r/iMw2xdNNt2K9Ei+pRROm6C6q+zu6DKt32Pz1jM4nucrOvNtvt/xnrm/uhlT9bl3XpbziCEdD5j
pPiMKca+W4K1aM981ieUzfhys39iqsCS7f4B/nrrmVDQpHe/OTWMrUPzKYs5qKJgyJqX53w1MJ+y
lrN4vS17ELyc3QeGxCTZNmc+Zf3Wa8Se43VTvTzpq6H5lKUryixb9mFhqbLz0Fxv/PW2oRFlzN1v
To6PzuDLnf4ZFwEw2P3uv7P4fqzi7ZBZXTe/NUTd9fa/N/jZ9e6/sSrY+da/VnH+/a23lWX/7mN9
LNa+qDtu+7O3tWjxG/fxZl3+1/8FAAD//w==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 live ?</cx:v>
        </cx:txData>
      </cx:tx>
      <cx:txPr>
        <a:bodyPr spcFirstLastPara="1" vertOverflow="ellipsis" horzOverflow="overflow" wrap="square" lIns="0" tIns="0" rIns="0" bIns="0" anchor="ctr" anchorCtr="1"/>
        <a:lstStyle/>
        <a:p>
          <a:pPr algn="ctr" rtl="0">
            <a:defRPr/>
          </a:pPr>
          <a:r>
            <a:rPr lang="en-US" sz="1400" b="1" i="1" u="none" strike="noStrike" baseline="0">
              <a:solidFill>
                <a:schemeClr val="accent4">
                  <a:lumMod val="50000"/>
                </a:schemeClr>
              </a:solidFill>
              <a:latin typeface="Aptos Narrow" panose="02110004020202020204"/>
            </a:rPr>
            <a:t>Where do our customer live ?</a:t>
          </a:r>
        </a:p>
      </cx:txPr>
    </cx:title>
    <cx:plotArea>
      <cx:plotAreaRegion>
        <cx:plotSurface>
          <cx:spPr>
            <a:solidFill>
              <a:schemeClr val="bg1"/>
            </a:solidFill>
          </cx:spPr>
        </cx:plotSurface>
        <cx:series layoutId="regionMap" uniqueId="{0F058F77-43F6-468D-9232-11CA509BAD09}">
          <cx:dataLabels>
            <cx:visibility seriesName="0" categoryName="0" value="1"/>
          </cx:dataLabels>
          <cx:dataId val="0"/>
          <cx:layoutPr>
            <cx:geography cultureLanguage="en-US" cultureRegion="IN" attribution="Powered by Bing">
              <cx:geoCache provider="{E9337A44-BEBE-4D9F-B70C-5C5E7DAFC167}">
                <cx:binary>3H1Zc9tIsvVfcfj5Ql2FWjExPRFdAElRuyV5fUHQkgwU9n379TcpyR4RpNzQ9zUfLtk902GTWUjU
qSXzZFbWv++6f91FD6viXRdHSfmvu+7P935VZf/644/yzn+IV+VRrO+KtEx/VEd3afxH+uOHvnv4
475YtTrx/jARpn/c+auieuje/+ff0Jr3kJ6ld6tKp8mH+qHorx/KOqrK33y386t3q/tYJ44uq0Lf
VfjP9/Yq0j/SItGr95vfmX++v0mjVZK+s9M6qfr37x6SSlf9bZ89/Pl+oxnz/bs/xk/b0uxdBMpX
9T0IE3lkMkylEAQ9fvD7d1GaeM9fG9g0jxC1JEOU/3zsxSoGyekaPeqzur8vHsoSXuzxv1vyG28B
ffHX3/bB3bov1r3vARB/vv+Y6Orh/t1NtaoeyvfvdJk+dlbR2+n6RT/ePPbMH5v4/effo7+Avhr9
zQuIxx37d19tovg3CP8VQbfer/YAsTiSiEpTcmI9fsQ2xKYwqeAweJ4G1hPCb9BoN8TjBiZgPBY5
MJDtNKrLfWBsHZnIMgnH7GkaA5Rb0xhJwi3KNkGertFujEfyEyAeSRwYwp9gBtXFPiCmR6YECBER
T9NYjiDGMAYsghFH8M3LefwGlXZjPG5gAshjkQND+Swt3/2VeA/RQ7mHBZseIWaaRFL2CtKwaVNC
qMDi5579Eu83Krcb812NTMB9l9iBYf9XlOnkYQ+wyyNuEQZLOH0FdutIwIcxQTcn+HSNdmM9kp8A
80jiwBB2HqJ3FykY/P88yBQfCUaFMLF8AnnLGINlHlECxtjIGnuTUrtx3m5iAtTbQgeGtp2CG7He
sMtqH9u2PEJrrMlr2zY4WJhQyQQebdtv1Ws35jtbmQD7TrkDQ/6veHWfFv/8JAenGjZnjkwJC/Wm
GY5gCTfBTEPWrp17ukK7wR7JT4B5JHFgAN+sknfqoUhWxb3eC3tCjzCY5FiSZ/aEjPDGAmxyiixh
be7Yb1dsN+CvtDMB+FckD2wAqLraxy5OrCOGTULRa6aaiY8YoxxjE/i0l7b5ZIV2470pPgHmTYED
Q/e2Bjol3ostLo4sCTOX0qd1Gm3RouiISBNjacKUfwnwW3TajfFWCxNg3pI5MKRv/NVerDOKjsCb
4kSSJ08a7eDNiIQ1Xppj+nuyRrtRHr3RBIxHEgeGMAQ/Vs1DsdoHnyKPsMVNbIrXQEZHXK7p03GM
401K7cZ5u4kJUG8LHRjat3W0KvbgXhN+BKYYNtGzfb21bj+SpFJKzLbW7aka7cZ59EYTQB5JHBjC
YF+CO61WxffVnthwaiLJhYWfeBQwsDc8LQCaW5JQDDGPx8/mNv1m9XajvruZCeDvFjywMTCL3jlp
AT72XlxsYVqcmc8xTWuMvwmetmVBZJvxXZ72m1Tbjf12ExNw3xY6MMzPV4XO0r3EOMURldQUTMLy
vv6MbXKY8hanQpoC7Zryb9FsN+JbLUwAfEvmwPCeQ1bHXqgVfiQI5ozh1xd4IRn8g0cR7eka7UZ5
JD8B45HEgSG8iB6SZA8rOHAoJmLYWntWG1v3mhG3JBaEjUIgkzXZDeym+ARcNwUODNabNTW2D/Lb
gniGaYK79Txxx3kKwI3xdc4ZtcYu9WSNduM7eqMJAI8kDgzh8/Q+vfvnJy6EMIEVs5iFny3rrfkL
pAo1gRrFIx9rskK78d0UnwDvpsCBoXtcx9/T6L7aA8BgOksOE3R7ZYZ4B8cEQTLhLgvrLSrthnir
hQkob8kcGNBf02g/DhQXgkJwCsynze0XUhQE5BYB0ps+81RFdkO7IT0B1o3fHxikyzh7KPQq+ufn
LjHB7TUlo5AI+PjZikiyIwZWNcMQn15/Rhi/RbPdOG+1MAHrLZkDw/sUDhLsg9gGthNIbZP+TBQc
kyBrEgy+A1MM0oxeRqkmK7Qb403xCQBvChwYusuk38cCzSFt3wQXCRbpn5vtxjqN12ENi3NgszfB
narPbmw3pCdAu/H7A0P2FHJH9rBGsyMiHpMHnpbgXUTWOmcM3KjxtJ2oz25kN95mArIbvz8wZM9W
4T7CTxYcliKQlQ0JXo+fHeFkCzPMpRj5vlP12Y3shvQEZDd+f3DIluXDHmYtpApQSM2W1jP7jMaW
FUQcOHxNISi1uR6fraZq9Bq6G/KT8N2QODCEz1f3kCiwh3WZQ/zABNZRPB+iGgcYAGHEIVeX4lE6
33SNdiM8kp+A8Eji4BAu9B6mMIGsLkEZwPscNdyiJs0jBtmcEFUemVTrKM4khV7D96X4JHhfChwY
uhD7hqxcOK67J6uZAbsM03i31QzsM0UmAnprtAO/TavdOO9oYwLYO6QODPHzhwSo6P2kYEO4Ye0g
CfFMeGwt2gQO1AhOiDXalt+k1G68t5uYAPe20IGhDUfwE11Gq3oflIcAIwtBaJC/ZmHjI4TWpyPF
aAl/m1a78d7RxgTAd0gdGOLnD8Ud1F6w//HqFOKIIG5xyZ/jDVsbNhjlEltwEJY++lsjNnO6Xrvx
HslPwHokcWA4X2tI0S31/T5cZwIZ94gR8syJbJMiMBYggReozJHx/SalduO83cQEqLeFDgzt83Qv
iT3rijMMAozPU3q9LW/ymlDHwJTSAhZl04+eqs9ujDekJ8C78fvDQxZyPx76PazY/IgLCCwS9Jxr
v8WSQPYH43DkYlxtBvp7sk6vIrzZwjSUN2UODOmLVbYPpgTmsAVxJwgsPfGcWyibUKxkHVuWoxSu
qfrsRnhDegK6G78/MGTXXuNZrct3l991me3DlWaAockxMJpPIG95VkB4wm4NhxxHC/X/g2q78X6t
oQnQvyZ6YKPg4qFZ7aVoGGzC3BRQbuiZC92a4eBnwdCALK8RjzJdo92Yj+QnQD2SODCEL4sVFBra
w05NIFMEzkdI/lq5Gagbx6BQAR/niEzXaDfCI/kJCI8kDgzhq2h1t5dMXHkEVvQa4+dDzLvmsFhn
Cpm/uNKXSSLT9dqN80h+As4jiQPD+UaXoe7T+p+fy+uqQgSDsfWzxCNsyBs+FaTUc+DMGISvNn2q
t+i0G+WtFibgvCVzaEg/Hn604UTpPoxvIEKgvAykGLxGiuGj9QlX2JtHJ2PAJlqXOJqq1it472hk
CuQ7xA4M9SsoRrGX8+twro1wAWcdn09UjBkTiEuDkQ4Z+WQE+HSNdmM9kp8A80jiwBC+Wd0VUKU3
2UvkUkIpCigACN7W0268hfL63MX6H0gdW39GXPfbdNuN9442JmC+Q+rAcL+FaDzU297Dxg1HLSDL
D1ISns/SbIFuwtSGU3JQ2Xdz436DSruxHjcwAeixyIGhvKYMHP3g7YNLgbR8DChDav7IMoMKYRjq
z0AJseeEhU2Y36TTbqC3m5gA9bbQAYI9B9f6Tpd36c8+/ycK6gs4PIWQAAvsl1M1NsWhcgUY62QH
a/ZLoylLzetwbzczEfJtwQOE/SRd5fW0dK43XqYA+WUwyakJAD9+djjcpgXHNSzriVUbrenrSfcG
5V7Hf9zIRPTHYgeI/TncDrGP9f2xNoUAp+x5Fd+xj0NQEzKV6A7MJyv1OuKbTUzEe1PowND+Wn9f
TVlF3zjF1+lmGI7PQXj68bOV4Q+VHyG7X0KE8+eu8nSbxlR9dmO8IT0B3o3fHxiysEyuaYyiHvaA
L+SAC4op+nm4fWyvre/DgewEKDA2inu8TavdKO9oYwLWO6QODXH9UOyFSoMaJBxBIU/55FLvOtMB
X0KdMbgAaf0ZL96T9XoF7035KVhvShwazpBxFO9j1ZZHlFgcUhZey0p59M84hbMdm6v2zWSNXkF4
U34KwpsSB4bw7YO/2gfCcDoLTrRzuDfllXJRsG5DfU/I+l8Xh9yeydP12o3zSH4CziOJ/wM4/17F
jVde33X218+ZtMOrfustdVBGHcppcyj2+AjednIoHHTHMLvBNnvyun8++8n2gnqqv27We4pw7tJp
N7IvZTfe8ekVf98p+7mF7vUb6n5d9eesqtXs8ZLAF5fU/f7bx9eHuw1Hos91A3Z02K/UruX9n+8h
EYzAJYGwQf66f3Dd0EbVgWdDZR1/+onPpugDVHn+8z1cOojhzAZUAIOIpQX5vhyYkvbh+SuYx+v8
fuDLwI+G2f7+XQJXtfhwleGjDwbnApiE6iVwhgt8sDKtH7+Cs/RwAwcUjDQRMKkEWLifb3uVRr2X
Jr+65vnP75I6vkp1UpV/vqcYvX+XPf1urS+DJyApLCQpgUoaT8cBs7vV9brKA/TE/wjs4SgqWHpp
yiJSZtWZNm77ftZ1SazMzsPL1g3nEemXSZyYmbIS/2tsiZO40XNpVQuo+HIh6nwZMONyMNwZonFv
R4FIzyIt0stAF596RL9IK0OOLPteSaOaNX14ywv3MkDVoLLQC1WSBuJD55HBU8UQZGgWSY5SR7IW
zXCHLgZfN4410Gbhu35kh0wmKkGVb2tszYagyBT2egdLbza4qVYWYulxzdvYMVx60fUZUX0/BDa3
Sub4XdU5TYM+NrhyRNDPWrMqncqioc2RLhQr2B2H97SzGNrNLTee102UKtS1WrlJcGdpS856N01U
Hfuhinp/OSTUXUZZwG0Ud7M0MdACpSQ6Zcxoz1ztW8pt4sSmRfBR53GojKjCduEFl6lR2SzotWoH
Oq94DcR1zu0ozD9y4V1mOW4VIe0Z7XQ+J7lbKzdLaicxosxuKcptq4A+DfP6PMuCzA77NJoPjbHI
CnbCEvNTHDTXVuCC3m3A1NDiY0HyQPWhvm8wOfeS4WIw48auIblC1UHxJaoM263TWoU6O6t9GagM
ci5sL6xtY+gqOw3dUJVpQFRWBcSJTL4MKv4hdHtfkbZsHXPwZjmN5bw10rvcNLUyUXlhknZGc2OR
ovgsjvUljupTQobCjml5mjcwZty6vMo1r5QMoWtQ09czaqWqTDy7DOpFnpNzwfxwXlmpYedNkB6H
OHHCzFgUgXEVdml5PoR5Bejpwq4lv4aksHMri9JZ0TedTWMqbDNMMkXSQauIVuUsCJFQUevOSq+8
7azOnzdBcu5R91ufN/08MuTCKwl3WIU+0Tz/FpBcODgKnD6vuCO198Fr8RnuYmfwuou8tO4L3mZO
3JTQhyVfernGauDsrKrLS52WufEhTUU0PPRdFB6LOHasMPsUul5uN0NzWuqBnid1mJ0ElfU1DdF1
xYp7mfV2kScqG7y5l3AnK9sTqzLmBTJP08i/0Gl60gXlRZJGV00Shk5e+vUicut2yV32Y+BGHaig
JXSha1c0iibNcGPy4dzLi3KBI93OPc061RIOz6WLLCoWrRjKWS/843YgVwX7WhrYU3FtfUwsrKLA
Oy3MQqu4YsvWJ8rLhqt6MI/dRreqZ/UHWOxU0VaOabJMGdqD0Ze7V6SsziBLK1WhrE7TWl/DURjb
7b2bIesKxYuaKL/TgTKLCiZKLJKF5WEyL/pIz0nIF5GnveM8MmBZMn05S/uIKaOGkZNkOFAJNqmK
h/hKdsYXQRO4nRbdx9IMbZpGn4bEO2M4JKrLM+ow4jcKFa5QIsi+y9pwz6zQP9edhGUCoas4jWEy
iBxftiR6IIPoZmhoH+rSGFTMu2vS9tmSJM03nMbznKIvvRbnMsrnVhn7TtzBfJG0pIuu9j4nnVU7
YZvMM9kvGjd1UFZcWTo6RTyYD2XW2Cx3LwJRaUfz8DhNeutEGOyjrF0HntzYxKK3GIzFhc/S0hly
nM2yLuhmuWGedzANrkRqXbO+PO4iqu0kamIlIlOZWYCVTompmKgceFetqrCktqXzlZ9noV31Vad4
FM2wTH941p3OxHVZkesQ+gT2AWybXhKpKpJXcWXOkW8Aik1IVeaKQjVDq+22CRZ+ngulg8hSfWXc
a2hOyjB3GPNOIuZd+IEZKl7r5pQaOJkBoP0xM7vrLokcHGe+46UaO7VMjq0ulzBtC2/ZpZ3tGk4o
yalvSW7XkfiGykEvYTlWXkeZ8mg3N/z8xtTugg99YXs+r2edxoOyvPIuNH1tGyVZFEwMqsnzc69k
BYya7KZm3RlFZWAbJF/UCaz1YXbRplm0zHB76VXdNerTmeGSfs64OE1z69jARnvrD309b2vzIbTq
TpVCfIh9EcyGaCD2y8t6N7bouzTrC+35z/ct//rjf27TGP59vL33v3+5vq75v39aPKRre7Ac/2ht
T/361X9vAF7bL7+uAx5ZRU93Pv80It7y5ZvsKQL002/tqZcp4Ns21Vr8p00FtaCogJPR6wIW0pIU
HN1fNhWG+6okghOVFgIrac2C/LSpGCSJggxkEBKweZgFUj9tKrrOLlznhmMEI+qtNtWWRWVhqOVr
rSMnGIMXB9+/sKgKOM8NmwZs3l7kqdI81dRXL7pml9W2jpi/sNokRF0kUD2QBicRFhBxhc55+YwY
pwi2tr678EKxTPzamnemGRRzEXfnHel464ikLxdD3wQzbmRFoHAl2Y1ZZRqMqsri56IQVrlMPDc/
rwtD5nZcE56fc26gbkbLuvdgpcJimJVggaVZi7Lj0I/jWWFQtOi6fFgUqWfOWii9tyh8ms/KtA0W
hGdIJQ2/CkTiLbIwRk6desVCG15kzrwiDYxFErdDepMUg/8jDqpmTrB2wTSTJTJmVtRTM7CtCP40
wxmN8cynMSI3VZKFgZ3lXf6h6kALnQ/zwcCwA3T+F5LhU7/zC4UiI1ehFS5Jky8awc/ammMlKuOi
9ptPLCS3uVXeFOFw5iXNJ87iREmew46k6Vle0JlH8zPfD5bY88IlLmrteB0/bXGkJIqlarx0gXSH
FAKDakj7k4Khr1kQgMEbCa5Qml8WmgfHYDue1R367vOwP/UzImzq0kHJCD/4URo5vWXN+pQHqrK0
CasZiedV17FFQtzhNO+z08Y1Fl0cHleweS7iiBWOJoPtDdksb/V53DIycwnNledni2Eolm6hr32W
R4sgYYnjGeGyGFJXeSVeJmVXzAo/vgHP49QnXauMHvG7vglLuy+81kYmn3cZDNUO6xmllacMmYAN
4y67LD9vaaIVDnzo1kraTMomUF7AbhjtU0U6Wh+XScJU4lqmE7u0slFfnee8MWzPKpZN2PXgIaAH
yut7HDO5KCIenxIrNiLlh0x/yBIZO7ijmtk4jBUW2DixwgAvSonuQgMMa25cVFh8rHxjEfkuV7Iv
Zm4IewXBZ0MsPzRJMrcC0wkKsOOwYce8DY/byFzItjKdnEDHs0Qcl6j5jIcqVRnzHCi3/23gzXmK
KqJ00Z2wCF0N0GiDk/NY+mqgeFFnxsos8YNhdMuUDmfENY4t8alzv6VyOBHxIOcs8GaFYB/zASu/
6b43dQi3WIF5Q+PwjJn9lecG2CZmyJUbWl8jz/y65vacAsxGi4Jl29LL3D/uY+rb/gAGEBvyufCN
W9mVH2nYzDov7Bzme1e0yUyFNNj64HidVmm4ZAJFamjwp8zwb6WMPxpZqoaknQsv+2GK7iS3jJOu
Q4MqA36SB9Yi4lGtpCgdkuJ6SWtaXdM2OIH3O2UB+kZqAxwDEoH3lBb+3CRZcBHTLjzujNj8mrZS
fCllCsZ11/fux7hyw+vOFaXqugjPaOEWYOpVvpMbYIMGUeXZftXXKjcN5LQwLc6ajOmLmg5Gr6Ki
cUu7zsAycDxINknBy6qamcxd+X3g0nN8xj8ZpclnTckvXD9zZ26UNaqiVgmDmYQK3IPotJeGZ3sm
u64QKhTJ29zxmkwqjIPTJu1v4ixswfRNM9VkpTcPLfqF85sAkHfy2hgc0ZXJiSQRP3czHzp7yLQK
efqdekGgeN77MOUswIjdIi8Dryfow4XXe2dBDJZGH7ofwir9XneWHbiBIwMzV66BblwOKJPsW1mH
syENjpug+iGK9jJiQzD3XHAYSRt9NYN67nPxLe0NVcvSVBTn8dpLy1RVJlIFoj8rXeb0vbaDSMyC
3LyPedUtspw5QdJ8bYi7YLTK1KDrb2VF51kBMIft3HTFZ5yUn1idfGZgoSqrC266qD9LrPa4ysGS
N9rgs+f3S93CFO2688aNF17sJrB+8uuqGi5Zyb92PrtIAwqWbPO5BUcNt+mJFkMzb6gFiwUqbEBj
lvDw25DrUlkBX9CAMdVFOZiaUi+9svNnPklSO2D8Bg+AWhnhUHmJuM0bfVIRXtmlRl9hJzjN3RSc
Yp1caT1Ux2ngfWY9WJYEFccsJjNYbhyj7s5JAm8PpteZrMVxEXonuGJfraxx3CG1MxleEiaPw5iq
snRjFZvhypCGw1p9XEdDq/LaXaEqPIG+dvTQJcoyrRNa9x/KDIGatDwJkHFcMP7NRdmy6SNFq+bG
pcKRkg3zsgOHNNb+FaLdDxe1TPVD8g1RcIbNQZ9bLFrkbn4bJ9XghEl63HhNfiytuD/DmDiBaZ7V
hf7G3fQUFQQcHTOt5kmMsEopba/gvLivwAAms1AWXxLke3MDyUtktalqkzw/LbHw7MrvYrBN+Z0G
T8jJkWd8aTMO42XA0axHmasI1dF9V2nhmCT2udP25nnrl+6P3xshkI87MkEsCESAE00YgRL36xjx
SxMEhwzHceIaF0HwkYefQus7ZYv/v0eAxfbyET2MYh7W8AiU94qLyzq77IKr3z8DQp07XgPYdrAN
CYdD+5vPMM26j1tLe5eohV1eXA7VWdfdGobz+8cAl7f1GLgsGdJp4LQwFQgIvZev4qVBT0TYeJd1
PMzywAfDEOZh/rGmV22DFS8L8JxPHp/5TJlevWT7Xpr8Lz2AA3AlXroCDFJSXvT7Fiv7kuB+Iscf
Sc5HqV/OAxT+JnAfPYJrqYHxZC8JWQoFlSA6CmVZJBD0awb42XmgECoHQxvM7TUrDzdeg8H903kw
odAWNAipchLu3oNal28hZPGmZQ98rAVhHaiqyOHcOYH0q/W0e+E9VANJs7yuu4ukJdasaWHzUykJ
RGiHom0+cIP1J0EHRM8MobD6WqW0+RjSsstVaSX55xe99zyAXtLD69q6L4btozZw5SsU5oWiJHR9
gnZTG5r0WWj5dXNh5gkGZ2NIXCBGUu7bXVOllmpaWn8VTQbkQBHLKrfzAFZl5Q6lgJ3DEsm9VVXo
Etrwa8eMIvxxYIbEi54z9wH3Bu7mv9fYXK8JG3w23JsDx/bBNYT8Najuvua7X/Qf1cIHbPvqgnTM
8xzeDdFH2LEkmVeiTxkYDh0OHC1cqQbBgXftQ0QWcVP02CmatLr3u7LEtjYy5pSVTsHoiH3UKFGw
0JvBPPavwto6iUvLLx0I0VqfSj8/DaOWdTNdGvxcF34T/81CuA0D0K8IqmHDXeqw0j6+9IuXEr3h
tUYWAclXudan1JMY7AWgOTIFZHB31XaFdZO5OPry+87cXOIZAgIOrvIWsMrDWIT/W6v14rEMdR4F
wym5SOSAL3Do1xdJWdhauv6n3z9p7a++RG39JAtqmYETDqe0waPdfFKW0H7ICz+9kBmiq7xNi2jh
VrI3VZj5M5TD7m0T1EvYpAlr478bNOMgCLwlRGIYxGIgMgerw+jxUANC+14S6wuRh2wVBzVbhdFa
BzbE5YwXaQq8IEC/aKO8NVUepuKhisB/bq2ennWcFMgmbZCGNvi98UdSZCZxfNn3D5nRZA4yhljY
zEopWDOED/Xf8AHra4JG3Qd5WrBswAVxsLlAleXN7kO8ZgljrnGOazde6aIqPYWNsEqoIn2feCet
r8PvHgRhzroh9+c8hXiCbeJG/KjEAKZT73vgpKZB86ALIu4blvniaTeC3QYCbVdPYL5cSyjbAplQ
AoNofTwAsgeZGG21vJAaFX5FzgOaZ64lIeTiDwsIxhBrXjV1bRddjj5ALIDVyvd9YRc4WZRmkS0i
mpl2GOXxdRaxuAOCs/U+t0GcLvuyqsCly7OPvAyl4+aJa9dpEGilKxK0yg3K5KLNjPIyNwYy8zxs
BcoY3CS2zcaPjxmvomsz8K68PiGdioD1vajAhqvM2CAOb2CXxro3YW2g9TAo1MrgLPKZ/Oqimp74
XIIT6nUNeAkIiAobukkvDVn0sWp7OTi4ZYYzBN1dVubVTY0M4as2rsTcLXNwwVzTvM193IYLVxgY
OAU/dL/DabmiUTrJjW91LGIny0pzGaZJtsS5Fd3rJuMw70kc3mjL7QQQnNQ7AfertnvohwWmpnWZ
txCFom2RzzHucDOLGAT67Kb1gOhpTN+dxSUpnDqzLn3X8JCDcVodw1ZjtnaCAnCyKxF96WLkn5qF
ld0wUrFFbQWGOS95PKwkT4tZibpgmDehBDsV/EzwlaP2R+llGbMHs0K1Sjyz8eZdFaQwOdp21ntN
LedF6vpOVJH4OIGfKljOixQ6Om6ECsogMGzhtkDMp6wbwPqOXJtURhIvCh4CPVP36ENLMHV0WYD7
G8BIquakaq1y0RHRnfFwGCL3Q93mVRyrXkd9UtxDxNA0h69la3Qi9pVVwFKe3pk9sE+kAH+9rjN0
UYVVHHYnQI8Pi8aqK3cZF1pnKjCj9AYJgyzBgiO1XQMGrupzZHUAVyylk7gu7IdVFLb5jIeth+wC
gnvupZ8jLiBK1YvWdyDiY1VnHAh2GFGtm+KytWvYC+fc8AP3soGpwz07l5mEAUfCMp4nkS4sFeWw
ebmzrtHcNlxIKgCfw0UJtVNwcGLbt+rWnbeRiOJZ6YJVMGeJFw+2HBismIkZ0tqO/QLYlqbsvfKq
1AZweKmn5Q+jboRGDkrNaqGprOUFM1zPPUmIqAQL7KQr86EH3gRWN3+Web6IZ27ZAEFhFWWi5z0w
Of0xKss4s4HqiLQtOtZHC6DmtGEDrOZnI4sH7ECdrDB24H/IuIzAvyqhy5PkcxDHVrwkhVVFs9Cv
+PVQV4TMAyM1gc0Dh0UkSvimXy3cosmSG9iMyUngDWY4rzPQYJZWkTfMJO7AR5dBn7XA3PQwtA2Y
KoXjYlyfFBD0jhzPJV4NhGgDcGpRgn2SDAEZHqIQyBgHgthR7JA+9vMlRpoee1qEHEKFYU4cnWrX
GWo3BKKxLTLrKgAPndpE5wGEgrJgME6RG9E5zlyPgbqWyGa494d06WvcejOgHPxWrX+nMESNExg+
HsltCCRDKKnqtPGtgIr8QAFomEfmBR4SDcFJ2VCD3PZRa9YXPLP61EmsvDoHhx62JK8UIQhYMYHe
gsgyTr6C65f4J3kfR928bNmgT3HlVbc0MNmKdW7sKolh8M7rpBNkVvJBg/I1DmInIjnwgBJCoBrr
/GvUtmBZBF7Q3JSMt98z4FqOG9F67kyGDJkqkS60w6I06OZJ0eCLocsI/VBWDN/iyoBftNwopV3h
HoJmjRkH+rgAarpdJsIrzUttCOtTgvL14AyCvFyIqPTLq66nwC6ivAVs/DYBxdISFt1T2MGsT8Dm
w+iOYZUsHCig16XLqrRc8yoo6jC8NmVi0WVHg7Y+r7pqbXz6fXfFQoNDHL6N4dFpOgyN6sy4GhYo
FOuXX6vewvoEemUxvqAsgbeocwZd5YdpONhW2MDUAVo01B+SQsCUL2qwCjz4DtZUs0r8yxzTvkgU
yXwEcLdFV5/Hhp+VSqM67+YdlJUis77JzfWiAZPJhjeCBaSz8NpOrpL4kwtXgp7IRmuppM9CGBe9
x1dtQkCNrgj6a1J1qDz1wMwNTtMsCYMbCbvFokwQvsgtL/8K9WF5rnzqa/Pkf9k7s+ZMcaxb/yI6
xCTg8mN4R89T2nlD2GmnAAECJCTErz8LZ2d1VeWpjqiIcy6+iOq+a/ebaadBe++1nrUlYpbM57IS
TOd2ikaDBtf6+8HDP2tGotF+4y0Pb5ZZEnEYCRTgL4Z2TB660um+2zXZzpB6bKscc0DsF7VnK7kb
aJd8cQgYiM4MbEyjAMecnUx1Vwslz0nHmzAPvcljOPYwAae68pInWPKaFa3X4zUBFeInx6AX7vjR
4UC2J+AyeDfMdmIXTejgX3SB/12gyJjxDNndo1mZtEqj0vqaoPUem69TopMHx6JNP62Jmtx3qGRW
pp3rRhpCFgTPYuncas0Cwyg7Dvi1mMzhCd2tQmt1udiovW+0HDcF9BB0iw4Pq6H45XDiyhW2Nxfi
sqdLcOEoEoiiGvtOn5k1Q5XFIYzdB3Qi8p0kPY4RHJ1Sp7ySBsqX0fGIKmDH+5aNbv3sitWPdbqi
A7OPg/KdBH+YLKeiihxIVk45mLeKEUdnbQSB41gnxL1dpFPCU5lHWRf1OuMhrT0AFjcLb9fwqqND
26bjoAm9DNwqWDKL7kYWphrwWzNxX2/cTNTh7JASli48oCnXLZie/RqPePp5sLAot6UlMisHSccv
JrTuQ1NNeNZQ6ZInPOudvOmT3sUB6w1Js4uhHpl0mV+8eDaxm3Kuo8fQ60eTm5Cp4DIo21jfjaVM
JhR3PNHFAJ9i3GFwsMtF7SsuLqJpqPwbb4G0eCwXkeDnWhaHXfLJGUzeyRJnBrqxWV22bYnvf0o4
28kq5lVuFkKOdgzw3ltKYWAHZRVdfg4e/681ksv62ySk+K7+7Lf+QWz532fKbtei/bUpu+0c+738
8gOM2z7zU0zZIgTYP433GlcYA+sAR/ebE4s9HQH1gGm5GOv+QLdhmQvKv79NlgQzS4RP/RRTcBEM
9jDhK9hdDykGm29/GtP/HjH+G92GBat/GoxCKBcYlz8TEB7w+D+pKdMouyDU3nqNJhrukqeC7QGr
MDHYR7cZ92UVfwsM1OBymN/IXH6t6cIAegVnGZZtPnLnMdFjTkJ7Ga4DS0PVQV9vVUpYfU3rdmfL
+Ia0DIKBO3tw58ieL8ml8cML0Yk9TuTD3Hjg3DCJxXTlQL562H7U3NNQzDvlw16i/RllDeyWDthl
RDmQmYGjZI9hYT0VpiNYss6vjyQ0UTZ48VM0+DfSa6/DRNXpPPU6ufB1+8Sp3ZcLGBcbJreAdO4Z
zv0+JHFuw0akrBUktyr4MII1l+s6D8im4O+xod6vzsQyf2aZQ91D53CyY4uLHqo1VQGPkqjMY8Np
JowX3mCAvXlRkvNqzOo23CVj+8Zg5CiLb33Qcj+PU80zETT7BejMLiLVTsCTm/oefpZKMgBKGKda
9+hZcfZJW59cJzyVIF+yeCJDVvLowuA0zhJD73Gg0p2NJ5U5vcZPkUzBdYyzpDczScWa0DSUYXsE
43hFuZ/5fQ9TQZVfJYsfGicOj7XjHwJbfpCA9Cn8LMhStMtliOHQE/2SOkFwEFUpMdV35MHGiUzR
yB67vl/ygA13rtseliCOMlRoF4YQCrmoZXmkBqXJJRyAXJPs6l7OBSBFW4zoB9OQ8W+YXvtMj67O
lLN6d8noQnIKeYHpsd47xK1yR7lkpw1JNobQ6y45LfsjnZ3wwGJiMuPE/DjEYb5EAYa3AIQe9pw1
eyXCdjxMkonyPjaxc3Jp9c4cMRQxXMbTOgB/cdvpOI3sAe07bHHlHQJnUFmnaAE6LCw0LN5Y9+Lc
x9MlWvjvYgEME6zmTBb9PEgbpegSn2YPrGDtJ36my+FZw5MtIrleoI8ExEeCbIqb21XFOhOC7ZUJ
L3uYorZ0npRxCSrxemg8oJeUBdeRZPs5dndh3fSpDLhIEy73TeRdtBSuLEnU13XAIET4I0C8Me3C
8si8Mdxrq7qscce6mBohd3XVvyaEX1bMyZaWQRxKksu+TQ4q1CIzESCksn4Ujh0z5rAK8xt59+vh
Cf11DgjBplPsua96CguAPS86UBjIVXzpL6POXEv5LeXBVzWAxnOjd2BwZxsOV6sbnBnoPICP4fUi
hHfZT92+RR9bDBE9o9hm09SQ1PGqO80w+mJ50lcveuBOEdj4PNT1LtGNRGsK+7QfnIdaRy54rPY2
riMn88T0MjjqrqFzmfXOelOFpcior3LflHlXN4Xj0MMqYQSpshkzMskkmzh81Cq5hJd9jDS/rrsq
mwP81j0jzzpa2J5369eEarVT3ZTR+DCG4EBap4GJpMeL2azHZKjfwOiRFNNSHsMHSYe6uVdt+JZM
1ZjPi6zSfoyemAMkz+1KvMSiWlK/UkU34ixMk7Vd0I5ilr76/1KX//dVXPe/Vtwf9+v8WnO3T/2s
udvd8NhkBxkYle2HFfFbzQX9tP3POO2wiOGzsP40MNx/uWC84XPBwdguDYHE+bPmJv+CH4XACcVt
Ilii9/eIcjf8pebCSINvgYsrcKQCbN9kwN+pxnpOFqAI1Fxb48uoqHQJN32OEpszW1cYCsqzWjls
TttozZ/c2QUh4JK4VsdhrUm6aBTKC2kTsxbN4qm14GboxQgTFAbeN8BNUZe2w1SuhWJTbcEEToeF
uiz5npDOVfdWSjntYIAGZV7adU3ydhAG52DllA7cN8q8dUgnbuBarMINoCfOqHdF57FpLQDkd25a
xv6Qq5kDAyE8BreiWRA+tq5T0V3kT8facwFk9DRQB0i89rD4dm6+Gz9edqyJVwKlselUgctbyKHi
y9b1x+1bXQLgTZhxndQOVhdOO9FUd3WUJhW6EtKBwNDAz990iDdvXTt/r4h1qjQcWbAPbfWdGgeY
ax9/b3qUGdWxrogGfG1wIHk6ep72SyTMuWKDRFehq5TVnZe2amSALpz+jUQRTz1XoafuPM3TiTgk
nUNAAa6tySGeAKvVpelf3bhdUQMEOw2Qj24C21Zpu7jJPh76Dx6t4d5vfVaAmwj2Uqi6ILKnKWeg
IoNwbm84mWU2YjTvBu2l3TiaInbgv7DY/6ikIw7hhNIJrt5PO2BXBWiyKCXUeUPvww50befMTUS8
r6bpe2TKEnNsXaUReHYJnITh7FNetBeikydsKGhyDzoaGNy1S5mg4sSNzuq5ITk21qAcR8beJkkZ
7k0iMOXOVZhCG+CFPwVxauZSF/064duM/ee252CyxgYD1RTgZDQRSwFt2xRFYUxneHGApul4y+zo
pgsz6jaqodeu1h3dbLWWH6XwAOFDICykFgbFbhmKxY3mVHZyLMql5weU5yoby6Y7/HNsIo2zrfX8
b4PK/7RgYd9/mVV+fOznubldl7Ndv4D+DtlIP8Is8Nu56W3XGCI5+4mMuh6+9JMaxR4Mgj1VMFWQ
uINnjC/9PDcR0sHltHBeKFbYfQ4/f2NWgS7xy6wCZxkDE8J/QEcT/08mVLywMZnjakZmRg2nuE2C
y6lfznHfjlk4T08UeYGxUfzQf2YIKrHlCWYQYXZc6ww6aHubVEOPtsLeKhachOzEbmwl+D1woGnE
XWdftzpIg6HaMa6rI1RykrGhRF9jJKsyjDr9rouGdr63bHhJKjB+DqoGCEqA+Zg9ZHDSi7OewqFf
qjKzsa1Pc8tz64GNU84Ejrxf4Z2Scm9dZEgqlyfHdmb6aUji+OyBcL+M/R4mRX0/zH6FjrWzZDe4
cZ3rCWUg0kmfC39FsKQFGulRoEaTm5x5NKlixJgVKk/twmW4ikMw/NoXyU63K7r4UkH7rHpzmIy8
ciUaJNWPL5NhF9Y1RUVs7knvkgTsbFb0fKoZZhx0dkybOM7MjO69x3ibshLxJPxl7HtpBP2KzJAu
d2M4VinMG+jqlXQPyTTfVdy/jzHWzceBVo66rd1+PMB+yfqxoui0rOzvqSIJis5n6sKPymDvu0Dm
0xCpDL7FM7YFm4DQgcutXX9jkeGgwXDqkekYke2IkfEQyHo4Hc0Fsh8SGRDSrFlYD++m9+5qZET+
OTxweISEABL4a5UDptwsfzk7fnzqd2cH4HGIFQFYCHgx6Gl+d3ZEiNTHEVgSdDubBPLz7ACmDm0E
WAhsGcDl2zU+P8+O+F/w0ykOnR8KCLJ/f+Ps8DbF5A8GMHQOXLMaIGC4NVyfq+p/33MtpmQQvMvg
mq9DZAHNIsHypitfldcQU/2uu3Rg3h3iMmozZ67ubcACoI7BkPce5mi3pAigtSMv5kQFGI47ciCG
A2pcfISptHh17cqyOaxf11EueecDfpgkPbcdskuoYzfNCAWRlaoYOhmkOoaKGduVHOqEypzPbgmj
j+vUOJ0uqkm1eUXVee6HBMhv/UW79Lb2+z1tMamIJUdEaV+PyqSadCTljbhdmXlCXT/KQIZp3QoY
NArwZwJdFQDv+po00y2lIznMnUfTpPVuPKLaS+CmYgfros+h2gi4huN3v2SvczNjGHaiQtkPs3ig
LMOx0I7P8rbrLxcv+DL0bEhlbIZDIOEVT76BQDMA0POFgzE+TgBE6uXsrxjOvGn9mONyNwt9dhOz
dyF6YM39XvqAVWFues2mAbTI3Eza/1AJrGxTIqpCQA36F71dDyuknXRmQGirSGVoCB/iue1xBg6H
DtTJIpqHNnFypfrbYSLnypkzaKVQ3MPuVuNXOgMgLshST/1eOW68i+lwcsPurZfISoJ1uSDQiOB/
IVfVogUF8+pNt+4CWvBrM4FKLqQvWH/rrMoO+87t0VMTjljT2gB4pJp/80J/B8DeQJSevyWy2kEO
BL0c48v1bD7GwJVZAzwSdPJyULa6CvoyLhyz2N2oqu/GQffdxPaFkuRBrcutq92voCRORKwvtW6S
jIbSLyIWvNfecjKE2a9tNXKY+AO4BL/PYo0eKyTjoQmnW5gDh2iKnQu49Q+2xo+FkgUansXX5SJR
C6v1OwaUfK4UR8KHJoWilhzW6LvbiABWl3rSCj5HNwRe3sJ34yzx96FTw0YHkDC4YT6BCMocUX1j
fFyzdrbrLgabmzWW7T1HvtRGHARem6yPoSHBd0wHKCMYSBAwdKHpLyYooWY5N1BDnidFTnTwXSCg
zWNYVgyupRelsrQp3uYcKv2hjXiUQQg59aE0aQVPdR7jMEWC4Lus1PXQBa9alhe0XZuU2+YKPMt5
2GJsVCTnHgZw6vm+BsIapVOFRhnBCrMfF4j7qvLd1Eva157HL2skCuQJjkSyF5/7w/3q0Cp1qhjo
gxc+Rk51v3gO1BjzPFYBIldVclyX8VyyeDiXQj7TpdwDGbp3KD1WfnztJPK2IvRjCNarrpsOXODZ
XKld88FFThX8xJ3WYs9hOUEjRFSzSgoopH2Kt4d+lVoeK5DQd2WMUaXu2123mDNVkhf/lLYfpQ0o
01+Xtv9ph7r/+FVOIPjUz9IGOQFr3nzM/9sdCZ+Jqd9KGy6JRc4K//lBPaIH/1naUL/gLyOgDqAa
e/f/KOH7Hm6FxoZITLcogH+Ph/yFGkIxg5qMbzCGMwD6bSt9v5MT2BSZpvHj9tpxxxdWoyisc/vm
2vDYusjvNHTN5DQXUdilREe71WcXiR2vTNzBCjbdeOwQuMbh6mRTNHs7FpIdktn3ptZeEUdizjSz
F0SVOYWCmm5nQx17Q9a67cUWqcm0g7eTy1cEP1k6u8F76dUyG5wO0YNwOS+xfkd9G7OYo8fEgFFQ
q0NM0/1akNlpcZKEC15xFJxoTuYsQPomU4h57nphbzyLY8pj7XleQgj3TD37Wzgd1ua7IPQEVG7I
xwVnCtOSY1BGQgQ5kbSPkps1cb/oEnn5Jq45eCnHpG2E9E5DmzpbGdSJrmNlGpVHn6mdjZAHGmEu
pp5ZntaKXaqoPw/lcK7wM6XCIvfeed6dqXmuGVQF3nuXpes9lLZVaLHnLsXCX8CQUoO34qiBkKMP
nY90QhkPX+JwchCetwweQqjHmt0rrxm+wtF/smtgziqW14Ov5L51gVk34/R1YbBte77vBkPTYA5F
GhiMG7NfemlVxtB3vSd/lMjh1ubagdNUcD6vuRciXr4mcMzZlDh7R8x3vlO9h20p9qAHMhdMwFnQ
V7W8ApzYBQN9ldYX+3kie7SBiOsMphNPiVv19y1BTf6o2fpulupu9Qk6/3kQUcqnKo5fJ7e5KvF8
H4nqyWFRHnYkTGVyHXSlPNmkzIIEQ4OJ6EFNtklJReqsChJ75TcrzMpadGYP7uqL6ZHGgzoLjVl8
wIv1DkSwZEwnijqV/nPO/TjnMHf/9TmX4cKtz6VaUv3fGnl89udpBxEgxO4cXKHqInOBYfsPjTxm
/BCkcwI3+XNTx39OO5f4HohiHEU/XMnfGnnsSEXaE9tw6ZYfiP5mI09+beQ3+hW3QAJSxn9xeP7h
tEu6aE16HerrVtfg9JD8F+QE3S049cgSNVlDu0fbMA8elXMR98BMm7BDX93QvMLSCcQ8mweYbGce
L/eaLBe2RDZ+qGiSwsIHi1GvQNzUk+nsVdT5x7CmqY93Jx23F3RZ0KbMNFtwatZra9JOSsBqDMsr
omTZT77/3Y+ZysznLFpzm8Hv94qJI3W5xsFubpoYHSb8D7SIL5aWiDm0gS0SZbucTMMDYoAzXnbH
ywBTZ/6wkswalQYM5svUl1/axM2VR7HwQMo8rM0bRaCuKccuD93o29hEdaZp/UyB0yAPQo/+ghzg
CPkU0NgzXKZ9HA1rVhp/V6H3Sn3ZHTyqw1yL+CAX6Cc20BNYq+XNivKtU8s1EfCaQoD0NUlqLKPg
e86XYwwaeOcuZson7Yg0ZsM7IwGMOLd/HkTYwAHRfl7O6oOW3noluX2th7A8Y0ACtRp6XVoxWjh9
7N55MpryAMxjVm90jECTvDeGn91w1C9xoieccIhm7sDeZmsQIYJZRmLXWp9kLRDIIq4qAtdzxdHo
9fLSknjJOZrTHaJ4Axxax2YKT3M6SV4VTg0u05K6LHoi63NNRLuPE6PuvVCvT2bVVS4IWCYuW3Jp
aYdyaTh/EZP2kO2KKCy+rruTkzveVNSrj7E7LRdYgOLnyEKJE1ijad4M0+YCEjFCeY5YEGlasW5g
7Uj5tsS1E4MNccZj75FbLhLEdyszPBKLf/h9iYDBV6dJ2Pcgbuei2/QWg4wg8k5xZjvE5+SmyuhN
n5ETIDYINgqd5AIBZ4SQIyHogDdMMmecr6ZN6yk31SciekHdgBKE/SDYbwFxKNhUorEjwLE33QgC
EhhNlvJNU+o3dYluOtMacDcXm/YUbSqU+BSkvPo++qFQQasSm2rFN/0qAel5pFASYCJA3UJEFm0H
BK9lU74AAubLpoX9c5h/HuZbqOWvD/OfN6r82rZ+XgLyn71KATagueg/aeDhEs7fHeS4DgrbteIQ
HYmPLhRf+vdBvsV4EGdB9uc/CZ9/KzLYurYFexLk9lEAIKREf0eRcT9h9t8nGtCrIt+CS8c8ZArw
rfypbXWxzmbmExU3y0SiXa8DA901gE8QmEMV4TXS1uKxJYZc44cgZzCObp9SsKfHNibiuUaXcYk8
ErZN+P5438w0OIRg964ML4f3QSGyGaFGXFRtBLOewb3JhsQxcFNcZ7mRU6euR+DRLw6haueWXhhn
JRIiORI8PebdIXmPneoOWHJ4zVyErj1WGbBiKC+IXYQvrY6me+OFgCplFR35vBlw0ezwnRta8eTP
RKWVL70PAbPnOSRtf2ChTHKcCvJVQ/WC5BrXUFKhh0SNmc4I4A+3pumLdq4VNs6wIdfGDfR15fSB
/iagPwdnty9Xu+wQb5737qpm5yNgSVNdVcE23wM066fraNO4I+Yu1X3VJE4aQ7xF+VFYlmKu4sQR
COKzoFqCnWiRWe7TVg8GGVB02fWZOj3ix/Xc2rdGe2NXeCYBwFIuL9S0/qt1IjSizkL7HVaKhCc7
U3uvjFhft+1Z2FLl1eQMrAazKoMVVg6aveFJqjPSr+trKav1g9bL8+SMu57VJyfCxpbOpToz4TQc
ALwxFyjubPcc0eUzc5W94GIZsGAo4Uu6dAKgdm1YvZOd8rF6Sncgavj4BXWhPaI4PvoccfHBQRyy
IgaCCLiYA20kBRc6dEflqORxICO9WpKRwOATm8akQvFQSoJlIrpN3pzIOCe/VVE6LN11E7tOPim9
7LXjyKWABjiqfCnr4XvkCHm0Q9nfgQaVx5Cs9Ctb3Shfk6h5XEreXERN0FxKZ2xeXBStzIA3vZB8
FS/rvDhnPLyo8VFvrhs2lc/x2pnHHnJTMYulvnfqZbipdAseAu5Lm/dBoCViu4FbQA8CYCCXUOZs
soCeWB/Sg6e9D9AMadD6p2gx/q1FoASslqDuxyCGdTfWBDDmIGmqDKSTf87iz7N406v/+iz+cQf4
ryfx9qnfWmqoBBus9zsp4DcBAcvvkOhC2AcdLboQWF4/W+oIt3hB5MLNAhuc94kH/tTG6b/Qg/tY
QI67oQA6JMHfOYk97xceAdlMZG6hSiVoMKDH/7Gl9h3PgLjm/NolgZqwO6seSFbrLnC+xAKhyqKj
E7ZIzWMz3roRz2evO65Td1iOR1I2+74XYNJBxav4CWQ5XshaP8AomIBKtaJ6LlmDPUqq5yDpAi8D
0XptOaTzEP7/YfBCCLCmuxPcXi9Oq1Msdn0tIbpk8L/PA1lvgBzD1y6np8Xp90Mo1t0cY0In5p1i
I9PgC/wB/joc2BLukJ8REKQT+HvNdy0mr+iaDs+7S2gxGMUfS9bdOAF2hQAbUBlf3OtYlLemA3NF
kVk5MLpuaHl80HQTCDhaKGwrCND5p0agE9PN2gLmGnWRhEFzQMqoLZIpwuYPUVIwP9XzzHFA9OGA
TQjbJrh1IO7Or7ApanZ80AuGquqAsDkjoJVRNVMvwoG7tE57QCM7FBw7AvYSTN2ZjD27i1S0fKF6
2iz2Dpsqljq8hvziZcyt3St0jadxCbybqhfIQEi4dXSMFCImjdxVArg34An81V4TfymRkDhgHlpz
W0EqttpdELDgGNUbd+pv0av753iYsA2kSyxYNAnDrj4FEYjHI0g0FDbPbGslYJO+uaMf5PPspBFK
6GWl53Qu4yZXHH19j3kqYOuOQHoPmmQygPYFkKiJf7Ri/jJKfiEIYXkXYfpXnGdRGF5CqsA56eFB
6uo8HNq7pepPgze9eA6/aEyN+cvrHnyU4EJtROow3ngsuuq7BbJRpSJ+s60I9ApIvD6WcoRVs16C
8oEhyE3BB2wd9AMsbOFYRDh3ZZMu227CBV5z0a3s2/q5t5AgxDhsuwzFttUw3PYbBlh0GH5uPAwI
z4DaYDVItRTzthaxs49sk6Ks6sO81rrJrAXKV2KdIvDVLo+3DYsOA7FNsHRxqfH/bPDnVljHGFkg
85yEKL1hwpFFQu9vt/2NBIsco22jI59CBG8HLk+EqDNKJvyREAuC6lZCfO68r3TBoojSinsTLdhH
Yk2Slb2MwGgiv1XjdN9M+xR7uD66kr23Im4zvF2ZaqxKG6e5QR4Sq+ig8LlkjrJZWoSeXNBvvUC9
j/HoEzdgeU9g9OZlqLChzmECCyJqLK7kp14q8fBP/fisHwQpzr+uHwjkv+qP6VX+WkK2D/6+hGzb
bkFSgOH+VD1+KyFbXw6YDIINSPLPPvpnCcEtY9v9YgShV2R2/6BB475X3EUVwHJFJHbjNv5OCUGa
/8/2Km642W6PpXiscMFo9CdVpmex1q2OxTUB632Az7kHfhqncAXPc6Qt+AFPXiyzJ/Y+Wf19ssw3
fRMgstx3b1PgiVw68oA1oWGR+JPNmKF+2gTgp+cKB1LjGC+vVLydN3TN4Zp1NyNLvlQh1q5AIPAz
bPE5I3l1MYXBIRYJAjdOtceiqC9lzES2jvHlOlmol4JrLDpRJ9Y1WNgUhKc1rgFEBdElCuQjCzFd
qzq+TQzKXD/Vt4pMr14YwF4L2ZPusK3RIAiN6B/2DnK9XtI++oJOT2YQ1J6TVnyhiz4n3L0wUfvg
hN2lgkOaIQz02E8l8FcXoc7SnKM1uOv7Zucy58Wrl4yNbKfIGEGoHy6GSDwjNXDlV12TViE6zwUn
BR6KV+walGm/ADRzIlXUdK1SQC1t7k8LRepxtNgt2KNGaW2R6+2uJ1i3CJn6wLexZXQx85VpcVYz
bDndQ9LZNXS8WzhOLoDbfeZ4641f0m/YgfbAZ7tDoqVLfdbfLAEA86oD0tcpCF3yhs7RYzWWgNsC
+0xraOa1CYc8crEgtu1rsfNrK2GcR3s1rbfT0kc7t2pPi9t+VGuHgJHyHmk1Yb8rWMcMBt11oyPv
qi2jwxKz+/EqqEB5QzE28ZlaiHpY27+rI9DtASjnWq1NoXylEQaKnysK3WIeezB8ot7D8OhT3olv
PKIibxRkZ290d22MaA9hhVX2UGPlG5T/5m2a/A9cxAjcn7ADG4OrLRa1aICAluiuaGwbPPkhRwLU
xpATyxoi63jqQnpsQxdZw2qH9hrjHmKohV2wFthjCBjEnwJ5H86qMNq5rQfznqzcTBnqSAMwedyv
YwCCXo2nwBm9bAyGQ0JFlQoPdamPozjH5vqD57B+L6blFQHJB8hUOYSngmw0Eh5dPEfJF4FSl1Uj
1u/AXB6LOmFLwaMZtBNCQJm7zm4BSx1KXNjeJRqLHrzSTxHjP/YJvSi1dNHdTE3esgbvRQS5KW4G
dCqj8GBkULJzWr/NCJJWZ+uhPXCqbz4zwS3m6jtAkKBQEXs9DsAN0koZJMnWuZDYJApjfL0WAm9K
06FpAsJ0U0bhRdURkg+kCVLa4B+wp1+Vck9S3NZBANR0im/iuMNGNSquFqQqUq2wxNUT74FsMebZ
5rULuqGIuOS5szg8H1Y8HyYcseZhxL6yanX2vs2a9avH/Hc9XTQNKENT1GK0wC/wGOiufAXqqlPP
jpflyl3oXM79MgSH3q1Am47Vk8P4B5/xyni9wLM9hDuZwB1zMGMmgIoRF2sfEJ//ngBazLD3jkEZ
jvaB6FkRYGsAUimrwgq8sb9wvCW8dPvuwam78WrRiKPGCuBnlKxlvqxY/jaXANjZRLbWWV/qicco
1ki+tEl9X014msMAm6Wntqmgd+I3jpAqVj3Y9VaUAwWvBstadnrNBuvc+RAdc4K/Ka3WsQTkShFS
57zcIRnQ5GJUwQES6aKD6sSR6YYUON52gX9uhbwnJXkoQ+w8dD19KuMQLdS6oqOQArw+BG93euYJ
HPeCgl5tMjk353lGE5wp7XferjZlD+aullBqoU9c/NMTfPYEIerjX/cE/7568deOYPvYbx2B9y/I
e+jCgJBj1/m2b+e3jsD/1+fSqXDrBqAk/tT2wL5vIyaO4f/D3pktx42kTfZV/hdAG5YAELgcIPck
mclNpHgD44p93/H0/4GqS6ViqVVWY3MzZn3TZtUSBWZii/jc/ThWB5BUmL5+31HimMcg9aMR6x+4
rXBWfV4OCEqT4Ijq5O0XCufCoPlBkgZHMFoV0bJzDqJSXDZ6Bw9y6iI1M11jGnQHJl7fS/TY8pUZ
ztNczOGW7d2tUJBEDPtl6glWlV2wq1mPV2j4ANMIqnfCvlJbtGQl7lK3KEfh+oXTr8xggsdXWgyf
y+BKUfzE6/uwBTtXnJqpfVOW0JjpDG+iVAiuFqD1HAJnhYyOo5hT13DiS4U9BfejuSpCY74ib9+v
Wp8/s6f6TSlI4NRd/dIzmpuzZNqqunxRRm0TDq2G1BTsbLu9yuFrEwINfezow1eCR/dpO6VenGi3
htk+BtxeW0cCzWa1YJ0C7I1rfAUt9vKkXmtT8GzbM64os+9d/FPXUaSfClEBgpz1W+hL3N9ddD3q
6iFTzXfRZlujHp4bER2FPuGdUgj8SP0IMIC/7ewytX7siMUVY2et8iR4LBrr0YlfjAHGsjBeG8d5
rfXmVM/Rg1mMr4mANAnoZl4xrT2TDINRbQ67LIwU9vZKTk65CzaA0W+byLgC/ng1G5XvxSqawaRj
Uzcrme1jjWGjqS2pIVWcFXNIj1jQCAYqvJUIERzj0Aq2sdJZmypIL8OqU9eyGaGTMGIdqpr9f3uQ
Be9o1clO5SQcb0oqua/LXN9O7bAFsFms6qiDPj+lcpvYYb2KVVxzVu+Pa7PT0fhS/tSe9B34zi++
tDdp1J0ttUPMynlTKU61rVnTjbS4uUGS7HXSaO7YDgES+wxITa156ptElnTF30J3870B5xpx9auQ
U8HfrF9ipb5BODtDs9gHsT16lh6D9yvAPoqdo0HOS2brvmWVqWbBF/z/79hLFC+Z2eOajKqBkjjh
RnbzYx5X5SrQy4Nvlw9K1zWrtBnuFactIeUHKQhlpVobfXI7Kfq0xlmCf0orPrJGybyoKC/F5JwS
MQVuO/HqksUAWbUf1qMci5M9YMJQ4lqu4iLSyQ06u6FFYUxYMT63PqqM2pRgtGt2lUYSP3TJyk6j
e6NdgK5OhP2P5Cdzx87j9dVu2fblrjkwqR01Fm5GoR4XqoQgkbUCZGCsZkW5ZnkVrqe8gh6pZ1dR
rufuxMCYGQ1OyTGYl5DzcwLIZrnWboVxUKaPRMWBogT1TWE3a2Ma4xV0m7UUxRcyOR/kZ5FobfFR
z+pXp3EuINFdldN0SwzfJt2ohFhKSF1NWXUT4mRNBSGHaNrLYoZd6KRgckYkQrBWhL+XTN70oTf1
U6B0x6For9NSuWz7OCGi2K7mBIaiAw5fUwl/sElmrtUlJECcEAW2bT/wtRCuGdmQpKP9HGHUwBiv
8r5UiI0UUMbGQVqHtmPJ0UDyoumBbgcNN4M11Y3bp9Zri08VC5werXggH9HIRpAVHbDLuT+0Ph41
vQ5urHB8jiMzcEuRUHtQkVkvA5jjjah2FobnKox4B4fjbWtWIBMW2WAMB/K4DEHgzdbcdAW3hLQu
U4ZB62L0r4oUm6Do/NGzleCWOcWpKJ1bxxc7Y5ykZ+UAW7opvfHL8goMULUJWpk+1gN+QX/oLxSc
UKDGlxvbjB9swncYHwd4Ks4gYIyGL2OOstCJiMBmfuCBfjOJooejkGHX0btrtB3djXDz9BimtnhB
SGw2BtETi+m7zA+ga4WXVOlFE/bXSME5Uyt4n5HBYrmotXUepPxs39+aVix3c969ULKAkE7OiQWb
HnpWXAHVnZUPPFe8L8I6QtpVrsGHvFgG93aVMqajd0Hx0jEAceLPOdxEh8BzUT1qrD49hJ3UzSY2
U4ZOlDCELb0qeGbj5lc3MSnfTbrwTJ3ooWDh67H22UwkrFyNU+7yuqu9wQDiCZMi2DDS5TuFSrM3
jGHnBALaTsj+yCCbyrfU34dTcj3wTmQmIzGJmg3Gd9sMPARrLje5zFnB/cBERsMqlXlYMRm8nBTq
AUjcsP5Uh8FVEuvebKctjJQ3szDPcVC+j+DqidTEkFxJPw9ILa7V5Rd4MypmS/MlRmzyXHa+g829
Z4dQ47jSF4kZTa1K43TfzNW9oXPjp7nxoEzi1Ebt21ClG8eP73nZq8eIxaDL+3/fgIW0o+qOHc7O
UPBl2kB+YUSRbJiQ8XwsWwtm2y0WdW+ozZ60kf0ajYWyysgzedUiS0yFvNH8rFqbZiggz4w5a2/G
Zniq/L1aT8+WwsXQhr2+SRJ5x24ycaWvHKIgeK5je4WxO3THuNwWVcHP2+WZXb7mIu0ERFjN1zJG
6uraCBYIRoi4ss5qZ30phIU8lY67OTA+YnWwecZqHchRWD5yzEGAsSciiI6rTC0mLr9YaxfSlePC
Mv5qNf0VdSjRei45sbXCUzuccEcDpR08S4mfVdxhSTSAPYr82Kv68hgtUg7z9S1+L4AnBgQhknO7
OGhHgHHQTgkhJ4w5/dwrFhHIcuQbQ5QR50lQb+giUb0i63v8CRMdI/PyVLUeMolgFgS+6WWVcof/
+L52sBznkeMVQ3rRNQDAg062XtAU1UoX4S1eCCJWabvvAvJnmerci7w7BykDRKNpmfWX+FMri/vJ
IBg7Bhj0KAXZK6ycuCFj1Rv05qVkij7qvM/5tniFxLvKIo4N5vZ9oK9BKa0PS1XuFAPAl50toxIn
+bAhhEA41F/7qT7CH2T8aJuvTW9vK9nVqzzQSLgb+cqZe+GNVvIQZBkBubHWPYnlJlYy2MAvzFIv
WBgACxD4TrQuPpQmg4QSZ82VHhV7v6r5M5l8DRS2oNkQ32k1TThlp9zYGVl4HSSacIaHkTWXa4XE
HNuyyNdVawTQwTpKPJKKj8OcAd0U4HlRiKOsCnaneO8SG7sj990HKXPMlIxe10FibNS+eyx7bl1G
GtdpkNce18KlYUXtOjdjAFpJeWtFnCPThnJLPpjndI2LXtT5prbEQZPta5xNDJGi9qEaQ55BnXo/
E/sfp/ROF2BsBzjMha2+9P3MxU/O03Vae1hht7goiXLm6ihdFdQbj0O2lK0VvzusjcMe73I55u9z
Vh+wTUEmr+e9ruePUcy0HpWy7DHdN6zyQCaxzqy4MkOGXyDJI37Jzt6qY/1hhSzp7GL8amSs+XqA
3VEaP3Z2vvd9fxUm+bMvk5e47U5CMCCJWm0VZOMG2hZvSqPawSlmnq+tR3NxnFbF7dg4u1I4ewf2
W6XGZ5ie3hRpjC4MgMh+uiYveFHDMeoifKamivmmiTU28oGtJ9dpPluPUxFZ8qpSzJ7/wyR5uJqW
JgyzVP7rMfmNUrKgPv7zHpT6rv9ZRe/B97r0P8q7lh/8fReqWf+iuwsnyW8sEg3V8/ddKGX3IIOp
4oIgK8li/2EyMQzm0iZuaracS1Ab/fL7RnRhxQo2p8yRbblsYP/JXBpR8dNG1OYfg6NiGCzC8Kws
OacfN6Jc5iEJD4iK2AmJ/4OQgvvldZaZcJ3Ca6LLq59t5DChlvqIQ3Cab7vCXwUhfThGF9vPSZgD
2IOVoFJvZKeadh60BtBJ3E8lfqw+d05Z0c6HwOjSaF+1k37H4F0x91qj4rBzHKU9Zb7hM3qx8M9C
TYu128h2UnGcgzltXp08sIbL2ihr87rM0m1v5em7j0V4VeT4MEAWyC7eqhgR8GHIqL9pq6ndi1Rn
zT7DQ5zXvjp1T7OwsQLaVage9c7xj3UF0d7Lc/bRIWYHfJIYvTp1io4sGMSF78/MumPHd567Jqd9
S1T+MG9tgVs8oS/jHIJGg4z5ZCfBa2wJUtTCybzSMt/LNnu3nILXYZ9V4m1oyZOouadXAbCwWTU3
baJ0T4MVkNzW1YgaHOzfQEUGuC5RKx80BV+eQ8LndYysftcYub4neB5eKIme0VlV21BGu3E/l2W1
BU5TkAqaWx7M+eiZsuRdT1uw6/T+JSe3XFmA0Uhn+rR2ZEfZOYVn+rV9OZnmvE8Es/KIbIcrnHDL
SoV3dcBb1phkDCCwwyeTM0uUzrsU1CfIft6lmnMy4sjaTj7GS6WhiozYEQFQMT6KkMB8gkvQtS1z
W4Bag9Q3sgyvh6sEX7qnhuFINwd+9pq13DpWSv0EEya5VWikuMktK3+PVVEfsiqC79cLULFR9Zaz
ZTr+d3L2m5r2y8nZ/8me34r6r4OzZUD1+yNL/5bZwBEnBft7cwFH/P7IwvvMU0lYJCpUvBd/jM4M
CQGCWhz0tW8e5h/p1vJfOuWFKGn/tkX/I1sccZJPTyyMeljzGNIxpuMJKBazxg+js6I058Sc/Oak
psZdwoRWb8wjHXDXycgwf1iGuFgHhkwTu3ia4lW2DHr9ZeTbjp3vqhVPJRah3Qpo4o0q5tkLS1tz
B9FabjNrKFrLzNzh38rtAtgEQ/+9ExDtL8P0tl5G0HNe0BBRjJdKxVoiywl1cckrnjKa/go/QrxO
eyJQdTtUVyozbtuyzUu7n/MLAP6tW1j4VAOfJIG+TMcbAspyGZhbYRi4c53fhbkkvbxM1dW62VeM
2X3ZBusmgaxoi+wd/u4X2KXKErjaFQzplWVa71cNTCZuvdkMXpA0Y7cyO3zQDPnzmqnThbYM/sPn
2vBaJ9gVhR+shr6DRbwoBfaU4KBKx4T2vYZ+MAQFOnbKZZTz1iE1aG05IJnzgSje2DfIETjdSnfK
1wo0H5SKUcgnE+WiWCQMZzLVlYOqUQf1OVpkDtFLKOS4SRKLkshA7dbaAihqDbtx2yBo9vYimUAk
vdEXEcVBTRlRVeixAEi4CC2RFmobfRFfGrtHhqHtbV36RbtOF5HGTwYNEoW8APGwZ8/IrpmFdyxz
5Dv2iOoi9lQGCOVvBZKWA9vWAmi4DhZ5KGhVw/NRjCAgxS6m6C1rrkOT2HfCmZ+1RWjKJnatvJ3i
PnRWhU4DRwnTlNlDuRtYfZG7qw6GxmeZ0a8cI4u9xNdy9VyKNr+VPsKlZLhRJsVpFvVrVAzFXu+V
Mxf4s1Ng3qjjgA1+oj3WVX9Zw2RdKVIAGR+Md1TJ996epk3TYh2qGunvoEu9UEwHvYpfxUvIxKMz
dLcYFJtjJtVDH8dfy9k5UvVG2rsIt8WgXFS4L9xGRShsA5/dX+IPLib5qzaeuX36u5DNQxXacpcb
PLbZTdz6s8G7RMeSYuDfZGGwkyYNHhREkvaxso1sYE0F5n0dquGhbxd4Rzzf8m8OFxUBBDiVRUGe
0cKgtzBJ+xq4rOYsJ29EilIt31ppvnhgSoFIPTN1a2gCOjAKGbFi2LYbTlHlpk3aevPYFI+BCtYj
D8P6HFumQ9tgtRrzSWNGmH2ROqnGoA3BQMYIPzoFnvAbc/ZxMapblLBWmFqd7fiiI8YW9DC926uz
VPeVDPe25qdbi9/FrSyDROVyl0pQhk3czm5R5TvREhtVLIaEvGfjuIVkkCoUM5rUFYEsZbImQhss
Cx2gy2gFUOlKEcu0wcGu399rY3w06+5QGBOb4vq2txGZ5ybb8lbHEpoR5c0T7aofu/uoWEwvU3jO
RHedMJ2VzNuabH5s6BBxk54xe1bEX8BKH8So7gDV3LUA9NyqyymVKgr2Pel4kUAJsdW62GQTgrhe
j5d+bVwn+ZSux0Fb2wxT9Y6X+9R0xFxh1gXaCXb3FajxMxkJomh98+L7dDp2yfyYhoSoRCUle/zs
qclseItoqG6rl3cFntsF1rPGGYpdynemBGtvbO4iYeX4GBbBLCygIi8S2n9f4d9e4fovX+GX7/lb
8RrlP9l4LD/4/S2u/wsMmQGMCRUMIzl/9P0tLniLE1xy0KAWbewPTyUWdhWGPm0XcJCwnS82lt8V
MN7wJmZ0DDHLi/8fqF+m9WczDKgD1Vy8NUj13Ki2o33CuNtUO0lQScpJw3HF4ImyVjG/+wPvv8RM
mZEa6sbU4k09Baz31aisb5w6U651e0nYs9PO7ZsgIFDhOlCJVwxxanwskT29MlBm6hrS3KPrk9jG
FfdLo8uZATLzykY4YksLR80KeZBw4yMIw6XibGpNf6QeTn0NqjTzKn0sN0WIpXjoYMPTwYNBsuDv
GnYluCP0+omqXCLRQSpXc9ibhyG3D3FMEGdA8jdDlOimU7ad3r1Q5akiZfCuSJ3FgqHTUaVMl7Qw
k3RnBRw6or+SOR1bGe+ANZkEY0sfb8ibFa9cnYysF/AoG5OTrCXUKVf363I9G7TktmNzhk1vuPnU
pl97aU63mvYQCdwmmBGvoioIVxhnr+MZUYJ55eWkAnGUQ3QaovK1obXVkqgiENJ52vXmsLblOG+Z
mkSHnP2ZaxrRiCGQGr3GrJjaAogfXDmq3Oslfg9Oi3JiDDSBKnTQvwrWFRFuSwFeIemL8XqWsY0i
IpLrsVcZpYfhzkkgLvgKLWSoP3O0oSQnR+Y38pSQFjVbqJkMd2bdzh3qo4VcNdJWyP2jKgG4Ihlw
i0mk3PJ+o9+ZCzvfg5Dut1lTRAffUuRlJIaGx5DjQ0Lkh/NLjcKma60Lv4LcJwyfW88BcVp3aPAK
UjHwNdFYWflt+cHMLAOzGFykfpi50MBPqZoUDKqyj3A2aYEL2hMta5OX2dQAi1omnoNmuJgJ9nVf
2QcoeJrXxxOZgonTlGVbEfI/Ti09bTQ74q7fdN2oKwd+gfab4lv3gy4u6UpQDhMdfxp9z8bZNJtk
wWpNAW50Qr2eDnB8VVKIdlFXDnWIXGgnFozWpq7M6mgJnK1KUWCGWbQYOXdbI0yfiF+sWnXUPLSl
5oAhzCDGEEBPFL68ShCNlcx5g0NwYcXZddF1975iXDalrTPiVcqrSUEf0i0Mj7gad4tK6VLWm96p
sQ/JW763VL5FqU01pX0xhQWWTbotqnFaW9iP+cwnOeUXZoZy3StHU4suslAG8LRM/zKXJZkGaAab
LgxuMUQH+ypM93Xc75KKkyQpjiiHCBNPbKNcJPI56Ej4tlZ0GnvaVMYcJo7S9hlb5srTrHTvtOZa
1vVzVoPiKhLNK+QHtF8eLdkGpvGGAISn9k2xCXT1pqRhOixjiIfi6AyjN5ChwKFjItuM6b1M1ZMu
unurVyUXqVNYJ58RDc6P+aOstBtz7vZ2J1cAUdYWvRPsaOm+U6jt6Pvn0DK2Vt1TBg36IzbluUny
G1nobw4VB26WLuiO6UYg9q2yqryEurRREuGVnGMaQyJPMDIIqNLuZ7V0YRm/AgO7o78H7mwS7+su
PM/FeMokY4w4WGRCGqALXFUcniHgdZaPVxN2Hn2mat1flpDQQPD9zB1V0ZbqETLbWQ3Ft9CVeRJF
r5bsUFOIlXSOl6AnTmVxykuV97xabDXy10h7wVmHtRL1wW6EA0u+5ALzHOj+6Lli7zAlowc1/kPH
t+7X2ko4que36Xudvhd+dzMSEoklyxTVwgGXP5q0XzeE5zTBMVqm/b5+ArV127TWRpCyNIPxRozO
XRrP+spJU4QReLgZYwDmMFyBvoIEpNIaD228iq54wm0mJs7AnleWhB0SNOHe0GDpzfWjqrWH2ZS3
llU+Al26CfrpusuYJZTvlaqGaFyaS2vLJrLKDRyNVRKIBfLkBUZ4zdr+suiNG93PPjSlZQXF4grA
SqmqO8Xpd7JRNirbwdgsLgDX39f8prYP99Uyy7WvgP5Uuw234lXjyI1mNAfDp+FzZL9R8oWNeYPp
iLI8IfTXoSse+afEZiQjOTWi9LiTqpUNe3zKMS/kjZeT9EFX28/gZgo6tVlJJ5tQ4SVBrSH97Qhl
bmfZW73tH7Iuf2rxOE2lvWe8CF0PikjR1rsckK1KPohFq7PV4v5xqNWHoo5vCkXb+tQhR37Hd+es
g7zd2a3J1WlvWcVf0wp+LGc4tEp3m0b2To7+yTfmfS6yQ+9rl2FBlD7vog1k9nPpq1je6CsY5HVc
QxXWxq+lRV9prXae7sh7v7aum7o55Y15041s1KXW3HaL6InKAIAcMoGZXlD8fEhlxTY+DS7r5UE1
F49T0tIlYm5LvOFsSenxGZhrLYue/Eil/X1dTgdNL44KKs5J8UmTQotMbxsGU0udyKFWVerrB69v
E148MdqRdR+3mb3XmdAtroqvmHZcXdA9ibstibQ3K1PcvK0eSfPv6dY78byFUlgnWw1AKiUJ3JdQ
V7xZ1b6GZlNuHCO5y0ATudVICtjQznEiYxocysU1bmyAbu58iiEGXckgtBfIu7VnBwPMgUlfJWm8
NsP8PAbWNvbHA3ubt1Ip10oTP7e1ifMeiAORPuAHvb3uOkAEBN8YOrQUq9LRkfKSAIuy6xX51vdY
8yJ1G4CziGjjzQsGsllDzCQY582Y5Udk2WPdmneFCfqhxkqRI2G0QJeVkHRXrtPSrVKwjbe41op9
qrSXszJ8xX372sl6HcRkaP2U3kfR1WhkvP5+mKX/pOqHSdIPNKrfVogMmCxKq2xs3Z8TN+1Q13Tn
5spJzXZRnLBbvVHYdP/6IH/G5f1+EBKgqiFY2n6L/fwwSaLIRLVMoSmnUb7Uw3bovo70mBs01/5d
3fLPFryG9seRlt/khyMVPgLp7HMkXZJEnPBqaOt53hfWl7h7ikBR/fqD/fTb424iLSQ0jcjSnw+n
ywKYVFoE5155artjFbzm6euvD/GzT8RqmcUyhyGf+ukQvmWPqkNK44wWGQ9bIILrNIzgi2wjduJ6
+xvM9z9WP/3kE2H0YtOCQU+AcPm0Y+hzq9EntY3OUR6Ak4aiuXRD/81n+rMW8u16+NNBPmkhDeA+
0/I5SFzXbotF1gl/27L+X3+M5WP+cB307dwyBeEIdXlpLTwwnB129DcHWaq6/sgN//VjfDo1ZTIl
ZZ810XlUDOzxnhOdRUSu0f5qRp7VnHS0+F9fDD87O7q64H8ITJtIWX/+WEkkswj5Pzrb1TV9ogxH
9vY/LAtd9owLfNgSFj1yMIs/fXU4JRQLhFd8hkhG3o4yHuKi6f2vP8jPvjqDQTaH0gwAZJ8OUgyh
bUcRDaF1+TW3LkJ2ikz8XMcnPX0UwFsH//rXR1yuqc8n68cjfjpZocNittSm+KyOCg1LD6RI/uZh
8JdqN8EM3wZLQr2CIDG7bPd/vOiaQkAGHrXsHF/U+3bPy/MSCWhtXoc3ppevo430lM2vP9XPLogf
P9WnQ4ZA90Yk5/jcW4yfyEbpDg+FYvfro/z8u6NCFi8pV5756WxZM4HRNkMe9yvHo+tHYuP49RGW
b//z2RHacrWRElp6IP781ZWNjujekAajfdkl5MBq8ykSAf3l8d98lp99Yz8e6dMDjh0xFi7bis+a
+R7Ka9O/rea/ebz9/BA4noHDcCfZny61SEt6KeYgOef5yewIiy941M76m5fqz24hLrbvR/l06pMa
W/EUcJQoeU2VnW8o61pszISWnPasJPCM/uYc/eVj6SjhCNeYHB25uL3/fI50B1toZhfpmbwLZsPB
Wlfzza8vg79caJ8OwSztxzso7wO+0LBKzwOuIvQAgor/Tof/xzfDzw+BEA9IHUu48elTxONIoT07
rXOTvirz3hqivzkvf7mU+QwIeib3CYM3xL0/fwYenfag5XN2Zp2XdaYXxvsoZmHqvH/7rv5f1+H8
/4fdX0BL/9kOgo7d8k39URn8m4dk+aHvE1nEU0jPy8mFBKUvS6bvE1moIoucyTCUK+lHKwgTWSRV
QE5LepBwgsX99vtE1vnX0lCLT5LgvM3V/49S7t/4/T887DCcoKmSgZT8dphB/rKk68uxofovNE7N
KFQkl34/TKJaabHBINKqNoXBbKhupwcb6OiqCcRrbcgLJhrJylzaveIRQHFbh0dwF6qbqznEWF6g
Eh/FasQOONaAXIVTF8TDu5fJyb+GEYmzLL3BuLlliHnQDf2mYrSKB3FajKt6w+5Dv8gzyvMCxb5v
mMd4qUMqfh78e2hWDyalgqhg8+hZsCjMwDhpPACcqjjYabVPzNnYz70PgDbBbNqHGImxg+iy/BBl
eNMNgXnIiWKWU/0imUk6zfxlhHnt4rPQGZkyhsPYka+M0vfUEdCfXYZfBq17SsgKebxVd3rHrrUE
0ORmocGiERXMi0rjKsmqQ5pQt8JG5qPqQzjvRCS8OZW0bNToxUF1is2+PIwZu9EuQotllJPQB0aN
Dr5M/6qxKNtBCJwxzor5Q4Lav+qF/TpHfLmln4XXOlVcbtjU72GrOpdxke5NR0Ga0ctpG+aNPDXR
iCvFHjhrpEQxdrSBl4DHpJ4vZ4gQa9YWkFXgMrIyd2K0g2s1MLTtXEKur4KIeUvOtJ3iTdy3GaR+
dUrjnWGMKZSoSN/G4VKpO1MQa42MbhCfdhmAmJU2TpDyGENv8Az5GzEY6RqYjE7rjJGtcyO+IDh/
nNv4lOQYbKdgXkWZ/PDn2HJjOxPseHHKTxjE10BBIJ10mPzVOJR8EdoEEKZytm1MuCzG57J1dGrU
sqCmI5cCwhtoenLblWa4NjQ13qkqBjySt8bCwFGu8a7QfTDzSavRYiTFenMjqSYByjpIdyoCttvU
GhJRSaKDiZC5xbd9N+nNuevUfB0qzASLtnwpUrBmUWhRpYk/+lA6CGQLQMed5uUrivT8aWjM+D6n
w9FtWOTtpo7ea30MCuZ6uXYy4YMxvQGlEPG9uwYG2Z0cYP6Fg8CaYHfRW7KUOqiMQNd9kCk7tY03
nZmufT9H+2R8CoWAwh00HKbVAp+3Eg9yVWOQwlQdW9ezNl7HY3djDZQUNACEIy/V0ytaYNsdLq+P
Np9fWuodNm2Jqzd10voyovTNMxhOpnVl7a1pgBar2P1W+rm40ZXuS+QUrbJS2w6Ea6iPmgYHp3wd
+K3sGXe/H8YpxOOw2jI8vtOUQYP4G1iMXp1DDlR5PQyThi+pA+jeLJtgvBc0cK6jPFcOigD1bBj3
PaKrB8rnLqvigx3n58FuSKTYl435BPXi2BVWzygofYcTcTEKhQkNmMWVHDpyHSQEd47T0jhEfxTJ
FfVC52hhGR77XnxUFGSS+0wvQSZpbu/YX2ZJyCmKZwmVMntrbEqP6UTdF/F0zYrwAhgbhbwLqC3P
JAjaSGP63IdQ3BZgQx+hUdf89byB9mk3hrmZJk6hVmWnjgBBOvpPatF9LQWPB6niwLST+hgN2vOY
WBZ2Dhy1DKWDDf0lWy0yQBOIGn5Gg8tj1nCGNv0l/OgHzHhg7RVxdkZbukWG6gFOkL/ZkvrokrT3
yrY40lSxo0uPOZ3wN7FaVKfIYbAd05fqKqOzasf6vfEtIht9tPJD3foKQT4z1xRYXeZ6+1oIe593
5iNjZxqv6C+J6/ll1IDdAdvZ8aHTTairnZtp8yq17CtUjm3oFHieAVgkQJPcvtB2SmXtpqECU7zM
76PhOu+yC5x4+Cui9KWVzs7OjSstKLeKqLYBtbacU1qYNP7bfA4lZrgm6j6ayD7Tk92u+2Latwua
uluw40hJVJEqvAuYWxvTMWzT6wyqtRaFd4y/1qGV7+wFe93Bv04jfIwoGOQYwD5kMLJ9qpajFC8e
ElEDQxvv0bvfgarmPaZM20bqjcStkqReYOU3UC3q9X/XRt8Ua+gIv1gbrd7T/7mCQPiz9RE/+H19
hOsVahptgP8u2PhhfSRY6rDr52n2byDw98wmKycVey0xJ/yVKpr19/WRIM4pMYo5LLUMk7GR/o9U
a9bHf2wFTRbPGgwJ59sO2mCX8WkP0PqETdI51885t4OaRBd2QFaln367RP7jPkCXrBB/OBCfZNmf
YZWDV8GkA8f7nxfqdGknvB2SAR0QCnhLdatYozotdtyIDDxBPIWOspXWFidn6i6qpLy39ZqmWfxB
HpyeFjaKlhz72nRWIA2plZ8Yb2P2X2DG9ePQlKWXyRBpaFnWhE16W3JATy/Tc6GSI9XsHGt/pVcr
SQMr+C2yBNksj1WGc5MFnZdrzbxiDMRSIMk3vtVv6HJqVx044VUDhKy0xYMi7UtHdA4CvfEIe41Z
92je4kS+UbKR/Kl51UZqj6bCY8IiJ1M7/dXgZwFIRw0EkUwhsBHl0BcQede311S8bgbRPTiyfodr
8xRk09d6ISUkuOxXVKafzdo/WnYWbcBK7yzHr7dNWHOG6vq+sIJdJCnAS8PwyDL6Bc9vsukzFW9s
D/UuXQBqRDd5N5NV32jt/KRlyHCziE9CwsmcUsqbS2NVWclTZyP3NMFlMWadW2jTDVbcLXBXwEiB
wgKQ3u1BGBFmJCq28QjfKlOZellbSc92npwWSIExrroKaGjTCbIKPNxxh9PL2MRkNbsPOSHgM5i+
pIsJySZn/VkxIdbs6UofSLKhEblDqEWbREvPdO3GG/JT2zkTl8RcCDlqYuv0fLfhAplTLCJFZeU8
QYTdsVK/KfJ5Whlz8yWy8IYF9K66RotIMnR7zUz6VW2or2qKLSAYpi9pFJnb0ZhP+oi5qwnjHoWm
ftNS/U0fUkoIRm1XpJTHMUWnkWDYslC/zqjJo0HKurANVCMrzV/nuHwM7Sb0MpJsdAHEK1HZyW7o
jC2rU083/A3vYRpgucQwnAkc2RoFfs85Oky9maXSTp5pjcTI1DGJIDOR/2t2YqjylWoPGw1LAy/d
ejykqcm4acJO4oMGEMbboDr7/2XvPJbkRrJt+yttb44yKIcYvEkEEDoitZzAMpMktBYO4OvvAut2
3SRL0HreMw6YIRCA+/Fz9l47FtpmmCFFMKyshscUWQOlAemC80osbrt+1GIvTfS9AepAo8ruFg6G
U7+RaHGrpcpXeI/YjqDUl9yNFIMDeNy2Q92GvUSm2l7JBWUtBkCnISBCoTJkpsI+3A7xklwjX6wE
0+YYVucwVoN1W42kaCyRy+2pSmBld+1Oyu55DpCWjm6ChkClA12iYOCRNYr0GpnnMVOU/ZxRxUdh
FPnzOHHeGuIvlpzyVSITYzX22i2e7O2IkzYl62I9Qp8qmH3KxkeCuo/AjaWdspss+21M1NdZ4Igm
lKpdTYgFzLtBthSp/aEqyflaNBe4dPQNTAoUKoAaZ8OXhrkbdAOxTMSBYK6GrWEn3UbVOCaFg/la
mAQSjqX0AoX+uSmrba8VV1MpX5qS5MJ4Mh+7TnXOBI2Z9f1Cqw0dswl2pZ5r2a+W0R9VwssqynZh
Yp1YHP4Y9ZY21adOe9vinAwma7qW09pemdvgMN6V532CYv2teIIitqckWQVH8hh6L9ka+08b3PXv
+8K/qF2uSzyv7f//f3/utvD2Lh5PVFQ6LZef2jlN0ItBsfr5erDfqmDvwrp0x1elzP/jrg7fc4nH
JSrPMlX1p24bwge0FURfX6OwiEAaZ9lXN9zDs/zF+4g/bUrfryd7oIaPnrHPj5ezBsIiei1Sry1x
bCxA7Jg/zad/vmbfO3X/t8X+/pt9/jI/vUkfqWqrg2i/HjbtI7pWf9ipXxxvEQ6fF5fB6rbxOWhv
9N3DxfGy1WU4x5vH1g/8m+QgVztYy6fO4z96KD280n/858+nLxfz58+35GrZhmAQLn5uoWX9PBNs
omrXdCMuwY3qq2ftKTzoOObXvTetDi/adlxf6o3cCfyGR0ANNxzTNmD1f+95/rfJZlIN/X2TDc9V
9/avNe6VP3falr/8o5IE0e5omgDp5f6sfSSnjT46Ta4/Uif+l/5h2L8BjXJIfIOnR8P/s/bR+o27
UzBlWBxSPAH/kemK9twPNxKv5KgWrq+lLF0mqItf7PPi5AYgZkPHqa6KERYUmbHcuXq2GOaLp5jD
iK8nzaJipn7JUhtBnOj2tdDgNao5B8BcHiSWLVpObKWd2u9C9AqC6wGnAAFwWfS0CuiZJHbyLgM2
Pg2z1AqzIWrqbih8OxcO9czkXkd1/iAaZEK1RPcs0vk0ETgfhl0J2OgpSIz7nMneFfpohVAlTRKl
YNMHYsc85Fn0FJjEOadIDJ20Y57Q6181pelRWSnyvqjdHQ3NY1KR4KNiWQYOe1trkvBbxoMgGy4D
7QtyG7cCf+x6EAQCAwyOWtGsmqnkuG/PFFEGwS9utA7C9gMDJGrsMBzoNkzN2oiDbRjXdyYhDbB6
AfqZzaptmng/ZParpkHTkKO8gBvyEIAucilKsH7MdwhWNG9M+4g+R0ohO98G9G52QtG4NH08HLMY
D2kuwgvhtgfXSTnOZmAmOuVLkmTuKq5rcMmwtOQsY9hJnO6VIYVYEJEG2s/I2jLnGiwY1BR4BJlN
l73rjNuksm/L9gvD+W82L9dPXLK4xl0aae1b1FMttsyCV6bdoT8xaD8uElPD0ldlNmCNz0yGt1O7
wNtusUOV13WunesxGX211io/FoCCUfbq21nX7835O37NpYQXDxWx2Id6SHap3cWeVQcXmBbDmqTn
DYfyI+iNaxmUXpfRtZPFphxxH2gifnLN1twWo47SY3Emu1m9mWN8Y/X0rJf5xiyGV1NO1T43htuh
VWagS/Ir7zz6o5FhWai1q4IQsVWtTdfJ6EB+TKOz2yvBaTCad60JbIbsmr6PQ2BXkZLbfm33LpHl
SFF8dWZmJAKMEQOwhUFBEhiW7Q0+AND4NjEnLheoRg5mOV+cypGHQRiY3u1NQ3nVUVFOAo2sETQv
LvUkDn5E/GnFW5CKWqGHayR24l5wiR0awEoezQ9GVWorU8efblT2nVNbx06bvi4hUp6Wilt0oeHR
mgd/zoeLDkpCc4FKkICGeL+NviRz5e670v4y2ktDz5mJHxhchF5ae9Phj+ZBPAcpEjpGiRVWZWQz
BDcvPR8fhaXJHe70K1qn/AUqx1Uhw2mTaMG3rAqus2bqPTPv1Ksh6ol17gmdgrxzrPVC9WfVqklG
gvqn0WEKioNM9NaLA/0lgQG2AnLQnSJTUc8GfIGvNETT+1LFtwKNEOqWlkW0d78vyv/dnZby6u93
Jz/7l1c2+Ov+vDktf/jvzYm0JAI/cbAZcI0Z9XC+/2MMRMQyBQZ7zwJmoQ3yB5rKcH+jw2ESPKqb
S5Pj8+a0QCzR+TDlZ1uhCPyPNicmgn/anHgd6mYIR1R6vO6Pm1MdBiNL4YC/DrqMXAw2A04bhcYM
qtO2uVbmxYbDUe5ZmATCuyTJrzpbsXHMMIZplaE4zCHjGwgMDQcx8wkkne01ZLetK0btm9lk4pEv
hiCO7M26M/uSxHt3WNeLcSjBQdQvViJjdCKyROwHF5cRZ55iY804x6CrH9ir4V7hSUK//xRILPxD
Ut2RKw6ZSIndnaYieDI5phnqkXb+pUSju2TjaSu1STRWBg0EM46oTMZbInjndYlXCprhS9Dph84i
9zjCTaUOYbYJawu9hMRgw4zj3SKnZNctNqxmFNPGLcevVml9BVGdeHT5e6/FveWOxnOhl9B5+6xc
GTi89CG6iRbLFx8TN3N+lbLHOcZgI7azyvJxTCa8gKq2TTUyiASBQzRtN2FJczOAvDcL7MQZdIAl
nKjMqq1JXBGryK200nBH6IhDZp5AsSjn2UtixfJ7ZQRyLw0Y8/pjTBTSsGQioasqmVIAPykq9NQJ
0UnZIPeG1b3mS6ZSbZCu1JPiMs/kLTnq9OhkzBSux5bkjKobYQZlHNjcU6RU3+YlADlgI/LbpDcp
Dpata4lyz2NkkXWcuPuqnlDSpvoD7VnsWAs8WnfIpIYI8TKriGkJf3f7+97Kwgu5hNVhVvPGZciS
7oBY+zJRbzU4iRyBHbyYADNXqRo/LiBNJg3o6Q0FeJ8RooetrGr0RIlXQ1HK6xCJ+soC0Kxb6r2t
YISUCSbGnrZdZh3MvuASkyYTJONTJeIvtpGfAgWNYaHVCHwaMultpX8z8xZcomm8KHr2SvOHQK7Q
3k6uCQM5Sna6CoZzgfOPPSJu3SiwUTqbCbP0CHEFP8PJCuyz1lMSOICY8rn4pgIZ9ofesVAJTzTt
01CsBiX50CzlWegMD6LxNou60zQo98DAXjsOc7Sw4Kn0yhHMx0U1goexSI6TzPm1Av0xzAEWRU1w
H4z2EXIxDkM9NDdsX7TkHfeCjPMlsOWDpVI5ZWGW4Kuj4WPH6jtWmFvZJJewajZ6sFhQ7eFKauat
MfFd8iC+aVptDx5pTd77IcT82VvyWCkCUW33uDTTQOozkBRXcJZ2RpOjF8Wtl7bTM14HZ5uESr5K
Y7rsLHOEj9UKA91lahKMAxE8cfPctPkBkNQ5NXC3q/NjXzDhG5TAWNeG3GP2j9H0LLNOJbtlIPgO
SZzpQZo1q9ly0Donhk+L38G8UbY+QUdgqV1yME1ArkmVJ3s4N+uxxR6oM/FcVlxWKa0EHz5clz39
MZ3o4k2PKDxUMUZqBEOqXALWpBtjss5J734ICzx4ZVsPumWeDbNO1kbPAAuuASE4yxLXRLM3hOqd
7habzI6QOFVtvmqZPruayHY5/FEt6+DJ5p0FfWl86ufwDob8u50zpAh150yGMlVsqCgbusu30M4p
xUMMDJNuv+skefhakeEcsSp/Mqiw8hhhLivpJmVI0nQzurR6TtZxo90X8VAQLmfHH1WkXKxyGHyy
f0lji59kNFw1brSj7P8206DxOxC7TB9VpsE1ppW4FQopqu2cP+WM2cPzrJOO3lnDQt8TRyIi7t3F
79cszr95Ll/LOXb9yhwMkqLn52DA+WdjGLQ6pV7PfYPcMLtEWAoNrIUjFkNt8RoaRXPIZt1HZ0/1
24kbrIXn3lUQzS9OxYSiz8G6qCrYqJrFzShkoNJn6u8NjI5xQIgVxsdkcUCmlrNM3uZnMi/ObT09
5kLeVDK55n7gImCjzLFTziJS8RYzxx7UYtsvnssR8l+BCVOz2oOKKdNUx4cC2GKAWdPCtFm5gJQc
/jEufk47s2gaLh5P10IrFS++z0LVuxVrrIeHaldgDW0Wj6iNWTRMLHLtFv+oWJyk2EnxlOIzmWdc
pkoK+uG773RxoKJ10PdMKGOKavyp5eJUTdUGGNXiXg1HmtiLn/W/VdnvwycqlL+vyjaMNf/KK6ny
V3+UZA7gT07lTIvIU0ZO9qkkAx5O7gNVl4UClbbA/5Vk4FscYaOj+T5c+l6t/VuZI4h8x2JvC1tn
nIPu6j+ZPNk2rYxPjSf6Ba6OURLqgq1BjBHGT83MNEe3MHaBfSGb9hB29VCcO6lPMJ/yoarINYj7
eevIFlxVlIfjY+liZPFKDAOIcZLoZTTauzyqJy9qi3Qtu35LGJZHl5i+ORwuziiYLksX8iX2Oh5U
XA6T0tZeMYsL2qSOLr7yUpJBgRLnCcOKlt50SGHuUEnssFABSggWI1GLrz9WMJcVjiR5pkb1oYQv
U9VF10EQxdZ1lE32tSgcRgEm+cUG3DV8LZ4IcrW4t2zF2ASsU9JvRy0gfEhpo/ixZyMeMPnLp1R3
I3RHabmLoySZ2IKbs0zMg+zFrQjNiVFy8ajO2X1vMkwvo+pDX9jlVoQLsyPfvukS1jPjPSoSXA2K
ebF6HRz5+NhHsVgbFITKoHhKzhIQLshus6o0z5kAC7SFbeIWjJ4gRDtMMVIgyuIudcilSSqin5X4
C2bE+7w3v6pmEvttzkURTndjG2BVQ5DZO8nro4St0lcoaOyTMt6pMxOEehkE5ZlzX2eavimLtAC7
3Cng2vRdRBZnMQyNl8t4b0QQ0ESO3Klo6Iy0alrQJqozFo7pYFT6TaD3+RrHPkBzU9+RFqKtdSeV
axfq5Z4wC0ZYvfpFLWkK9G2+VgIRgMNut3nhvoVRebRc+9gapFLHDqIKY3bv7ABtgRu1WJOUL8Kd
N5k67gn8vIQN8hNkVV7VzNYuL5a0taD61pXMDaxY4kZS8g8ZuSOhb5i+XIGDyh3snbWU/txeN6ZW
dwBry0snEoW6kSOuy5CPpsoqjDQAi5Bae3bUFXQtsUYo1S7SKy8S5XOf6A1doO7Q8Qt2bb8RkB63
o+AYbql16c+Fuc8HolJq8aS13YWwlnvMqemabJ/HPIxuIzOKvUolHiq0lD2LtrEaouZ2soN7dCE3
c93ziGgQeCYNJqIbx5NHr+K6D+bdlAUKiYHKR1MrYN1MIkwmwSY1azA0ZU86YChaEgRVE+fMNB/K
yr5KpnLalI6QINgKfH4DbtvalCeI8l8yCGZx75Dw2sZnK6kIFlTt41SiB1Fxv5Hmir+RB8AzteSt
USu5mdzuym3M50GJ8PNxZ62SKbfWUW98yyegP2lV3vZzte56m0jwmlgYe5xXZlGitEmHBx0B604x
uTuDpaRrs/hrNukzm6P9LKS405mw7YcyZSba6HuOiYaHw/wUDejKLAgAAFdNcyPr5CoOLeJu09s8
Gy6EjiiMJBeISpL6ce5e62FRb6yM84SsJHPTZpxWdWHdS42YRrVRvwW6+aoa2Qe90T29R/b5sOM8
oehfzVZ5bBPbXed5/pjLTsfn299NU6dtYyt/KScTu2U5CQjAU9SaB9scrRsjcSqbbHbse1NUvxuy
ANIhCEhdGCW9qM8WNil/TjldDfN7Y+gvteMaO1clebty7eu5HwrwSNgIzQZdmEVe+Apb3QeYg3av
2t1dVHQIR7BEYWUsp1VvpwlrrfFaWeZdlwNYkpED3KIPpNf0dGWTqiqgXqiXAdq9z8zx6zBPZJsJ
KstEH7whKO1dmhbuelDMbOX2NXZwlRMb8q8PBr/5WmtJx1UDKS7xSNTJ0NYj3Tw98gy9vpX4YQ6T
Q8aBRkMqjYuR3ykG7GFMXkzQCwLlqDoTILOf8uAVX+jo5QqIKn3pTY0Gd2vVJB+WXXAKC5LZF0Ww
CU1j2llFU+/LytykBCJ4kW1lG4fYrRXr4bwFxPvaOGJTNArSnWBbUrLf0PS0YIzELjAJqULdy90N
oGpC34H03FiFXm3oBO7r0DgldkyKQ544W87JwGdoja+DYZoOUd9/SWGubKKqMw56ZRC4QO+KmO+w
2EVFMT/MMue3kZOyEeRVrBSK+1Wog2oX3bA38oDZsOaQsi6GY5i5h8Cdj0o8kzGjcb4JUjIW8oVZ
RltPsa3T3HLSi3rSIaj/r6s+ui/wzLIhatkGrgtd3Ehp8Bd2H1ZNNGqORXU7OsgrJg04GqwRWupZ
dN3FqEGCWfXSMh6wJc5HowtO0Go8Et+vB/I0fSNZML70KFax3VxckXw4BHpkbUBDwnY5plqKAPUj
QIM4k0/CJEPRGaC1qspHrU/fylSh+xffpaBp1pAbLJ/JgLVqzOprRhh9mKuwbw2zhfds8pIIDz2Z
qS8V3rbV0MeXwO0JmwDV68m6wQgapMfCydVdMibhI65rCDPBi8VhCnRl6ttZ/g2l5gteG1Kiu0v1
fVbf5R8B5hJfcxmcu3n22IMFB5PDJF4HZ4xXWfWULD5r5JeixU2PGQiYtcmeKpSBBUzTvo5OizAr
ODnBlMNzmA6IIF1YvHCzRfGUT81lXDDI1pTDH0vMNT/ooW61o8jyL0rlfJMjx0eLDkpRYylok69I
UzZtX3bb1q78FiInvm/lUU3U0xwe84SzSm9jRE3f3D55j1oW34Fo26SxISaSIiE6zOitBfOxlZzc
Un6enJN6QutnnLmf6Z5yLNbNrwZB3ytEOndxEvKfWcCHHBFZk9EpJoOZVBMn3lK5vVKB7cG2bmoq
Hfr+FtbjMl/3VXxl1c4qAKiJDfg4VmOJhyg5pnSttkbefZBO+BTStV1X5CCodk4WRPGoGWx4YO+2
ItJInHWMC7qHh0ZKjqMtGdELib2K3dPEyd0zyCjpFfwpdiI0NCv5FsEe51I98S1NMi8yKqITSPLG
4cujU8zIT4iQucuHmq/mFIMfUXeC0Y2Jm2XuUJjN3jaig5ySbxFzgE0onatJS7blvG1d+FAOgIrC
08aTo6T3UQYFmjzXfI1Ia5vQrV9NNoWMMb8bDoQJGb47VnwydXyieHIjfqz6DWwRQkpdJoKNeGiO
PD734RKMxvntUatsojMAVbSN7+yMMNvpSJsx7XqBY1Q3hdUQtaYWsUV4BYZd5SkaylKFVV60zQFF
imTkEMvBGUhvHJSJkD/xWqgiVjwzQNsQEvIYe46bHrCW8ylSAhM5c25nN+RAXyobhYENNHhFbmKz
9Mw87b1gKJ8RD85+4eABG6ZQ8zM9eTCa4k6a1rhBa/CtTponM7YFSkONbwoGn0i7fWSbb1UxXo+x
C33CXqY9cZevqbvadZqagOAlJF6FxgjbyURdqLKxYVi2+P2W347avHcn0nujU92Qsp5Vpoep/jJ0
8ZXb2ycE/S7jh+RNcyevdc2TNk9UN2X1zt6CoD3LgBU6D20cm4euV7/OMEe3c4IdfxqcHdzya/KC
Ioq8eTtylFhR10jPCoovjcx3eF6UNbpughFb6wRn/1ZPB3z7zJZEXsod6+7JlYh4JsFmh1x61w88
0YnOG4LfWgMXJI+RqUTTomJHVr6tdKpdV0tf0xraQXSVVnA/xAR5wdiLBhG16wwXhZReWpRQIUXy
BWk+A33QpnKKL2WoXgTjvqwYLibkAFp1ylx7TaOEh0Etn1IZ7rsofuns7qFyS0QsM+z8Zjta9h2a
HVK8cgAJ+mtcaTu3VVgZ83A/T/a8Jy3hlQ/4AMofayG1oB91FfHHufJq5iW2+nkgYK5OjmOUksXE
/I244fksh4mAGkuDbquiqoFXLYu3tHLgWYGazSf3JYMQEBvRUy7pgf73QP/9QL8IQ/7+QP+7CGD1
1ry/NW9/HrUsf/zHuZ6pCV4WJi2mi69qyQv7Y9Si/mZxOGeeIgAkaSZTmH/rAMRvGkd6knex6vxv
N+Df53rjN1hKFgwecKnLGOY/Otf/aPlaTvWC7oBOtqRuMNgx+HSfVQBGhEKeWHPzEkFJaS/j+PLp
svyFBglhwp/6BjQu0B8ZeMDpG9g/SUn7oDU7IF79pZ+Fr+vVt6kyCZFKbkXTfWP2ylSmiT2SbnD5
KMVet91dUydorVkJLMUCKcPTXdjNTmnV+4Q8J7OtviiZtvg5Ecc3jHu6VK7mKLvSOGCmJ2PoauMq
hMcjsRcO9AN0Yy1QGUwbo5xmouBVsR8Jd/wmBQNJI48s4gFjmwiFOPtS60uwOEWYb7YETzRqqDwn
cBBhoZoffTTmm06zw7WZRvVRcxlbMsy4sitb8TOneXab0PAZMLFHmqZk4szB3dBLoosbTs5TUyCJ
jV9TXT8JHbiIm08nGXIyz4pyVxTd7DVBTdJPtjXm+Iw9w6DVWbwqqqTzb47f8lS56iDasZXOBGzC
Jgqr7s5OWILUam8gsUxVZVdU/aGDML0GvXgzps4hgdbOntOg100PtW2/Bdog6UQnuxDhep/Gbx3Q
Q5iG5gpGwY6wqSsFMgS5Cl7ECBfyz4F1fpfX4mQWtUAnMpwzIiqt3PCbiqgDMB2r0nQfk3jGFpVm
102Aj6id6fzEFIK13kEASojSMu+7jEhEvFvgXWfzLjZwUEftiLbeifdThkREJOB3gsTaqnUMemVR
u5quL9H88lvAiS26YUOu/QG8yhpu1ZMJ80lG4mK11kvbzVdpbN5GOWCTfsmWNodzJJt9Ocl9OCZs
06hKc1cyeJanSM/uLA05XJdkT+zcjzh9nqyg35SNdXBmsVHG5pV2AZO2zt0qRvtS8uX1KR+3yjR/
STNgNXa0bgI0L+l4ovfrrPoa6g6Dfl7UwUNhAg8KLfuVp4BoguQlDJZYyxYbDRki3Db1t6lMds7S
FDKq175RXxRFvWvtZRcOEm8Y3bUqsvc5DW5STA/QCMNTmizwD7o4K1Ox76PZXdecHtZkUcOYzPN3
V0OjrVQRkK/ZFmdnhEoeE0PnKRXboLDuEtd87qs2ZGTUgPiplqcnkXeqlhyVnjpNrzFPCIY9JJiJ
29EBl9VPfXZkykAAi2W0vptV1N1mHPiytS5hh60mFhYxIE7oEUMNycLtKOk0YePIqKye5xtiJ53B
SQmwg8RDjBEvtk51ZYHo5FKQa1KFZOOkcE9Io/XofDckFCiq381klxVdgGrY4YywQNePFZ4nJ5r0
VVc3R0ahV5VZtRhHRvQvBgJWTa/bHZ3WxA/j/mRpIeVMWhVkcYttMM4u0lVdW/VmVvklsggSZOPs
ys7UDKmT0t5AiwIQFlQfYp4em8B4s9N6x/oGyVjL164GMGzKlFOQ6kuIDT2t1BLwhbMyvytFD7RM
o2lFSktxKwd8Kbgwr0zmo6wsa84VHjZKuK9VcbRrmwWRgkqzF48KTpyKEyVr1CGsg11m1JA+gTzO
3SlLlG0korOaqU9pMzACUg/SpbdfjOmrmQRi1WI0kU5gHbUOrlJAEfjOdFlfz3O9dBFrmd+nWi43
Q2ygmC1jPHN0UiJnTv05jpvz7KQXQ692KRJjrbba9WIuQ11OnpAUHkveXicL3g9Bnu6zaXiwlOo+
1zlc5Ks+81q8ff4kOXaz5vQHqVolStylgxgr31C7qDjpmJvzdqbX0K64gjFGgOSU2sOOIJphC8dn
2rL0I+eqeQe9z+6L3Ig9FKfuoZ+a5JAl4aVAaIuWyXD2WCmjlVna96IuOWiZpFSucp1u8WQGAaKd
+t4KpnunEPMiaaaT1JfthuAAbWXLcdMRW76l6Ce7b6oxc/KHK+yH/XMTZ85mdCZSW0DrR+xKUUeB
WvATy2pjOHnjTXn5Yg3VvpDxZrQnv2+J05zsQ1pPD2qU+EMMjw3O3EOf6fcOLZXjOOFiLcn38cog
Q3/QJ6CJVPXFsFw6W6NZP/cWTd6qJDmYVKr01sbQtmIG+awvoyIy70fwooqLSFj9ldPjR50FOkNG
/xBhsHnYCD6IsP5x+wcQh0YwTIpLt0Q9j/NeWPJGNu3mn6sA/a/fxwSnbRsGj/3PRUBnk8cFrv2S
Z9m5tfQHVqVrBzIby2WzkpPLDzBluwHmYeaku1aP6PeRk6QXR1aqkwhaKOjpTQTOy6pV34jI5iCS
C9/s17InTX3iETBn52KpIeXaH3XdXxQwf/nJEVDjjDYFA5plLPJJwy3yvow7Ny0uhDStwgn2XL6O
yt8j9P7WcOMuepZPqt5F7+liK9KZGXKNuNF/fJeW8ImJQ95wqcKoxTBh7o2ShUGFp7wB6iYWntez
UmXlDagOb3LVvXQk0WhTxUJl0DBOcmBcc3/TR4Z7V7Ar9SWHGJWEKBPRx1rojBtEGV5ihbyKAOmH
1HlurBzJxbSoD4WWvaW0F7UsjLezrFdBq1l+lMVoKzvjQ2n0jcDpiuOt5tgGxX9d1gbuWw5GbEWU
NpG1r2f9a2yi7OcA2i9DnNHOzhMqQBrAE+ZRTSZnNUJxMY99RN2EEDByESpocfgY9Fp+X0tCIl0t
hNkHb7q1qm5H9wD/HVucBolyShhGV6p+JVQMN+OMbVgzslOgvvVkxwh7z7r44igZ4gmp7abEfMmA
qPlFVcwMRTGZKKo3m5QeI4+ZZ4d96Y1KvkNtwYlZGw9M5N+IZoo+8NpsUbTlTF+js14u2XNtvYmN
1l31+nibW1Z2cbHoatY8Hmu7Pf/zPQdr4S/uh0X9y+3gkAK3xDJ8vusAVpSEjIrugub+zXDb3MPq
kF0spW5XrKevYUswCoq/tWbRkY3RI7CinrkqM7KU1N4BYT53zOrlrJ9F6TwbJlk5bS7qDR5iZhNC
RxAQEwROi8Lx1dLMd/D3K4+ZA5arRqEeYSFS8xInuajvwpz4Wy1qAbctsv4OenlR0VzP54+mtN5w
kIn1oJX2usn1B4sANLOdQg/lqWeVLakGsAlXjbSeE8fay0D/ArgJeLVkGXAz2r3jfeAmJ3toiBoy
7ujZcofQMp/0O0L2zmkS3dWxuM1td2tN3bNDz4L5YKn6Vt1TC5Ly3vYSLalAVmkkeIMD2sYIWt4U
7ol15RovmqE8a9FQezUhJn4EvW+YyexRxpKJWrNV1WTv0oPSS0iB0eCZKRGujiOPNlRviQyNbb5a
UrXuDVldXGcktXR6M6T6URvNW2FbPlqac9oXXjqkV0THnOzC2sjSpHlNnGxc2GDn4pu0UtL95Mxo
IkBUZoGXVxQ0qLA5l/AwDop7I+vuG4rMAHWpSgpYsuk6JkFWSyYPTV9Ns05Wa2xhT/EraWHuE+G+
BhpfYUGLTorGME2TT2UJwVHBjYZTh6HaRk+VY84uHkng2RqU1qol1Q/qxt5kRkQSoJcFcoO5EEZ7
Xnm9UhM4mypbdFfHGU2S7cYkKmvYeVqVRXdGP5doDl0j55qG1A5W3zGU9Qm4H1VvlylXWSUr5lT2
wQyR6zAgpDfPHM2oYm0tMcRHlTwrLaeEjOkxdvwS/xzpZfg6yI6V1DEXgmksJlbmLrCHp0olmDVX
z5bADAvf4ZREkpA2Ym2OvY6ArUV2DrAwKLZymL2KumEHaLv1cBntmoEqxC6ROdvB4DMu1H6xtf3i
STV+MtnokTslbpX2F3RwDEjOzDnWI1rpQF6lzVnjxPLPa8NP/o/vO8WnlcH4aSfVESFyumBlKMuv
mv1lGG8H91SEz9Lc/fMbLaqCP+1JlilMHREovtbvBoJPO59su6FO1GG8zIRe+lU8tktL+l60YbmP
SoV7jhTtqoohwONWODu1I4gNLtEKLh0vyeuuW035ZqrOzVgYyKqM/lGJy6tSte8yyjdOPeuu1Zem
2OgVXbjJu/iVvPEnJcqq27CnzSeiqNvmoj+KRF1RWPiTBq+fEm9bAO1/cnX3rpohBBri0BvdPjZ0
4lqmvajcK5nCFmTbtpX0mOpLpJ6yUiJnPVbaU141fpwFe1nhMM9GjPcif5vVSawzGb7Uo9s86WFA
DExrhL+4qj/2W74bO9zPF3XxbH26qCi1i7gJnPHijK/R/D45v2AW/ur1f9o4VCWjRg7T6RI7d1WC
bM94+MVt8c93hfXT/ZdbeaqmSLMuQr+OMdtxmdRo+gVOabkKP5dDzLOQJsMrFI61FGWfrtJot5Kx
Kt8C6R5YgE7m1CQPUCp+8WvoP97j39tfBl5cja0Wig2V6Y9vNCUxGve50i+UMR9sat59tgk8xR9W
8fppVaye9tZ6OL3fxuvocfTfMn9654lud7+y6ulLn+3nb/zpsf7+QT99Y3eI3coNWUa6zeCpa9Uf
7/ptfhNtXN9lDr7RtlznDVnsK3ArvutVg29eio9f/LZ/9Sk+353L4vPpU2SAPR0MP9PledzrPtaI
jXttr64w+0be9kmsTzCDt+4l2oy74k7s7hlnbscd695q3sISbz1aZ57rKad+V2zbK9iwwD69x3LV
X9T19D/snUdz3Fa0df/Lm0OFHAZv0kA3OrCbOU5QJEUi53AB/Pq3QFu2RNtS+fumrnK5ypJJdMC9
uOecvdf2jZ2zKw9i29zmm+ufv/TFYv+XD/D7l/7pBC2pbUxEaMx9uUIcu2nfqk11o3i1Sy6HF3nx
utjk+9K/eD1b9zumgqOb7JOVs0d96vLwWQOl+Bq4dz9/VZ9yYv6y3M1PT4c4LkFembyqaOesInfe
5n5wg6wwBT+0MldYS9xplflkpG3VJxpp659ff7l9P99V36+jT7sNW400tdU0nuS5XFtCHCCkoAYg
MObn11l2lZ9d59OuY5OMOAxzNp04U68G8SqPW2G+TNq6xnMqVZufX+3vv+o/dofPxaSE1kcz6qQ/
RWRMTsFVFV7+/13gU82H6j8zTSYup9Q4qAl9QMfyfn6FX3wx1rIQv1toxOrYBWk306msToRXbSr1
YUZN/vOL/Opz+rS5tUrWJgPu6NO4fCtz5jpj4v78Er96H59usL6ciedq8+kkCOONzVMOWRq8288v
8ou7y/q0K5lBKE0053gaEFCsO8hUs+5c0yBhYZ9KhIq97legur99XwbiSVLzNGgMny4JIU8Lqrjr
TzpihGSTkkGTmv7P39bffj3fXePToslCpn91pI8nI9Hp31/m+S+6Cr+6wKctcQazpSVlPZxkNm2a
0amW/eIO+3g+/mzhf7qPIUvZapBxH1MbrIjf24PPP1IiuHviNdfhOaie3zLT/rFVspiMfrrXLO/6
u6UD7FqDCh/xjHqgMVywqx5Drr0Sz8rZvBtWFzMUCx7dxhr90sq+lFZX5DPxVL94rC+0PVV7tErW
U7faYlvwf/Xy/vZB/v2W+/nOiRu4TgGLTjlfHuTSqgVDtisUd5X6undfrPbyajq8yy8UZ83tdCBx
9xe7F0iZn39Cn773QWrNqAbLcuq8wZu9JQjCXDmHzLtyTuaZ5vfeo7oJVgUd203jV/6v0au/egnW
p+eeBPdBL0TVnaRDuUL3Na+Sr8ZG8axD/zZuq3V+ZvmSL72Hj5o7+uk5mbxvP19dH4XXT25N69N9
kg4aeWwFt2azGTf1CkzYcqrbpe7NsBt3O9Rsq/nE8P5e3pRevql86wLthdevox2+hKff3fL/fN8u
B+O/vJ4/l/tnGoMtoa+jVO5P9Vr3TR8e/biZN/NZfFBWrziDN6lr76otTb0zsr9v1wh2+Io6P91c
x/j60fGvPz6h/xySMjf8Hy1e7xm3/m9EzNNz/va//+Nnb0Xx15H98kPfRvaqgtXeZCBPU9YBvMsW
9MfIXv1CraDzj2LQp12Ood9G9lgqZVknUPt3eyR/9W1k7wCBgnzs8C9KYWgg/0aKr5jLrfvnrUTV
QiP9w72v2jZdaX7dD1sgWd2WOva2c67mDeM0Q5krv9HKsLjUpCJSKZvzNnjCbtRcaojczH0+xIU7
0ygwE+esKZwUpVf6kuIRIrmC/E+K70nXMYVUWjbmbrMkK4zMn/rBuURh/g6PLXathpy4XvUlYGlh
GyMzrn0ZiJoNTG2spK0UZy+M4zVaMeVZmIjLdOGvmV3jIdXeWrK6lVGqgxkULgw/CSsLFYHinFTE
i/FCdWOKm22YcWynhfhWSMpLAgJurAdj19jWQwUcbm7EK1Kmo+00GU1x3tujQ4+uW5hy+PXemsle
MgxQ2S3cuXQh0M34mmDNEH06KFuimA7DQqsTC7cu1aRmDbe32Mmazbst6A+35XyP2P9oz9DvxMLB
axYinoqaP9LhTWp9uGkWap7ShNY6AaRnA9TDXjp49cLYU4Dt5UD3iLpGsFuejwuNT8oDY5MvhD6I
pDuxMPucGACcArbHk4U+AFSA7cfMliApiQwgUKxweabL3Eh3bUizLlKTr1M+kB+90AKbMsAXSfWt
hdNzofaE6CnKe6dKewXUIIKOMzQVsBAXCuHwwSNcyITAnRMGZAjrR7CFjOnfcqkQD3yfh854mnPz
CKLdHbIM7F2yJxrvWiwcxEakSUuf0KlpMapFjwKNGVe4qjImteYKTYFTc8Sk/Z61to5Ya4j82LZB
PuRh7RxVS4r2VloOPomFhEV/xCYR8l75UWA71wEEQCrcSUGiUJco+QeDzCycd3rmZYRz+MpUEsdk
FY16BrKgv7dL094SNik//LcdfiiZFLaHf94Od8X0N17x5We+7YaK8cXUMYvjw/4mRfq2GyrksTmE
tYG4+x3++8duaKFSYvO0TAZ+msM29eduaHxh6Mhg47dk13+9Gy5nie93Q/hKjra8BpVXARXn04mL
nKmKCb/VUXyY0aYkFN0by1y350swWTNa0NiJgtlc6xDhI4qHIRWASjpVwfOmTgX9xCnW4BjYcT2d
0/NmQLeye2E0DPJHRgxQOLJI80HSYYEiLieLWwTnQTKonhQ4ZfE0N2avX1h97zSFZ8HYJI3QMMgA
cxVa6e2zNXfNPONlDKwWjejYgGQAhxI1ftJWzjGq5QhxSgNjVwj9ti6JZGCkg+O2BDmsp0nuKbUY
DtDZpw1uInqaWdpfKWYqXuTCMCos3VH4Qk7xuMlaOT+LzbRcQ5ELTolk6BvsvRGuFwV6kQ1h5VKx
VMJT+1Ic08ISJ2J4OmRH1Xsp8EShiFWbZxCYKAA6BLNuhOx6FxlJd6OKGoFtVBiv9pw5/hBl4gya
7yrAielnkq5d2bNMtuNiLcp6edQZUbDHGV2HX8WUOYjhfN+kIAw3eqVU5IC2WL5XGm4ovqZuWwcy
fkOlguDnOJH6pM3VfBHNc1KAQu7Vl1RvjUNft+FuYkN60IxWQx+gIn+nc+bNdt6f9336ykda7GrH
VK6VNpYzN4HceNQF3gDUKNGJMWvohZMRn4y4bX0H5uw6mR37NDNjQuJUJJiVcqoXttZXdLXZGRbQ
9q7Py37TAtsALhCrqMaUDK9P1KabyQlw7o61eamkKHfj2mgvtFirPKSu5QG1PEFMbbpHdD5DdJPs
TW1M47vQo2xrV3m4H8tY57UllnSMA1MGsdhCKiwnrDcMf9DITHbhVyF2HB1v/WpENjcyg3GCfdZI
5h3m1XvYAuqZKsHy4eUHxHnB4YNRgiq/aeTzaY6g0tki2YUxQ64Sx/oRDd10FTW28IZW1Osp7sd1
OMzBpq3bNvT+21l/21nZiv55Z932OQzmr91fz5qLRvLb7qoi55RNGeA6WywiIjbeb7urqn/hlAlB
ypA1XYHK/sdZE6rokn9tLM2J37Mwv501P9IzFVVHG2r+bhb9NzGZn/ZW3WZfdZZIAwjvYEI+lZJd
D0fXKg1xgeAoTCBUQw/6VRvkg1r65wbOu4A2gh3N4ZmAAIL3++NxFlyTliRpW11oArZniwaxheYX
aWqhXZB+UnOyKs0xvZzL2CS6KIqsB85eanppy8bkRsR8qHvVrNx2LHc1w9c4yNamFiNsUnBJzZo7
TdlFYEheVkq7qXUABJfXnQzYcIqIQKqtqzFut8FU56uIwWMRM7c29HovVeJcstOXbEqfJRDefVXt
QBk/AJzA4xBH52HXrm2VnJmopcAcm3cMH36FcsjLOAv6ca33rgRXkPmS2NYDwvveSm4te1trrcvb
ewhNeSc7KNY0pdrXY/GWtU4EnYDgqyl/C9BwMvismBHLDKnqttlUWX8WkI7p2cXiUBcqx15Lflkk
fpqOSFXRi5tBCfeBqt42I+cmNe7u05w+WTSJ19bU95PeFJs6qY5FNArEepbmGXFguEHZXDcxNCxL
J886nLRjHsJO6VrtMhNOSPXQP0iJtpkFbCUqI4DfaveeWCTf2bFarizwQkWpHyzR6OuKSM5VltZE
/cmINDBUhe6Y9OS8VCqb5UB4oF7N90peYinFTVr20pUhJJgPanYjcrLKIF49SnWjr1RR7RylS05Z
JxQXLseeDZhQcqVGN2eHPIFeaXJtnB7DTC5UVx9rbCtZcR/M4PGD2saFFyr7xu4brxssH0nkK7NM
2i5Tc+gt/dVu4UrZSfxu53gKQs4NqAScG6Ar73osXFSob+zpAi8cg2uVQG9ltN0yzC8GtX1RkkR2
m0XpBoZ2h1oGm+TQbWJ7IbZo0CX1thNrwEcI44r+gs36dgh7WOIZGTha1CyG3utw7GqvpHXuFgE8
CZ0pN2Ef63k59zp2cq1qgwujAZ+IM9ynMjaGeDLfk8R5MnjkwFiFh6mNaYBmLEqPnFIaN0ziymVf
uQ2n+rrQjYpcbzTRmWV5URkJbtbxaUgIPK1E3a9tGGVodObH1Axgo1IZDUnxpiukew6NfJuGGeYN
gmNHyY5hTXSY+qT3TrIfQdEDGUgjl54cMoIxgH4BGM0s1XWnTemu+qBqCr1Bz1jxaTjgeesbIxTI
VExUHJWTpbeprDk7YybwyNTETV2rnO6rtxziTpxW2Sorq69KV+PVxbm37jsshqnoDn0TJ/e63nmZ
GRC+aN4taa3+FE3JWU5kfCxJV02fOEsNh6rYC/Km9AYEDZI1ll7jVKXbZgiN8bkRtlhBLNV4KBo5
VS59KWjvFWtzpUW050vrIbKNNyLsajBoKHP1WSFnsCLKYTrQKHim23UQHTQ6o38Mex0e+qxdNYWy
TirlqlS0nVCkK6jsnimFd2qKTNk2sLvLJH+GF7D5LqY8Os5ttyEj0yW8+isOFsSSVuKlSNvXwMbd
tIbH3jbkfmN9bKrhZFnluqlThEnwdrCOC6zzaGYSW8LAKp1PXXOXx8T1Bmr71hJJrtbjvdS+GT13
4mBaG00n5cANCoFYygkE7YGknyRpLQ+TdWeFw+jXdaO6STiqrmFXXXVKNe0hL3XpepzJ9R6KUHaz
hH1rlZZ6NXFInjW/I0DItTMqXlvL71LEa00nHoTI7tpaeoSso13KvTFf8MCrN01WP9eqsosa7esY
2Of1TIc/4ygH5x4ZOBp8L64HmpNJRq7jnDs3em5PxzCPruMwfMGCLbkiRZfc4J6hjO+AqRaYb/Uu
eixUvkUR3TCASzxHk/b90D70SjnjvdTyTbAAcglkRUUS8+xxnZQ9oJcy4nr7aj6XOlu6MRN8rNPk
iHXYkIfOKm/vSdeEgdZZ+ZbVbHt11nm6OaBhVTrhY9cjRTgvJ18URHsOWUUWaIeNGV+isRWZo2zp
ElwYaXfV6tHi2PGTYSn9peA1LrEHzKZyQxPjoVHG69BozB3w6ody8Rgg8wl+EWa3VEWfHrowg0k+
N6mbLGNpf33fRjezvgILXvcXpS3w6J0n9o3JqzbowyDB+O7cc/Hbb/0eRPtpmsIDnh6aqWjoTGmp
KZ9bsW1bjp0qWnFhB+sgvathJUq/mLT+6hLL3383FRBZnWWiz8RFxcKcAIFFgAGr6/+H9+HQwrM4
W1FafLpIG6XpmBRCXGjNTU2bViKrfvfzS/z1a+Gj+u4SnwZqHbbWEKeHuCCQNod1mHdrTiGF9ZxM
v7jSpznKb1/Kd1daXsl3n1gWDUZudryZmgGBUuDfV/d9jptsPeT7mY79z9/Y8sJ/vN8UGzS+oWsU
6Q7i+x8v14UJho1OEfSWHpRFjmXehNFhyv/r4vwW4rSMIP+51rguoVg+/7XSWH7qj0oD6ixlAa1j
Whhw1ljxf1QapB7QpsFAAXhm0SD/UWloNq1wFeafjgBaM0DF/tnHscmLwthFX8hU+W7/XVebKIPP
dwglAA13ujiWrUG7+VQGpAVLN8U9fa5qGDfx2GPw0TSzf23AEw06UH85D9KtFBBvlCjOXdCRihg0
5BQbhvXS5dm1lQtnhd3N67tOXjHAfcFBsmuH+iyVEuwlBkniPFI84gI6ZrrKE2fZ0G/Zmg55Xe/g
AWCLiM9Bn+zyyDm26bRSGkJm+wAJ4zDNnHJbe1vEyXoWkmdpndcJk1pdmi9Ssw8Wz8CVqnWPDhJO
10iLyymVFMwA0o0UxQ2YAQjkdYyZGZ8GdUQWT08iXDZcI7lqG7rWDWdXJTcOhNlCzp0Lf8KlfJQr
fQGcIQdX9MNsVEBr+4PdBl8rRxxi1XyCwpNecvDl+FoER/SgqKtV6RHU5po8EeUZlC32VpD4c9vc
0Wr/GhLvvBKVVgPVyW5HS/oKKpw3kjnwIOzjlIXQ73kPgZwegaw/twn2iSFI47WYcA5Ham34hRGA
s8VK29j57VQF54hwn9hRIGNZ6tlo136nczp18rxAZQwCDRheHRjnqYqS2xDzthcKoqAZ15jpbOi3
sfVEvtzZg9vayWUBVcAdCgze7XwmWhtFYVA9xBEx5YNaJ7DweZC0k0VMUvdgzOIgzJrsqzZ/L+3m
SIpHeBal0HMhrSAuJPan7RHQduq2DaDPtXV4o2bNTq6i2AVh4eyF2Vdr1Yy+FqF1HQaT36diXOdl
vp9KFbOQJr2NenWYTRiQSXfPn22LEh29Ptj2ulSxqkVJRy5okp05Y35jngEo4vhu5Z7JlMiLtCDy
rL59z5V6m1iNbw51BCGlCTf8jzD66nVVYqaR02FACdxeMwLxEyN91CfFxxVOEWUbhw8mSVciLC6K
/LJPoglXdLrRO8QduKrXU4SBCJ+B7aZzc+R0jW0iX4SMk+arYXlIaQdmxHmRKd9c6qnYJxEizKih
N+fw2evBoQPzvOKYb02vZFE09zBHNC8KndxemWVhXakVPQlAfVCVLuXKqa8QeueZr4AL6zR5kwKT
RCIfvKfh+BYYBH9EZcbQg2xmqxjvWrN56dK+XlVleWmFmOqi9FIBxWzbOfQjE13baCEJtgYvzmRC
L9C5ovDXeXMVYF6LMmtMtqh5SUkPdIh6mTUTeg9JqIpzryvHjWZOz6OpejUFjh0gbXemW75o1KYJ
tX8snRV15EeptCtwUZpA7sIkw4EWbBPsoalNsO9oQw/QZ3BG3b1SN/B+kLKr9AWG3IapGyNUj+sU
ko0KTd/yhWOu8irnC7nrmsSfxn7T2+R75/0ulojCoMeKZ6jljO485LQ5Vm0TnQ1Lk5OGI5SS3OxX
c0piVC2ftM55bYXOIsAbNQKVSHXQCtV0RAm+E40Gxx3e1EEVgu92IdX0275tXvtmOIdt7LWJfiPH
IQf6qWG8Y5l0Uoq1nrIKZZiX9ag4GyWVr40+eMPixd055LvOCW23xYcFWXJ0pZoQNg0AhDwPh6iC
RhEb9sqOBzfS+6OwigNYFcp04on00MZe0dPWtreAo/HvyL5j9RexOdzLarVb4typJa11mmTsf2Mh
4cEorzR8O248N+e6TP8lTLYZG2AVD6fAnDlUlSvMogtGak/fZ2XWxlL1Tt48qxvTbNaapOzKsh0Y
0xUzu7AG4KA7yMW8hHdQXwITriv5BSEj5kC1f9JiGygS5uQdpt0LwPmrKgwvldk+c2zwl/MsxSBd
BcMucihI3nWxISZrMBzOTgsNgt2i8ULLpE1KrDxZ1++aOm8KNPKt2a3bxqbdG9eFK6SOiqu66Cz7
dozxYuaGQUhKblCSJmr2kGrBhFN3eE/a/hCN8l3WF6RAlGeR0w4rKllwSaqnxs27EeIo65XqFI2I
FpL5NlVUjDtDescOvG6hVjVSgOdYdh4ls7kf6/Eg8ohWep9bEKNtt1OigwqjNRqNc0LdDzrddzfQ
px3xtDTSlaCe9K1JQ/puyCQBVFoqlI00k2Rvj/Y6k+OdaqQJbYF8ZooSfYWvSKrAUI54/JRnZ57P
lQbXL8cFuugYAcaGnn2g1e9WN6Su06H+iS22y2ks6DTE92WiXpS5eqWnhSCcS8d6074atup1GPss
aTpvzXE3q+xfDbbIVWEUt+Mk3YEoITuL7pYoNI+OGkKeSZwPqTm72Lyu54IgnKxP+sumA3VmwDff
6oUMyiYYSAjKFW2IfqE7Un88wDJ0t5AiM6U2QRwzblrOSN+fl9uaJunkaM65cp2vHozNcAFncoUf
9Pnmqj2W+3hdut02PjN8XNPbchPtjXCbHCP/41z3n2pD4Tz4zwfcXV69NfFz9tcj7vJz3464Ch3z
JWoFsumHOIOh47cjrmJ+UWSA1lS7PEd+YC3QgYelINPd5gd/TDdVv5gwrW1SvWiDI+v6V6wFbAc/
HHFxpZG1gLEfoJiKr5IUsR/vISuqm2KU6uk4alWlLJuxbR0riwysdxmjv0EvsZM72lcaDLZ5i/k9
FQX94IQS3dTTq2BBvtuAU7eNMljTQuZ/DWUwLqUTPBO4dZ0GaX4xpYQu1bOpbjRDCWnoytyfpvke
VTYtJVy7lHsEYwK80tZWGzfrzhTWCqaQcTZDJ9lJRdbRz4YMNrkj3iM3ScLmVMkKkDqAP9Dq0gMw
0sJrKzFtGoN2bVfjJcsIs3LJzoK/ByvypA/TPjXiM7vsggMO65TTgQNHBV0KjxTVJNozBWA9OlaE
VYw+U00T01VSq+LpTcuntjFUybr0mNGeqMyx2FtRf6OYuImDHCoO9J3KDdnyT01ivoqCTlZdWopf
Gsn7nCRPIHYA4eqDkuM5s4KzSk+mW8hSgVc3EZpBDTFClLx14aw+0tfFRAkHcjOYWe1ZbQbBF+FB
zcstnANEYGVtClna69UonxlACPyYXK1V2DChayzr0gaacE2rfyei6UaqjAIeQsGT3OacY4IIIwus
cG2KL3ZFxhQ8nRd4k0DeQo1wpkQc/aypiQzMWSF4Q1lLD10wKZ1P7OZEH3huGrM5j/juBhJh4+OE
UQ+YYqgE4PkSfpPj2g6Pocp2ahiPiC6MXdVN6o2El5pNfUjnfTMUznkMObhelbMNhsjhQwjOHYhE
EIFS531QnPRMBc6ItWy+1gcaUf+NAn8vz1nK/7x7Xcdvzd9yYvipb3uXKhMiSI/MoTznQOKwrX3b
u9CjgX1FbYZBRVc/4pf/FJ1ZBMlQMBu4xQHG8Au/E505CgqxxXOtftT7/2IQCI/m095F6a8u3QO2
MIAxKC5+3LuAeuaRWsbyOWKQmITSeUF7PZXhV9mBDh/Eq8YszmIbwHEsHPVMVPx5o1rnJvlbfV1t
YENcZX3/1LazK0/S6Ldp9FA0hl+TSQJenSMtPf7WekQPB5ViQSVaLALDgujacgxUw/62GosbpFz1
qneY7Ne10hG4Wz0GCZEihnowSOulvnqeIzpayfyg6rCg87HbR5yDEb9blEXxtu0Z9CXF/MCJd0sI
HxAoUuFHK3pM8uKWhXHmJPUDzxnY4Yb6Lonivm76O/AJ8Dx62u+OtJmt+YL2ugXvo/IrJ+ld4QBv
jDsyAwKmW1YgCAagFJYmexWyEVi1tGla9FtTbt/VQgX52E3o2foUYGWgHxLA7GjZpS2h6wy28Iht
e+JASx0jDoGvojKvRNVfUX03t5kxPWcV00SzhooeyfcyLQNbBvVWyeMxTCtjJUKANEZSbDvUH6Sw
9Qddb3ems5yvA2M/KV/bongKg/52spkdTOBsVrMtwMdgcc5q7ZhZcOcsElocQ7k1Z6LihMwBWyLX
tWsRf01iMMngmbZJO/lYZdfVEBN9y2cWhpnuCU72GK7TpBuaUzdyKl0HyAL9jrS78dCV5FzPeiV3
u9K2w3VnccRX1C6hrC/lBipGrFPNEp/WOc/ZUAsOy4baeWYqj/lq1IgEd3O1xAifUd2HUV27le4c
874ms6XUXouoqRmGEVDCUDRiNwRhhlvXE3P7Ct9Fp99fvy/RSLhHUMQVNDstZYIUZABfmKvpAKH5
JEWkdXdqxe+AVFZK0UM26o+FPVLcjcM1+S0gy6Qq9vTa+Aq0712dxjeUPtNqsLK70NS5FTTtiIES
IWKrHppCitELdtpaN4aLUdUwSDvpVo+aRzs1uo0Gg3NtBPYjXG7mcrqJdtISX2ngiFWRQUud8g54
Z9wCQE2c8JiF0il8zAavCMN9MSZf9ZG0l5z7pQhpPs0Hsyj8pKwuBy2J1lE63lY6g1OzDP0swmBM
1iF1hHkfkNYM4y9Y2ViH4T5eMj53UQm2dF0ekRe1JCxIJXMza449fhVtOCv1JLBsgCOzlSRFSIUa
ILAkVAA7iwABkmG9S4m5pFlymhvyxYvq3XT0xs14psibekqb1/9Oxb9JTOiC/vNz5fDW/I2UWeFn
vj1VFIsTrElQnGkBUMTJ8t1TRf5ClKzCgZSiRgNE9mfTF4Xeh+YD9wuDG2tpFX97quiI94CRy+ST
UQ+BH/s3UuYPn9OfUwGKKofxk4LABKAZXPHPPgFLqUJZiWY4B+Rer1IiGegtwWXyrFp3fGuwn9sg
FJu6IktdmeZEl/Z5a/dQbK1YTR5jFdrteRSUfb1Du1rlTDETIa+JiOiti4pJurjAhnCqtDS+AU8J
ZT/SZgvO/9xyZIuSJy0z0AkWUwgPJkASGDJuA1FULCpCVZ+jTfchiKoX+MVOD6ScxAels7L2EWxY
wsR1JE4A0qXWm23cblTC1JQ94WhzeR3OHO0QgQQJ03BCRH1HC1E6WyA1x6EzvaYUiS+lU70WdaD4
FLfKWoz17Mup2dzNpCwp4Hgmc15rbU8PalKdeVxnPaxNaoZAQoerVxJo4Go2j/3URqVXqaV5HdMo
IavEqnhAIxX3lSpKu2vMP+Sa8GjNzkfanKpfW/z3FLblwyx0h5KfzIekoT4vrR0ccE1e/7dEf1ui
rKmfLNG4CNu/qVr5oT/WqPNlmcuwFhUTuPWnNcqZTzYZ3JgIZb+by5hf8EdzuENKiz96WYd/LNFF
X8uqtVSqYJoWLOx/cfD7QM/8uEQpjkklcChOTMZDbC7f9z2UQOvIrLWMUzRLWnML/z7LIW1OueJF
kdQTuYRIPj62dqo9VOi0MAWI7FKWNNcBrp0DBR672O0sOeBxa5ttvcvLBleSNRBn0xstC6ptg73Q
MhGhryjn9LKE8E8H6orok6dRAI/jZHyazKL29CUWgHQ3EO119AJUwmTeQ3gAtX20mmTJHckVQFCV
cj5IJ0+QORApwQOSUFIISjkBsJx9pBOkWQmObIksGIwGYLkX8VtNtyQRrzjq0kSCPAE7MYgzkmky
sZY7AqmDYqheIOk8hUNiup2ZB65SFZt2RCdU5sm2TqQtDcFuNTbFi6zRDs7AOIGcyW/jUHpVj6Tg
HUudeB78hYiUZuQeWXCj1PZlDs7EmQY/mS+VzrwVQ3vPgXmtg8J2fqPL/NdBWtyJ/7wQz57Tt79Z
h/zMt3WoLgNScjV1xabOkbXvKzDtC+uSBUUeukyrhb/6swIj5lOVKY74S4ag/MJvz0r7C+GSdH2w
kbJyltyOf7EQGcd+rsCWPYAqzyZrVyYB9tMInb4Ju3JdMEIbsvAghXkdXI9jWuAbV+PUF7oOIski
FQkSh0fkTLbTG4RrC5JumwZo7fJJZcAvZLowSWbLm7GfEhCFBvpDgNK2gRBRJDHHdvCKkpMYR2s5
+I+ZvDHzkGYHwQnObL8ZCUScYSK9Iwj0GbMKmYTFKA5JkW0km6Esj+b+qhta2g6j+ZSNTrFqkwiI
IwDnTC63M4IroYZXtVL0nmxOs9eqqMOKvNl2s3JyWueNMI/LWLPPodTt0K9cxxDbpLJ9kEK7OhRB
eagjAtsjPd4B4XzIutC1peg6V43bMLbHFc03qHCpVl0rbfiICHun2dU6kYNHuPPPQLIU2MM1tIJu
EGS0x7xm3VrO64PbNLCfrdI51BqSu7RRMfdkpxrWMnDr8Fjn+nMTdecdYVrdgjxxyCmdS0ERFVT7
3EotNy+7reHYnoywggodr89ckIwGrNmqNMXTrGk/B9KD3USXk9ADlxncrg8LwMdWO7MLsA3aSyaA
EoDHEeUW4f1jygkFeTkkL62ZN+GUkZteRa9tDjRpqhTDK5TJJ3huj61Y83NbPRUV9Y/oMtgHTXNX
BZG+1pr33pzkrZmazprGEc04w/Q4N75LY0sZ7DjnddbXK4iARIdb9Y3NiONMcrItYXGXGXnnztAM
tNQoVbvKco2wgKUlh9PTVMx7O9S/WojyF2qhQ0jc/Khz9icU5WmU58saSRUNpUdRwclvuujdynUI
PyIlxKlNTrk1bdN2pGWgK5i6e/E22kzoAFDSm6rCTaL2r1PUYBcwtI01pK8Tx8oSmDpofTU225cB
8ckZtgt6ZfliG+oQGmeeWMxEvH8CQqbFYRQYMW6jAdsccAvbIiokZzfwaPcjH6wDfjhdPvEZh9Mq
DshxLrp440jQ4gkOhQrJYyTaToN8PrMYLic7sfxUssVlhXZwxaNqr2mJxmiMYNB6qXHjSjpPwlBb
WaNcrjXutlVj1BDIUmWS17oWjzu0lMYKjGG8t+1x5sxriDVc+w5xMtEf8jBs4Cq+2nJ4jj4BKZiq
HLW+LqAyOZcYAUOvzZJTbTKrU5V73CvTdaNI6WOhJJDVazKhNLp4StBUa7vjhmxMLQUhDrOD0dCK
ykxDfMyatZnr+rkKD9YqSKVXBDC6XNfXYwjYg0HNMVUJeXBQgfa0T4E+Io9k6v3S9JKvEP2yIk91
V5i9xtDR3ks0rPZKmNmALhNlIbw3Typn+hXBO2LdhwOzyeVBWUQW+P+8qTbA7UiO6WaYWor6kOR5
sHFa/l/RCNsvZmCkaQqVrcwRGLRSInNerktIn8v3G5gw5Rhe1wyxMyFO8TLVFnO/TxhzR4J3LUu4
jxmAKwzC42UiXn7MxhmSL+Yld1zm5prd8w0xiaoYqZNYNG1yhuyREcOsTMgCIT/lYC+TeFpbfsxo
Hmq83zOqn5eZfZY1yMfJuS8Y57fLXH/q88glccEPqmprMvoPFw2AwcPDq6SMBYs+QAXPmt/kH6qB
aLj4P/bOZDluZNuyv/Ks5rjm6AGzqjKrQPQNgz1FTWCUSKJz9D2+vhao1E2KqStVmr1BDXKSKSWT
BCMCcD9+zt5rZ7OOIDcINktnbUFAWiHOmwdKn3WP+KD1nZdhViOAGt03sz4hUIeNTfzHP6X6t1L9
lyKqY17/1//Jghf58rOC/Z2Saj5UUyGwn8KFpCTmS99btTjiXHxyNEtxdGCYeHeoNv6FmQK5JVIp
tvC5Gvh3oaC9nbdJ/zKJaCJD9W+lp1JwvFPazeUGPuS5frFtwIG2mL/+TtgXO4iU+syNL9p0NZk2
QMCNUT68K51+ouhECvqTqzDGwrFCS5qnmffg/VVKUps5OpvxRZPHkVzmjsjChYv/1vN1LVnFel1h
YtLUox04mdcSV+nJyT907KPXqG6uZER+ohlGx14IigBVMT3VaZF7qxH4owATvpbu2i48RZ27LVr1
KKb+qh61Uznlh6HSz7QK9iJGopV29CNjUbpre5Qowlr4gZHmPqsDQncrAdsZN4jH8I6+0nxE+5NZ
uIUrbKdk7vH9yJ/IjSHty9r3ygSgpx/sZaPUOKtdMGVka+bQmJuM4Zxm3PugVDe2NPXPWkrYmILc
cROJJASWSS9YriDKJhD4VLTDDqlYELYJt9mBJW4YsekQSsd65JklnwcXrhOGi0YvdOd+0koL14gm
N5UyWeZGzXt01l6hgpQvvdZMm9FfCEJxz06pKSd+PiKEtwYz4vNcyTYOy8YSEVpFZhD9k8p2oi3K
mWTfYk1zLrlerX9GymLXB23MuxwPnH5NArQ5XIYqtuwyGN2DW1n2HoNC8Mgo1Xjo7JB2jByZBTVZ
a+wcDIkVPONZveWEHeWJ6Gv3Ls/J1bZoRqwU4JJLrRhCgLuA/MoAGFunmR2wzNZeNbznR7Jq6qea
inEYSTMYBwcZTRntFJwCKxpYHOxAc1/jNtnHYpQrN1fda+x66oIVmciM0cXiWaTYKBNj2eUQJcro
AfFQd+Sj65ZWGU2rquFEWNNxonQdor1FTOzKZu/bACdUvcz1jYsauizU2LLeWHq37Q1EOuGg1Veg
TNWVo6SnKJMnwnOARlXRlZGbOydsIUlZcptH5KsGuris3f6mUe3uDrW884pFhyI3WVr9YL3mUUsr
tl4mfqneCoU0equBtp0nK1dJkRkhyxrYgmureK7r5gVO08sYj/ecH5eV3u0RkK1ZQOjRThtjEKfR
6egVN1v6cccJB0pQdV+E2VKLKmvZq9R1qPDa8SvebDLhv/qiVZe9JfXNYBMjmZjdo2lFX+RkGSur
Tuo9ZUiwUPrpqKUaOhftZBXtsm+Tx4KPr250NifHXvmdtSYedNuK6XHw61WQkt9bipIJR4CJp87E
LjZxlKsju5ptX/Iar82Wme0QTQFFJ7xvoxPRKTQQ18CRv2pkVp8gXB4CbeBmJkxLlgMsLN/mLkvH
g8tDJEBwaiBuBxK/nEI/GkP+gDzFS0z7ptWCq6wsjvhp0QC6x7TtrkKXkldDuccMaBUEw0IbmagA
iITXWeW5F1TiIlGSz3mifi6SdB/VySGXIPFb9Wrq1aUkrCiHSWwasVfKcjxMtr2FI0ZBRPRWCUq1
dc2lW1FeIclZjGiFnHwaYd1m2Z7wuOd0JEJeCTO5HAPyVM1BTzalW2x82IfX06iU61+vvD8REcDU
QUjt4P5jXsi/f1x5w1ElFdiSJJGUibbqpDtixxiTZUqs27FJSZy3O5K08jBFVDG9qEVZX5VlIm6d
yZGLfBiu2yo+isFfJq79IIZmU4bWa5bEwbIo8B4RXUzS9AgWZeKeln5EYpNZe9DtCXErcT3bTrMl
7uYLEYCtF8X1vYawYYUHgqRZgdhMoogqvXrYqQUTsgYupxpXG43MW6nlmzq1n0eZ3mCF27dEQU21
3Jct5v4iR+upuZumH0k3GaOtNoSmV5PUa/nEpIRGvAnY/Za1qK+NsVW9IrT2InR5rmmsYotTscdU
wx14eWPhWpxjtFE7G9GUeaVlIWWIklNXTBdhHe+S3tyYeHaQGZY7P0vg+jpEbqHwW2OPXZlBcZQB
qVt2pp0j2R9km27Z13DHFaTY5WO9zuPqjLLtGsMDtXTWyaXFgAcNFsLjqrqMdERq6cTJt6riO2M0
UBIM0ZNLtF7UcTMN3KAOJ7kkKefUMZq0MIgNlRHkuEx1gnpdY9uzDul1/py79lGUgvmUqzz7MIcX
hVYuqCiHRSJTdacU81rWHCPb+qQJuRaCWRa5SI9jqqkeA7oE73tw1idTXYIHmUMlY2dLcFl7n+s6
EuKorE6SaM3fOAxoQX4sRCzsS0i5ybGDhfehRIinqsfrnhIARgCAHu8roMO/fhgomd5d4Q1fbqo0
RBhvzN3QefDxvgjRLTQzjhsEF5JpmWKdozbaRsV11cfcCdKLrHLtxqtfX5Pezm+uOr/udwVWWyRN
YeiKchIjFERNo+vCH9gVPwUGtUdI/9FrHJMoCX3XtYSddgMcDpnB4RZalHtZNX3KFfsYNYbwcB8i
ye3VL05o2MtUxHeWk/ZLEJ4HWxqPlp8Me1Uig+duyvJVO9nZyikUwlIKvFF2No67drD1L3kWN2u6
MfoqiqKvknt1VQorXLICj8vGsYTXte4NmQcTJ9bkjiOYtksDDLZj88zpZsumdFtX1dqq+3qhmfFW
F6FCx4QKRfZMEsepFV5JCt2y6k0iHaPhWgsz5pFoQ0s9sBZkIh246V/LutcWdRHtKkPZ0t+4HSaM
eiLZmw1hSNVMDol8HV9+ExG21pq7ZIqRtBL0OvqMaaXAducnrLLioROkdURxShLKsMkqSOD+xB0s
QJIHqNDx2OcxwuRiip1lJf1TQaQBHJKtmqMTdILhhhENBRz6+7YhA1XXG+FNdrNhaosGqs2frKA8
VSK9KpkcYatHfqDuO5P8qM7Utzan5GWhqnfZGG4Hn/jCrmovCos9ksDVXVUZL04pWs+fsx1MYxMU
xtHuf8eNerNY/9l//+s9Phfi7+623qDE0IDYnOJjdhlcKOvyUN73G1D9W+vosPV4X5kQc9o+ZZ/7
34kef2w5fr/4LDyx0AwxqPvx4oyOnCwB6nIqluYiO2pesW7B1hyUB3stVuLurHjHh26Fr6F74h/y
YjyKxT5a+xezWPk3v82PB5tvv4yO9sREwccxyvygQBlFT7NGjcOLUFwCKlpE4qHqtr9+un9cs/56
DRq979/tqUpbJQxlyOb6ElRbd7z69c//6Wuwad7ajqFjifvwaaaDNdFNKtm8lcuSCXxlUnN+W6H+
afDraHL/c4OfTK7/WoNb/xrVX3+CtJm/+V2nn7M5H8Gbqvdtvv39AK/p6ESZlZOFNU++Z5/a906/
/S+A0qgl3T+/63unn4YAg4GZ1Y9wC2/g3zrA/3gPzkpjBKfwHd66/QJ1yY/3oMkS6MR+NZ2n5qF0
fOzEzW/2zfknvFtTTDhl/AxBZ0hzZ8vXhx1sKnyrGOhFn+tBIeJqbcpoUZvPOFnffQA/aRP8+Ep4
Qj9cZ34a3q1duULxWUWmejZREqnVsbeff32BN8vlr17JhxojUEvwV7Tzz9rA+dq4s93XXBkR5pBM
2K10jQ22eyzwSUSXTe4jrHqJw3UQXGr5VZPdBP0sXT1YZrBySIwKDDw1Nwjql4Ob/uatmDs/v3zP
ubHevxc6bpCmr+b3Ql/5E1rV4qGltiXm49yjnvN9Os7jq61wxuKP5FV6v36r3sZDH98qFTUzWBBB
JuVbWfPuw2A3Uxv8GOMZfgUgfhWE2jEx8KsxQDDKwoO9kbW72HH21VAvzLa/VmVvocBHHtoJZcI/
R5azVrSiI+R3DiDCvrSR6Sct1fe9L2r6zUqs3g16Gm/0xI0hGDq0eON4hXZ1V7TjQuvKtdqMy64Z
N+F07qxolQYQD5Gstta0qQb3MtUu/Sle++2n2pco/27rwDnpjaRyII+SHpNGAitGRc8mlWMkJTMx
b/OCPAQLW9KEBSwi+rJV26Mt0tUcQ1B+quN0MSo6eKXsoDbGVRyf4iHddJmW38F2WhQ6oRC5e9ug
zjVicxF3Q7Awo8BY0qNmOOCkxipP5GMD8z5NJzos5NEsk8D4Da/1A7LyLw++8eFxgVEEb22op7PY
6Ft/Nx2bB33j7KozuKgjgCSPMNKl65Fj5+2rfQq3cnhUdjSrN2JjnaJ1/Jsckvnh+XjHvF8mPpTX
Bi0zO51v2TzZkedGHFyFgXFdit8sR/Ot/6vrfFjwnCidZBhyHQgg8nZ4LgMvaj3GV5b/m4dgJu38
5VLvH4IP+zvcB1npbqSdQ92LL5Nh2Q4emqO+XjGzCs79717az1ZAdnm6gDNGx3Q/fKTg8gfbpho/
gxIk9vZLp1z++rGef8DH9+79BT68d2TQ2lkXaNqZ82ZLKEyvcPJOfvMB/e4iH1ZZd3CtaXS4iNsd
pnLfWLe4Tn/9On62Jb1/HR+Wx5G9uqrIpTnPWTKD7BfCuqaHjQHr22v5766OThHRNXX+2vzP+Sd/
zcl4jYKw+d8//rX+9vfgJZ85oz/8hQzaqBmvWpiT1y814TDfZ//z//n/+sU/yKW3YwG59Ok5xVQR
1U0VfW3YXl7errB7/l//45sGXeU9+8/l0enp+eVnGvT5u77XReqcVYq92lA1skepP/4cbCBPx7vC
aINbWSOyji/9WRfZjBpAkXISRyo0K9e/10XWv+xZ+cCtQZQDU4K/pYAw3sIl/rzZWSAdw7GhROE6
h8HgzL/E+z2UPKux1ho1OPtuSrefoO6mxmohye5mi3goyPIuBlSyE+ne9hzznaUIZfN2K8j/NuYg
8N41OTj2OGZseRiwzSwmN4aF1AmscMrVfJxdNHO0uJPKezGHjfuR665Qzn5V2wLSqANWuWVDVLtH
i6RylcRypMn4yoPws+XKpUJv9Z5Oh9hmNLeCtPc92ze7Jb92TvgShX+kIJJWtcdWEmJVzpHptU54
ek/q13po/Neur1+QJRJWjG5h5eQxphrS1/MkvCKKnpyS/l6Zsa3uHNSemzS8E7LbzTnEvZ1VuYUb
jujo8y8OSe/kKF6kCMwWVc9LbOc4+LpQLxXy4WMZnHLy4uM5OD6uTNinkXZpxvGlyPRhEUVyjhQk
cF7SfNmgHMSYXPdfST5H8Ku2EWF1jlxPoYmmSsS3HSn26KmI+RG4h2pd2kdITjc1mfdpql7VWV+t
Y2mkS8WdDqF092EzHIo8FJ5N2MfCaLpdoJIkFuTMYtE+5Yu8NUnCRvC8dEMx3dVJjk2WhEUgQHaM
/KHR9+hK47WbDM9KNxKb2IUqqdyCmXgaOxu9d5RVEehHq1R3peEUjGR9/2pUMqBJMJ7WY0CzwZUp
nBaFwPWszcKr3FI2+cwAimx6fOXnEXnlpg507E1FSO8+sIm2Low1QFI0p343kl+FJj4oAR/Zmb2g
bfi1cUPY4zZtbbCI6Upm9A6G1P8s7X5nBVVxAmxEUnYAYAaeI8Gg2bDEcLuKfLVZdZlV7zWtvKYv
jmUcCc0yHkxuyBYNnqgNfVtpY+oF7fSVvFB9UdQt3UvE44uYuG1YBbm9jWIN8vfonBBZuEtnsF6q
ogMY5KoXWQ8+QW+4lWl5D8ugi+S6CBjbqYp1k4X6585OiKyixbyoHVtum3oArxT0N8ro1zufprht
6NmiT5HzoROiPGo7bmPXxjOMaKU0pLGFavvoxtoXmsEbW8HJoQ31SUkpnwLFgZ/UZ8spLL+MrjHy
4dulvcxq17pCL9MYe3Vi5Ej/0qShP1RjutD7FzmGDwMmdKKsHPIa2xaGuj2sR73RL+0+feyzguwR
B5uoXzct3ZjxfmAcQeOYgTwZlIAvCY0nF2sk8DwHIdv2m14iPIxyNCEVkic1DKwDluNyUTohcXZm
djvl/rmyimM7uPWyzbPXqClvND3cZZpz6Bz8Yk18mKZwozFXCBXSOWM0PPkYBwtDMi1LK+Na5Fa3
VPm5a9zXB0dnKEavfAfsS1sxmnzs3WCL4/sgFPFqNfYa5MS8NFFv+um45yTzpM09MIwu5qIcmp7q
trP2pOyunSEY/NaL7aZ5yIKyy9dDWBgThLQqv9H7tr6n098zuNEIirVE3VVbzNDm5yDJzX1TFzK4
lIEMnF1TKsZnP7A0/xSbyMhSN2mWres/qAxuVuaACwKTmVz53C9bIyeVqY8RSfTcdyuzYCbCXfjY
Gi25v6mGwdjahvhFcLMhXuijIFu4uX/lYBweMggMgGUmD+napSSl6K7FsrlKi4jlKZEaupD4Najs
q8pCJKb05npE070Fvyc9ezYJuQ3jlu6+NEmD5yneOD46aZcswVJMl64RHdqEDKeiEE/wCAArZT08
1/Ra7VXpNY1fb0upRNxr/nlMhOaNDZhBBTANOZK9muyynD56rWdPdt6FnB3byiO75Rgl8RfN6VkN
hi+Dra2zciwwyxAlaxg8h7LD7qMkt2I4ZoxV02TrIDzKpg3N6I3SOedANaN1N8avlh4C1mmYN+jQ
vGS0UulnAbEDyonJBY1Q2t+kkz4QuszqV6VpsM7wdNNdBlMfaxEqcpTmo5Fu9E6oXtoTcK1Z5XUU
m+5SVvbRL8rLvBaRB0iWYTyKqzLULgxSa5dmoKzNqgKNZ2f3iZVjyi4vFMvPvFxYD7HTfY17K9z0
gzz0mK8XtKwPPog+syQdq4jOo4m9SGusfeH7qH/iYh0RQlnUzmcq32ijCw6JlpLj/EZJmME/9YjE
W2Qj4VxM7mw30dHqGC9W51brfmKx1Z3mEGO0XyCZs/gfhzWHxL3ROIQNRyFn4creQYxkfUarl3Qg
K5ToBg75U9mSRVvy36Bcd7lyn+h81AJ8d9XmDctNt07V4CV23a3JSTFX+KpfOK9NFz8XtXpItX8c
2X/Uk3Pq5H+uJ8+02oKXv1ah83f9u56EAk1Rj/aGXpv6RjD93mdDKIMJGwEJihiwQnPy7Pd6UkdC
Q/HpmORffisa/11P6oD0UaE7KHD1GWL0t6Tt6iySf3d4ooZE0UlRCsLaJaNefUMSvWuJgGAbox5l
+omdkSd+kgnCRda+gzKU4pDZNc+2Isb2sxGH+8gfH+mhEC9ix1/1jmEaS1Rvby0E8d2q1AmRFEVZ
gHyIgA3hscjvGdQzeMR3XhO3GLJsKHFkaQjIiI00mKy+wAj2ETBm5iwMQ1aZASfM8Htjzo7ictVI
BqK4qwz2jyp2rf04a1VcRCv1m3wliQqkLPGsahmq6lVh5gE4D8ULSM9uESKCIaBxZJiLLkbRY3ct
Z60MyBamVMhnZIuxGjlNbYrThLxG1Sdid10mncrRyOWO9MLdEPmTZ1qkN0+zRgf2RrvU4Ndhpyai
vVAuY1ICrwvfOTSzxsea1T4k27AI1LAANRgTq9HC2FcVSoxYoz0PTX1WEnimfWCwjRsQWPO8X4UB
fNyFtGiyeJE+Vq+J3twAgblBiQIbppNNdqmUyXTSjWSd4icNCiv8ROnq2Q2aI/LrT50hAbTkSEtr
WLVaYQckejp4RdulO+rpjWKZ/bpwkB3aRNUuOW5usnJWF0kL7DVMMn+yraWmZuG5C3qfSWJMMLlZ
r5tBya+tHq2vNWdgjiTJuiRjF5rqRZFyomLBNq5iGG8L464G7WLjKl0QaOysBXm6VI4pHkwaR1Nh
F4+m384Z5YpLcmJGUKtXk2+9efcoXn47Ev2CuAeuYJ67mhbQAhp9TPd+PCgxtusFUd7xhUbg7hpr
hfbEoM/x+jGhhfZ2rf/uA/XmJZ8DOOofD9D/X5+nWZP+8/p3egKH+9flb57ffV/+3gwFs2eaYdVf
iWtvyHqL1UedTT9/Ln/Ov1gxmSYYeG7+sCF8P07b/5pJzAYCQgbexFGrf8dQgDvgw/LHL0aQBEMA
zEcgMT72G7GV44FVxHTW0/C+1DnvSSbZc7Qv4+UpXTultVHZRM1RYYbt3sO2RJHcskalrnUbO8ZJ
z5sdVKMVnE5aoradIqOOEN/cydyFr6+Jq0DJql1DIYh3lRj7LxraVW2RqTOhhUhWaC3mG7hlRrjU
M8wlnbEuYga8kOx908/IF6cbz64JfJ8c0WURTgm1cH47wokBzHmncyRciBkhIyrOVzBlwsjZq4CN
R1gz1QRtbIbPBLG4LqDRUBbda10NnqahsvAh1nRFBZnZz17HGWYTQrXxDXTV2gy6MbXh3EC+KSWH
JfMNhgMVp5zxOI1A4eRCzQkE+BxOsuoa5pINDV6Bt9MPueKh4D6orX3WIfK0kHmm1vbwO9oo0IH2
qFp3qLriIZxpPoYN61nqV0ler4gjvU8iYO8VBKCm6tfdjARS/Z5aOX/VhMokOrp22/lErqfHIkh3
ajreJ9CFlLx7FRVHcqGMpA7rAJqmCHmyoiTNQpfJtqxZYPXQ8hS4ZktfY4BtMuU9a2MxehPiRa9r
CAUP895r5miVPEaTl2LYX5G7PLFBFapnCftrOOI61jEdNH4sFvWAsM7RqNj0bdtWZ1+Cu9CRHpBu
UJXFAsllm+L+hpC8MGW605vKq2vz1AxwQ/Rc07ww69aG8L8kgFATyVjKaDn4ZsNTYNF65mfOdDq0
WjO5OUQ+HurKk6hY50n4pbZM0B5hGwF94pxQ5XYrR9TtmtGQdZS9Dnw4q27CGuWf1qTIwLUA8aHt
xsupardhN0wQhKVBGW4vHboVG6Q8DUn0pXXRolO1FWNH8vY9+t2taLX7vmsAh4W1WDa1pjLq1uJj
kYFtCViOV6GJnxzWn7LAlW14WND9zaiq4qIYdO0KVjbn86TbuAbDiT7Yp0ntE3KjPTH1NjEcjNEZ
nkOP8d5Yj066bpu6R2MXSc/ssy9jTZ5zF33KAwJ0wC2tgpDPM5ajPDNSXETMNd4tar/fSd5GeIxT
GFXjKMQU/KHlVugDeTmKq55lepcYz6a5/K1O6CfdZZduI94rzAvA4Gltvu/qjUUw1NRFxjmpv7TJ
5VjcZu630co/e9Q8xfv1HlXk9dNft6n5+75vU3R99dm/NpfVtmHNe9H3Kp2uL7BW/dv2RUHx5y7F
MFygtrC/x7hwX/y5S1G1s6UhCzeAhtCl/d76/uN+o2v+i9y0+eP/0PRly6NON3Sk9dwhP94ecaUk
mj1p4TkVmDxOoUZY0aCK0NmZVZYFlzll+H5qS+uzFRo9mg0lw9nUD0r/WE12fQ8CMr9x3cgEFai3
fb7WM7t5qPVWpX9CE3ZlhTG+mki5B8qAKjuYDE9qWuJpg3XpEL7RBuq57eDVyvGJtOAnDfYgT9q1
VTvpisiOjSbTiAWUvqWaWKuhIypAqfaIjyAh1biGOAbUXiDGp6SsUEv12JjQstaojeDmjagyPWzy
a5l1RNJnNsnqLdHsQVURpQo3PbWujc68TiNLXSY64kmfSG6nCpZux76UlTeFrn0OnVhf5D57RZZR
tQbaNG2cyE09pN4IKA3zOrbsY+fUTGsBMVmZPEJEP7RhQrvM15ylUdsQiaoAR1QPR66YkuuuLO5K
YypOetXliymjWVHNxrSKPIEFoVV4mSS2sUZH7z1kgTzCqMWcW3zCoQ7EUxVkyYvqBejoiHNokCun
brdkkm4E03WVLlNh2zGNHNeD4z6AhNLWHOHxe8W8B1jiey/oHHMbZfzJ6AbocG5+n4XJM+2EKwfy
h1PIr2oS3lo5xNOmiY2jD5QUz9VVVMy5ZqYdevge/UUApSmYPbe5NK5Dy7o1KphMSMWegVoeJpTw
xeigRBYOnZvMthd0S+NFHgyHjEl5I3pMb3m2kZGCwNhoJzB78C7KDHRpjfATZsuajtPKKpqbzOSM
oMAqXYTCWRul3V20czObrFKG4ZWxaxIrvUexPiyrpL2aOvYyUw8vMlAwi1IR9OXH9q4a4y9+1yPx
Cqt2AZFnbVfOAxjeT7bP2ZKCRKYcLIb51xDdNZSZdelPZwmhlSb+2vUvuVnzC6Nrj9JNLqfR+hxZ
9E8zqOrraohowtLm47w6HhqL204142Ou5Wx+Fb+44jwoNpMEYisiT40H31OqmbqfXJhFetbd6kCY
x2VX08ttZkNgYBtrRS8/Ey0GLlO7SxsOYlZu74vOOnPC1tn/KU1cVMldSfHo17c4575YynCqrPZF
89PburFBNFrHuEvUnQht7NXSrT0z53Pw4/RZqj2P2BRgNx8kBqrMOvPirUXTh5/KCgerKtKz5quX
KPHWsGG/KIrvObkrFpzFsATCtJzZ2rSmKDvTJnsILdRXbJsaB/xMHhR46J4ZQvf38f96dpo+9Ugy
Vs0or9Ta/ySVfPR0VJXIO42t60xHmTWnVk3oRhuPvZU+UU3u4SB5Tq9dxWBhpO/uwqI511JsDN3Y
6gUENNgqp5bafpEZTrbmMLY0tDnkScWPaoZ7t230Q6RW2RUzXL/eD506a86zDvCnPhGLVGICiJ2H
Ns3QRuSpSusTAfa6lKLZ0LJHZJzlYCAGQ7scRmOP1Ey9CHmwPD5zE4w4lYnZMe+m1zw8TGUWXBMc
Jw8xsodNw1uw6qUit6B/AWXiPdERYPiBWHRWE24bRVfiBaJPdBeFgBoZo1P55yj5ZjybYda/2KbR
cH/9yR7NN73bo2dKissWbQpwLnzp33s0YUAmuGybFtYfJIg/OmnEBFFYIbw2aabREmD7/mOP5ivs
0WjTCTcW2An+3klytr//uEUbuGTpz6hA8RkPv5nF3vfR8pLGbRiHl2Ubm8TbJD2NXdM+q1oUsqAE
ykwrgbLQQwgiYEG4jBptw1+OaG6h/IpUbW56Sw3c196pt5WS6f4Tbo0Y6DNcP+UA/gJEhBrGI4QW
tLDBJTzRKOXuN8JZWdZqA7LUyZxk5BGh42PfYBZH6Ew3WoyBeKrAvdKQaW2CaKuoDLc2ExJiymJz
RgrjgtqWQeXGWNBrRMllL6tzwBAH0Jg+9vYqgK7FuMuxGNM1rfJiUnp/q7P/qVA1mq6/uvWzn2g1
5+/5951P00PXbGQfGo2PN9DJ9zufwhUaqzmr2SxEl7Nc4XsPmWDCufHMM4FigF4KipU/y9OZEeq4
SBL+vlYT/sPHex8+KMx8phcc7jGKz19/d+/XE6fc1myti0DPpiPBc6LAw+uEpbFUBjLVpsXktwyW
FDrCcuk0vp2fRpEyPaPFSx+2MYU8OW0k0gbGHdcI5hajYqzAOxuxuwpws2XEvPSmHBZ9E7fBQ98y
S11OIiDyCdq64ha72qiIYnE70xrQMNrMl0IlD9a2WSleO2QPnPMxpzA8buYCs667ZlF2WEqYfaaL
NlBqFHfiNs60U5VZuBhTzG6juOY0ymxUJZAq9wum9ekhK/2j2g/3IxJ/rJMUV0WRbtpiR0HiA3TG
CR5ZceQlNtGAcrAZWToc+lt/wiYzkK1qu5eqgBIoccUrbQ3qDBP6AsV0wckS7WE2PmtDMyyjtvvU
DCZn+0CCDxXmkvbTJdzncd1bHQ4Z+rog9cvG0+1pWCYNicoYMgjZMysCHIW2wiI3LjF6ofpwumfF
GA6M/2jEVH7lpb76PAykAEGgWWMe3UYmSUAAPI+xQ0zrjEzARwpPquyPdZu0Xhd1Gp1q/UahGCvt
lgTtxPdSwloZIPvFzoA2vxiM/CLW8uuy7D3fLg4RzauQyBAA+ABVbYL2WvnFGAsq57BbNjo7q0wg
0pCaCvdzb/jpqiocxmE+XSs60rTNZZ6sHdr+FFjkLimUb4mssG9hZ1SD4KGl3PeS3GUEN+oRWLYA
kiFOJgPKtlo2+67tgOqJ6iHIscFPiXkYR/WmCYYV0YYdNkQYU1l8HWTdMTL1ZWJH7cKypohx74gy
kt7Ftkr80BNIM4WZ2yun1F9yqdZblYMnvbv8wlShoYak6mR6ckdP+j6NS0IPyrMSFoVHrQ42UbK2
OjJGAJLe97YDuI8hotAfRdHmS5vio+vlzZCYO0bZzCv8EC+9g/trrGOEDEILD1jTQGe4k9iGff+Q
sR8uY615GPz+XjXqW6OmkRRU0yYL3XNcm6QGOQvDbJjYIuxFfNJ7rZ1Alk1UvMoMRPWmvfFjWol5
rLa4doNdUBsBAcHw6yySsJzgc2lyuhkiGCluHJVgLQzVM0R710XoadQEv21uhXtFyffCdp8yzmQL
EZSap+XqDY6ldVQZt0UtNoqeX/Yi6hdDpN8Y6JqWDqF17DsA/ELjFNmF4gEoWw+RfABDkm1geTyl
wTRsoX5s244UNCV0XC9TqBf1VObrpskeY2YXvD94gOUwOQdXEH1MdM0mEFM1R4Cu055hta/R1prD
OxaW0q9lPZ5V1XipSH9Z5FV5wQnsLod7safXSWieOrwkkXsdG5G9sKASL1QJvbCexte+48DUdTgc
/UAzPHznnBHr2cJpY2vyZXuDU4lbh0kgbAsF8U4RjV455qZHrvSWOIAnK2zIM4dKuBoslyq4PKmK
8ZI0A53eQQKQn7UPJiIIHBKvFaKIII+2hG48Zm9qCWQT9qyfKBBSiFlR4QwKsqqW0/GgGbugYexF
VujcVo1PKpIMci83IxINXPJXcQWCWMa7EAmHH5avzazpQJF0HBF5WEpxW8yqD32kghazEsSdNSHV
rA7pkInYs14kRjiSzQoSu0dLImnambO6pJ91JlHX37uz8qTNFZ7pWY0CQeRxmPUpA0KVZFaspI6e
0y/WEBGN4YPWv/SzugX6TrTKRuMQWunjMPKOqm57I/tGw4Cb37+RJ/SalrVhvoQBMpAxYSg+6eZO
1PlXxpqfp0q8dio3A4ei26LiA8MzRKqfbGC/BRl63dS+7NCpwZ9Q0Tv0Cl747sJUkmteKr7f8DxB
+libxmyf6hCgT2i3bOraZeiIHSm0Ed1xZ9gZvXmjFf6n0MZzWcno5f+ydx5bblvr1n2Xvw8PhI3U
+DskwRwqpw5GlVSFjI2cnv5OyJaOpCvrDN+2e7blEoskgP2FtebK+rpfkMNA/9hP+ZxudW/k+CMt
e5gYwHzJuf23QfizQaA2/22V1LzjAf9Fj8DPfa2UGNax43Ftw2WjTaFEEfW1UoIgDFgCyLllWSZ5
ehTwXysl6w9XQ0hhk2X/fYdgmDNFzsWqNI/wvrDnfpra/W6KBwvr5zIJncYMXneMmbFF6/FjmZQV
BBKPmmOdM2Pq1sAWxUqq9rMN5Eza7SPSkvtkuvZBoCHu8HSQaG0T3PszI22cJzcF2LQSfBojAlBq
Rp/cZzNbTZspayO4NasBZ8M8fVcAYlMDYp05WtamVsFXmmltbE1elJnfps0kN2NmuvGY89EvxsiU
AAT5QbXP+5DICyN8zEx5zEf3eVIatrdOteyj8nWMk2s3NF4rS3saulFfWs1wQlcilyPJ5quijA9t
y4bMzGT3OKrOS4Ry5pDDcfK0HtCSWsT35NW9qKM97UQW7PwaX7PlTNup1F+6Oju7JG6Oln3rVptk
Ur3SlRXJwP19G0bPTqRse1U+1pUS7G24tG4NBTfvCHDGqp2O52GMzvNsqhyrWbUafpZMH6gekbRZ
/dmdxzAy0ndCrmNW4OEoITnczgZIe100yXOphzz8ingDoJm5itatUkF+TEMW0zKJdefeF/5CmnW9
7Sw3X/q9sYl95Whlst/KhuhMP2q9XqIFqK0jAq5pLVCjznHy25KY3EoBXd/oNeOlSt1U1kTWXNde
jY67JfPJWqh+l2/C3Hhvokjs05zXSxEemgEMLbt6U6cxwvltHUPyOWUdvw6W786ayCMu7gtRe+es
ECsrNqlUiYDsAxDQ+Gltc0IjLAbYGiqiQjQYjEgmOSytvgOjk2DLTm34+fCWMlg9MJXHiGSVJkNP
1tivZqHskIY2a8jGhCExFdH18bq3rXppa4xVSwMOFdlQAglErlEzh3xzSmHcm0izSoI4PTxYzrFU
tF3qyFMRk7qZDQ9hXb/hVWWt04/+arIsjkvApcuxojCBmbzrxoa0SkAibUT7POFWW0Zhdu2j/lwm
3bClX5brioZjwWSvJ4FxZ+gR8by288H3cZBFcRFEaCXMpk0tVZcZ9RR2YX0xpsYtuVIvUFYOjdaf
5ERnMjX5Ht3kUQURp2cwJFK12Dmd8xaTte2GAdpfPUWSW9/1dXRbtMp9JK2dmst9iweWZIFdAp2K
MdpLXqf3VlLyoU79URjVwWjlqe1YPRbJcI1MZjP40VG0Fvq4flu4cqdVHDyjoP0O9+hBCpp041Dg
uO9r9UoNRbpGN0HN0Tz1NjVLLSbKKjD3LbT/cbL3lavfmFFxSKJuK5Kx5R1mmJg6jP9qdQoK+5IX
3ac6gvflBPptLetHjsQDEptTGwqSjcabXE0Z/XLTJ2m4ZpT7GCT2xgzkNrMiZ4cSdGN1JMNEdnMy
cneOizKuRRzs6DKvM6VjuqyWy7CtdiDIntQBB7CjpoQK6e1NH5rHtmLVCFUixP6RPTGK2NotZ/XY
rODG0pw5+clIrZfJcTe90nuNS5kWdc85i0l0OR9THUBUj+g9mEJGNMG0dpOSZzck+45LYr1Tfe1I
QpvGwTD2yI3hn1jpgcioIyPeHTxM8pw090Bs8kV06cEPxn4Ry+AEdTzzIjd/66IGG3GVnkmp3ZTS
PVewIBhjDshsVM3DvvcQ4acaAMIYicIaOr6d5q+QrdFbAVtM1gFiyf6gBcrjoHYXYiDPKs6a0Joz
Ssf+VVdog6IigDBXUoHDPV9UmrnO2yDalE72UoDJHl3a3yaqtomMN0TB9ava0h5s8tBLInLCELly
rVx37ECWurgjKxeb+/QWp/btZDbBMTfLYqcG/k2R5SdlFhT4JKiJyXzRCmtD4P1CGEzT4wYESl8N
+jahpdX14D2hQmRWJNXDaI9H9l36WtMKc61GxsYuYXBxURRsgqjtrUDd1hm+tD66LWn1xza486t6
myu0tkPvPOR9tOE930Hne2zKsNsN4ipJklWsdks9tkYeK8PGFPLSN8FdpE71yrG6rYIjv5lwedUW
CRTatgpcPhq8UGSFLMJuvO5a/RZcKVlWGgRUp+qTRaeBnDOsU51y3ntpreip1/Zl9GBmUcPD37IP
eo6pMHPSbh2WJFSVk00j3nF3MqMg3WthVbylcSy2FIwbO8jdK3YSziJrutwjFQl4RkeGc9CxHOgI
Ou9QAAsrj9ecMCa9GRzDQk+XA9stE9yhHyKsHVI28bJzu32cwmkvlfEjr+qdyV28SEY4CEZcaQsr
QjJhpuljJwOdjt2qkEsxDNfC2lYWWWxhxc+CY681xSVH+PwUazbrHXOqlDlZy7yue2CDqTNBrutT
gVWjQ0brFf2UrpCoHXuj2kPYuNIdgtGG2LP16QFS5k1Qkvdc6qz9jXypp8Decq188nszXtpB71Va
jYk9GTatYOxvNM1bB9VfS5xn4Runrh85ZKIVyJl145sL8B53BZwN4InhK0/WB2ivW78PL6pJ7lls
HJA5IxcLI48LiahhBTbuZB7sKDsBzjKokDP8FwnUu4wWnSOa2aSzsir/EjPoSBN509RIyJjX7wgi
PppDtNUq4D5Jsctc3P5STSBJoyohpfba7bPbBlFOJ0fgIXl+By4+ZzSRHGg6d6qqnEAPLymFNvpQ
7hrfhTod7gK7POCheLSEcUhzErINTlrDgU5UfKIx9uIkuB58KoXRLLzJD72Kbtgsm3eiEY+EgC1r
LroB+lTrpp8wAaErdPOdVKObSoc8rUdLVzDfMjIE4YN6WycK26JcUUg2Y9mBNg88yNrvWGPOApLW
RWYXa9us1Z86hwVsrA1rE96lwS6C0qJcQGQqebonT4SOLdFUY9qrdM9NGPy2QQoEJX5wXX9jONOV
2sHtShrtbuy1tREXjxLPNp0z6BOliz77leyII+9brwmNc2+qZz8wgFSSEhjFhSd8exO70Q59notV
GGZZMr0Xo3luCo133KfN0dK5WALZm0yWmHCh7NQ8f7Sci9TkPhfME1JmxWGjXqdCOaYN+hIlMNZ1
DXDSN0P2qLWabcPRejb7eLx1edKsEL0ch8FpUZXKxwEqeaFYz7oe++siKp9UsBRY4tp1UncE6tW8
a8fXtu786ClnmqN0w21QpTFqnuRU+LNTRZkuil4dCi0oV7pVD6uyyugUh5oSsWTzxL+NQJK1rrwN
oqHYpBNJOTac07Fp4UzNp7YpngaNGy1WYWFgz00X5IedtSQ6sw1ciliEOzuc6iNQz1l8YjzqeAr2
feVfu3X6TDaH2M63O5At9Og5p3lSdcazE7InLcQ1c8To6BoEZ2jFLijUOx27wCRNlQiRlkGGXKlZ
ciwDddPaAhyimX20jkx5lus0s85d0hC7RYefMA7siEjwMIc9jVp54w4AMvPCPsdaAFo0XhNnMcKo
jR/K1H0Wg3EDwU8eTCPOMR1YSGoa8UzC9A7hqrJE8cQMpuMvVkptLbWITXUuum2csi2s84LTMRCZ
atwOWqzTRlQV01owaUJnFGdYiqdriGbj5Xcd31/CiN9KOlHquRYQDs5410Bi9WMDpUeqOuh6Hl3i
Aj1VfqqnYeGK29+/yKzm+Y/WAvzFlxeB7Ybehyian4fZiQ9Zj2zs6KKOOyU/qaRnKOKu6e9+/zJ0
ov/7ZWxWWQAY5oHXT6IiX1VdugCVwl3/6OW9Yuz/8d/P5B8tEZIiPq6fP6saar6UVpZe8p4Lbev4
KGS+dd+/+C5+8fsjaNf5hPigwJH8JEkJ7HlAa5bZxaHvMK/Mv+RKfyt6QTL/28/np+8aYJrG+J7P
B6+Hki0TdvY2ZvTF8J7Gq9+/lV+8FJQLoDWOIOeMPIYfL6vUYV5IWkFyUeMtIjtycwsGqWLJMYxf
6/evNf/aP11dP3wtzC6+X5WoWpR1NomzlwL6OWEl9F3Nimfq2K1//0K/elPff/8/vancjl3ZOn++
EFNxJM9DuOYcmY/i4r9ca/Mv/fObYvGJzYXTEWss6qnv35RhghHg4M0vtbH209duIMTl0+/fzq8u
t+9e4ufLbSL+SAamml9y5zX2n4Xyf7icZ/0vq2K0yOaX2c13K6y4TM1GKHp+iXkCMsBNx//Dw4sN
mWpht+C2gSX044eUKzn1vaXJy2S/9va5nTc+zX95dv3qS+ciZtlNULXQ5hnX918Enkvw+s6UXSoK
v3E5b1zM665iEr1im/L7b+QXr+XAetd1DVaLxvzpx9cKfYchW2zmJLJRk3hAvUIofCUz9Y1+8+Wl
/l0MG9wp3x66syn+L0P77BL4//9vpvmcXpv3X2yH5x/8NvPU/yC4UdDm2Ojlv9iIvs089T9MHUWC
icqBy0LlO/o687T/4NDRUb/PMJRZG/H9dhj8D5cqXLl/vh3+8cb9AvRABelgcpo3w4wYf7xM6rYn
a8wiuVSVV1UgvDG2/8vje366fPf0QZ6LLpeRLt58W0cSPF+o3926BDcmRmu37aUW8T6yHxQVpfx1
Lbaaf9V351rzvvsSrv78m7+vQr7s23/7ivNv9N0rzq1wNGlpSx3SYqwdgwZ6bi1J/pKBrK/7Sjr7
riGl3EpMf1FbxGUTcVP6g296TdbYXhzk1ssAmGiHIXKGsDK402oJh9wJj6ZMHxCSJ8uiUj93SvLh
DsoTg5MryQIeLL+A7BdUI/kjqbkw9NDxqpQlOGK4gPmPtalHkiOJRTHwB0Vy45NDu4yGiB6/apGh
TSoFuB7dKj3rqza6cbrugNgGeV7UHZXS51uKaZt9ByBu36zECNvP6q99xsXELRtbwL5XXchu1rF2
OSt1cPHBAavDnA9+XymkbXb5SzfNW59w29lTTVhQvQH0txGFsw/hDy9CS/b0fVW9wUx9kkhSbm3C
cGcU2FjntxIY59YCxxPT7W9LRqjN9fSFz9Nm1SAvKdiZRtXsM6llZDXXzURTapRvaBePCBFPTICO
hR3thqTH1eYz1EnO42Q9ailB1aUy28cMY13p0SeERp+RtZleb4rTUIi9z061S4pjg9GAQfaOhfKV
CoQ498tVNIzHfhyOrVPJVTMB4A3M/lB36mPZ6p4QpElm+XSPRiEgG3BMzlGbX+VJs6FlPydTslcl
LNABeh6NGfrXcnBYy3aJuhA8P8k1v2cuRHyYogZrPSvaXdv2zSb1YfI6UTkeUTOaa7LQDmn22VX6
iwidm7plnKCFKcPssFpD0Nz7aXTV5spt3+XrENE6tFNUpxEA+6z5THooXHsrvtZp9902ayG6aozp
ZujPeI06MFzUiImsXmz6qluThr5qLCYimopzXJI5LK4yn6i5fmAi1aRJdzOM4Y3la7uqb9GiOk+I
kpYDkgtGAwp4maj6yA2kezTcBjGu0wTQiIKVoUL3ruIMyRmilUKjZbNdBq8sKQwDEanS46IOrsKo
Owk4jKWZbQbV9KBFLNvBP9S13FY0g/XUzDOxMyX9Su+VHQ8KAgmChtG/Wi8MgvpK13gQWH517pBl
OXtgcjMlZgElya5Kc/pKRovGqOyTerojy5UEnbQ5R/jHY1gRccyEvPXB4rSO/uq28Svj5ZPECLOg
d06WPbJe7PZ9tjT9ztn+e+j9ueejJv77Q+/83r1+pnj7meyi81PfTjyVnFCDEwr3q2Ehtvthy6fD
fucoFPBWbYT33048l7MQaKJNzQI5hR//z4kH84XTjh0CBxVFmvmP1PrGjzX+fOTZdHSAjhA68YI/
7/lAvRYGaaDjJcqvjNFulrrPwHlo3PthglOpjqBrXT0/OlN644zibSxSZWmja8HWk/K0jWoku427
rxP3AopGMmK03twwOaWt+zBN5T230kfbButSsQosMPYz7spi4dSWvmQLvVH17Ch7o192fucukokB
j1rCI6cDYg+WPFiBNa0NmsM5C50NGPek1M2nJLUfgnF6U3z8q37ibvuyvU+i5qpyxTli1IJo3bnN
SFGUcgjOftfsZd8VcMXqg+YwKRzwL2WD5D1Pq9gBNubwDHPCNU29j0M3X+eh8tgWTMXY4RMDcKbz
Wk8Cpjl6c9/zc47qiecISpN16RCcQSTyAgf1Z7Q9lzrRrEXAc/B2UrJV1Pm4nYp6OZUD4vHYiJaw
Y5BZ5koMYNx8zibA0Bahx94QqenelpG7KnutRpDmwwSX8crp5/XeTLYexQzHmBaGhoRjLCRjOfOh
Klk+LQMELMym2vmEb02JimuwWA7ea33PdANpfolruWzU0EtjdOAsIL+EfoZzAKgvWbyVZIIy4vYS
MkLVdNhOc2hoO8eHkonCQ41A0S8JQ76p3QubZ29G6mhB7lCqEkPaNdPLNAeTWjUXTkhWaUNmaZS+
VySYwhmR6OLr3Ui26VDBg7FIO8VwqBB1SQAq0NSTq8IsSNgnhaH6OAprn82hqRnpqaVmlvciq2+C
TNxoX/JV+x0i0s0Qx/h+TR9pWuRvczL1lkFpHMY5ptVVCns3KiNCUzJcla5yUIoqa8JuN2rUIapD
iuOQ+zq5YLhUWRBxEuSYNBRo5aTERlFoL0j1JuTDXxvkyNZKpEOHbh8mhuEpSbPS4DPzY4Z9ZNBC
D7ofyaQNsupqmENqh8ZBqjU91VWe8deHW3ZYNomamZeTcJu1xAQQTfbUNaQXkoHbjJEHSemAdGml
RcWzFVHP+AbbqWQO0E2r9K4V1X04R+sWraj51ZJDAqulmBASNvZzidh8UbXWqQK9MYVkWRswQebg
XnUclxlJviaJvtg51zYJv1Tgl6Eg8re0Jh0NHQK/kjzgKenOJJ2uk/xzgkCrZajm1b2/kVE/k3cE
YixzvIowvjmqz38BQs9r108TcOulb+mvmQ+iwlSTZqnWsGHSgKCZbryzJmJgBpmS2VTZd7iADqB4
nycnPKXucG3oZNKoCeiREgd8pm4z1+EysktwzBkXoH+XxtPgEcxIlpUouKG0Oy7jJ7tBOKz58txE
1nXtGp/daay8WOmvpM/WJas1sUT+RFaAn5t41UM20JhD8ZcOKanr7k2Ct2OeBsMU78AUkzmEH8dy
3wa/eU3S8srXKjSLtumv6l5FPTiWrlfF5qFwanE1Gc4GU2aYX6NqjG+LXPvkj5BCgmS6xyJ/NKbg
TWNQ36btuKWoULwm0c9hE8TULWG9xm6ew0KipSrsyWvxPeAwKfA+NKW7KGASLSzXBpFuptXSF9Vx
0uxDo2v7qNV2YdjcVCx7Fmpv7KxJnIdWOciMdxkl5apoQpUFjCJg3AerOMxalqDiz07m3z53ngj9
/ZF/lb5+eq9+ceTzUz8c+Qi8/hLvzEDYb00u4n9HcN4TSmcy6KQa+Nrk4uojdm7WTNMXMjXmp75K
oGd1tMbwdR5gWKBu/xGWDa38D03olzPfBKqoU0LoOtOXn9pcouAIkxJ2f2kwiy5FQwBKN95A0QFs
4wYXIrnjT5AacuhFxh2aOA4PQ/FvWZ18KKG6Rn4kULQp7LfAuODGoei22TcSIfFWBYkGDtDGC9fm
N8JNAw5i6W/6zj+BaMPFXdhvrRHdWt30GDJjotpFh6cXYjmQgLBN7GJvFDUdoj0L/Nx8PaX6La+1
6huthYrWhmgIRyIjHAQYPkmqTeLeM/VlXZ8En+PaOQm2GaoYLiH5Z9Lm4cgD6FoPVXUNLA8JrZjT
nFl1Mxy0FraOQTlLCXbkSUW5sjSwROyo5SKoH9pWC9nMkBhXe9QWjteOheEZib+xEPUupJHB3ijE
XeU25Ou5q9YwvBYF6QKHUwSTa9xNGo7iJg8JFVenB9P9jLttVenDqa6zvd01T4R1RMsiJhqAcDHM
YSP1jdWBSDKH8b1T5a7T7LVtKITSqeFDoCGaxBCPjoDlGgshioxpG+v2pY/s8xwlGMjqQSrmG/3g
wZYJm8MJ0qq9LGttR3rDtT4iQglM68bhE/IjkGeKhPCTpudKuDdWpL4lw0QQi0ozhrFlFvP095ku
nmNG5yA6cJl3uVgXrVYv3ME+4G66A06XL61JfYi6OIU/C2XL8O+LoTozcTgEFWkNdZrC8wtfhk65
KwzECeFw07jWWrWUp1aJP6E3psoCQbSsCjxj07w+1+vywx7HW7XFnFIK98TXdOyZyIBWWfnig7W/
RwsM26yd1oUt65UuwO6hD7NiRyLttTdTbJuLKpcvRm49GxiumEMMr6Ltub40ZC/ZHIjXNfKodeln
nyvSrYwMi5fcaKm1b61xK62GsQZTDD007sw62AQQRHAIlFea2jeoisG9kewWLipljFdK2IJ/IroQ
fXzyEDd8SBNF3sLk2F6ITL9prMJzi2yLoYA037rJiz15ycFZb+XDUD8TbmFwzz1nTYQsCiBXGLBV
hrKG6HcMSR+s3J1PhsRC2vWwER2SAbXtxbIttRitesjjXyk+UKA1Lgv5suFoCv14ZI6TlNN996Um
NEm/oVoL/ETc5r5BhcWq8yESsfQENSWMC9zwVJlDLig357rTiSHB5O4GHTwlKQjuFWDkdM+y0Pay
zp93+caz7MzYm+ZaJA25pMHW4fkfqmXE+HqpRNkqcNzh1imogCXSliGcPs8Il6gMnBWBFmuVWrpN
CBWaSHbycqKWVmi6WQTa50GImWm1nFTnMaIyDx0GVfiX1mgIdxG1e8ViP6WWT6N2Xcz120SVLwu0
awp1vwhzAifoBBJB2PJoaOS9kCgUU6fRM7j0DpUhgOD4/VttiQcpjadMtcl6o9+IU0CCZTlNs9Do
wQxnY8VETBx6inM/Nyz53LokYXpU6WX4rzoC9DmdqTGf2QcXC71UvMpIPkY6oSK2H4oyOsEHeqvq
iXSJzL5Y9E5WK5mrlMypDMp+1rmBslR97U0d4huH3osvjyYsnvpFk9j3WYeTd0rhQJu9E3psk1fW
fNbT4uGW4viXDTfTyK1nUxjUob6r50qBkL0bzBWUzdqeedTBb5tjMtcWYKAQTUITA4IAWtGIsnTR
2k68Epk2eT4FikLi91q6ZbxuWjfCQKKe87me6ebKRqfEmQL/VRmzY0jpo8w1kDaMn8B3xrcjxLll
1SMeq0W+yEak2HZQfupZlqFhUoslRct95FgHvAefIsIeloGuZndDXm2VXL+39TZb+gXfRmr74CAT
deX4UHqsfmdnhU/AUwsrgtOhaNBW92JRZynXGrIf6D+pGmDrrlRtpE5Kg9xjHF2va7+p3Rc9w8H6
b1Dvn6DaeYH1u4qozV7r/10RzT/1fUXkMqgUJOtSv8yU/u8rIrTONnUPJy6jjm8VkVD/EJghSfdF
nvwXjuxrRcR8xMVj5rIxoJ6ahdD/QO2MrvrnigjRNMzbeahiUQWInxbExO3keBhHYO8o+ZMtBBaw
7k6ZnGI/XYqJoWY4PQKt4n5u0k0fuI9ETtWLLMRVIION66fMNnjEVEC1PENW11YnIYaoRECi+cmG
nTHUq6klHVJ5lkHAQ5+nWHDRYjc4SYipS8ukfrA1NAJJjUKUjN3P9PtIO2ZGtPCdZ+yXjEYNhdCY
vnmeZLbtadRWhtld0SkaXgkChT9XD1OHowCQzEmwx+dGZj6vgHLPKvU9KuqPftI/OwrSKNkm4ZJS
5DZzBh5hA67oUXmsJqgkJNkxE7GcZTe559wax4Mikhvgax2nApbkwedAoPrlH+oP8FiC/xFyT6et
NB1IDejDmY8PDzwLSTrDhPVJTZ7oG8OaLKRa5UwA+2DFbrjy7aYi9bsfxdJMVERoEE0N5Bu4OBHY
GY37qkVAW71oqNDf5F2IISNPtlj4SoYYSjtrhQsPJhuTKtWdBSUgbul3EwS2XQX5JqrYWAR9c42S
GB7RlFbXnTRiDHCgQ3mu8FHhmF7UlVBhzIICzXL8T1lpPcmpgvxGLJ4nKuEspATF28xH7OCCTfBd
30Q82I/XXJtigRqYCWzfLUNpyT1J4QwGMBydfFONV73b1vsw6OzNUEFyQ1bT1qsSqy02IcPfaEn7
obvSIdarbJn7+sFWs5S3jhAg9hYuSV14WhYEJwAtRoC+JYDi3WUPANCg7z3kskwlXLFL1RYUqRmn
V44RJB55bzhgFaYKLtSKjUgNIo272tzgdHzPBs3dYBjDkFsp6ZU9yWDPJ8fx4ff5q0NO+0IfI3Xr
q4LPRsUjk+ug9QytSaoVoFx6a0y/b8WYBwsJwIAwihqig6NUh96W/SHoSRpwQ8T5xRxTW+D18/jy
BPNn8wPLlGCLEH5gJzI2s3cyXKgEISHiKqij4Fa/qRnDK0rvEG4t1iZmKuxCCtERgtxrCr9lbsEa
wpvHPRfsq1gHXTqR/euFhJ6p3mA4wxpvZRV/pJgQtw5bx2tJwbfCB1UfGp+10sGgoqjU4S5lC4Ta
nPVUbrgJyvzyAcRFsFQnv1lIt5deHQK96upnJSgfU5lTHjkuALyMkUSXSUKNVRtf0Bg/aLm8iss6
ehld5Jt6GISITh18bQXSrImA7BzlrkkU3FLmDDfc1noP0+4FpuC6DxygHK7y0cfNbNOLnjHv71H0
Pw3sDDc4iqxlmlXzQ8Q98VHs2oTkDO5TZYbTNZlzRwDhVamF+wKA5yKv5NlWxSfdch+7VCFQuBqu
mqlydk5VbeVU39aTe8/qyvfUhnqmbCuvi8eIqKdo3Bg680JYTowas/zQg7yrnPAmUPFp2gGkjDY1
yoOpTq+M30oKfn0byXCf2P7FMdhoDUa5GulKuVNwZeVcbIyJ03whUGO/xQ5DQStp4m1gdCgmBWu+
gYJsb1kI+YUlQUub2Ztbk8yVqW2OFq28kr1yyyhzNnUl0T5AbsswiRyeZOwdfiUqvlFprDXFpbXw
ZR9cZyiBGPAhQW7nm2dSfdqu+UWbwgy9GEb4RsUQe5NCd145OgsinjDtpo4tGiJzcDeF0EZvimnc
MPCmPGHscTO0Y+z5dWQg5SRiwp1iXHqV+QGfcVolYtqhTb4wrDtkRnw02yHzjF7VN0aPVc9QC3+d
iDpah7apsijztZVQJWHh1mDO+VTUZ2SE+yjHN7oxb8Fiftsw467V+37O6CMuA0PyzHLgKaWCW9n0
Oe/UrDpzJmIFQF41a6PEDGDjjKa2DECz5BlGPR5TfwW5/Tv8mcuPvy91bqLuHdns5/dfVDv84Ndq
RxN/CCQt+heFAyKt/xQ7cxIxOx0qGpelEDbOb8WOIf7AdToznTSyAqEnMU/6WuwYfwgM8A4KFuwC
2L6cf1LsfImw+I8EgZmTgdNhzuNyLYs6wPpZC6PnHU4eA+e4LMvCPiqpMhKkTrVSZ+oKEXBCFo9u
JBgCfEYuSDuntYYL2aYxAUri8Ky8tHMETJ8Nys40c+PUctCser3OD8w5s1tmDP2lHURxzKNGfmqC
pt/rWZ/cCq2HRSNj/EjNYL+z2RdbKRx/TeDkHFJXNvKFQQ1jaaWjU6j6YsEIaZPoWr+a0tx8g76j
fShGNN3otUXmiBvChs9HLV2ojguu0ypXgx7rjC5i/EGhnVxlWevf6dQaNy0p3uGtGptJUGOD1cpp
NxWhj5Ybri0UZ83OA50XbFUU/Ej2hUZ0Kw8YOb6iVumuq0pzmIJLUoVXDJ469WxZRexlZlTG90o8
mfMCJbHt5aBbZYXa2cAuanZj+YKd1NiJLmu8iSp0RR7qoirGvdMUcBtnlqzaVa556GbMLLmoEGez
GT4LCgQOrVLOTNoxyg0DLB1ZmCNGDXclJ3EzaXVnb/UZbSth3DZxyuOfFMPpZGIZ2zmlE3U3hO1p
67Ey88lYhlyY/Slz0zFXNl9uhH+fCAar179/Ity+fqrQP+XNr3RP/OTXRwKGTnXuL2Zum/nnjf9d
A+RYTIu//gk/9XUkzNzXsKjT59uUR8A8Lf76THD+UGmMQPqYDkfpP3wmQNn4uQEi4M6efzvoHCyq
zXlk/J1KyIi7nInE0F+G1FGXgq3wGg147BXxvOUbGrZfSc1JbYruuY+zQ1FzSFqqYzO3iKKlPxJc
7OeOdhMElqc43AvZmNtLS42Ug9pMr6avT6RKN++9VdaejVlhUaT+rdEq1okwVqQMnVFygHflGakz
mqPwoQl7rycvB3K5s88afS8q7SMZxoc+ZHYqkkuZYkXR9K0bMSp2Y6rFKCNjMk6R9cAIS1dsLOG4
zcB5ZvXvsS3ue0t5STrlve/CcjUnjiwHVDILQGifywwraKIq54b7n3opx5edIAPpXOttDHGzggjQ
lilDW0bbJNG2o3wIM3mtW4FnSSyc9igo39um84IKBt0piHZWYdyUtYVhzH+fZgdcfmVpeKWMKjnn
jD+nIX7MIMn7uv8pzM27zgTWrsYfYzBvuVL92qnGEdckNW0X1PdSaZAvtg1ZyWmYrocGwgiikXJV
WeNthtl81di92NaOGi+NNMTNmLcMUyUxA1kECLtGHeJRKNUr0QTbJGSLmCnGpmUCe4PvUOfZyZY2
Hhl3ahEZKKZUjFNVzsYWlufLBNn/flKqG0nGxEIgeN60A34hdMKrymgivEaxuW19d0we8kCxg5Ne
T9kjdAdUTCkMaD6+bloOBg1uN0T0LqbzUeODGMLuEjZAXRnRMpVpvkxoKnOKPgNPsBUwCam7jYTm
r01cZhdbjYYl9Su2En1EFiN6ecomPbp3MHVVTTRsMTa/JLA1Kdth4fci1ldK0QLuHp07N+93RmZu
/oe9M2mO21i79F/p6D1uYB4WvSnUTFYV52mDICUKQGJKzMOv/56UbF3Z7XaH917d8LVJlcgq5Jvv
Oec5knZzIhRGvm8M41HrGch61LTNFC3lbhhBbRV2Ua+8Fp9tWyLI6/wsrXY4TURxH3gHeGScvQri
SD7dlDMSgd+P8oFqh48WZ+2Vl5mYk0TyKQ3uD4s966T3jLPmV9wrgPLyo3cMlm9dv2+ogd+bxADv
a7fOL0PllQ+ZSeJQGmkSDrZ8qPxu3XUum2dVLhinzn5yWV33kcagTmiTDpyZmFoA+c1qprCAMLJx
UkJ+mHh9ahki99jN+vsUybBOxieMHEBlS33GA0izSGwH3IMnWzvgNxvfMjFiPVrqaJ36XbmDupJ9
ySyn3edk1uhs84/ZmEz7YUERabpgoWKWhsKV6wTN7WgZ0XVC2OPkD/O55aRCNsbJjaeBT2YxNNtJ
96d1Z1ItrvlLtWoNPGWZMy0/jI//nkcW89rfnUfl/1pRQP+X5xFf+fM8oh4qcFmr4UJVkyjT6y/n
kWujNXIckC6BJ/Df8wj2AKYjiK+/L91+Hkfuf4AS4DXnGQjsWqGd/tE+7v9yJQWmY+jMqCbqJGs+
9e9/OY7afnacIfO1s+cUIsyRwdKI92TuEhNSWerMm/eaSlcjbt9yCgXwfkhej0Swx5ksNgaXw6LS
2SDhRYjxqVqZKrtdqxR3Spyb2fWJgpA3qdenmekMkrx/LVUC3CYKHknrMSYaXqiMeNzldwyVNWE6
6wvY+HBQefLI0m8DnYT56JMvbERDM7v3bbLdaStGeV+Y4tEzlJyRsbvvNRT+Iqhf7F7269SQ1I6A
dxGxJF9baVSUZP3K0JrdmGk8WSNkyranpGbxxnTtRJg1F3KP2jqa7DeZD9p8y67JH7b5ZIwFGc62
44lUC11iQTJsInpQnYD0B1tpNGBg2rnYmDy+yJFZm8HBWJhp4qYXc0fIC4pSBdG018XXzmMm1+0A
S6KPW7c758Oj2VYeetAYUMWFfxbDw703GdnKKMw3QZKVSz6xPjKCEESr4cqN2vZY6+UHeALRgBBP
Kn2DrseR7Ba2eVtnMcWE3IHXoO0f9ASzkcd2Enyiro7rl9Kunlj5VPQcTNU1p/8cal6wKT3cZbE8
lHmFR7rdFaTl88A7Tk70wlUL1Smz5kNFuVRf2vrBQEkii9vOBEMnSAAuITQ9ZwDm9TzjuUyPA9Ln
BjTNuPKNSFN0hOJCSOABYRVfGIZcugO8K/t7PLdTSd3se2i3+R7gNUb/tJjzrd7CI9Ldlm2pEiwb
qd/HaM2RSgIvjXWpiQZrhJcZAW4d4R2gY+yyAYC1yhIPhIo7v7hMAQiNyZyZPYbQpsO+5daTCKcH
OSGeHfLJXkXRC0cbNCnUXxLME0lmSaK5IdlMAfJL2qFUq8gzFwAZuioGvZCHngYqeZB6zO1EVtpV
oWl+5QI4t/gULHeGhtemzbGzsVTYmkYhFqTsmkhhmw0rThXL7vr8hLpzV6jA9qyi25Zm36f9+FFq
7aZoH5reMEJ8O7cxmW/JIqWUyxHixpMeiHEtSIe3pMSBMrFMYymdttlboYLkmse+RkXLLTLmiQqb
Gyp2XpM/DyKj2uiUqi/ughuQ2QDhz+Qwq1ptXZFgN33nw5I6hA6VbY+Ty0jWvW7Gazopn3IVgtfN
eVurWHxKAj4iJy+KEjQ46zfa3j8GFaW3xug6UOF6i5R9nvOfkbofO+L3Y1McfPL4Q1de8V8upGYt
C1ee04EUVPl9EoYzgrdK9Se6SviD8XoVZP5LR+BRUBQArd2DOHhtoQOMwbABm7ETlv/WQQ8oevBh
Fac7Fj5qjiwS5PJlVsABU42go01NOCwC36gp41F4gqaxXlJ4BTh4w1wBDCrfvrUgGsCIuTUV4mBe
hpMzAD2YoB9EJWu+oJH7BC5C6mfPwsyuY7199Eqpg1DU7zpICqbMTwm7qkzvn7PCvm8UcqGAvWAX
ysjZnOCncRkAzhDPbAEEvIbcpMocfgNvkmOlgA4JZIc20reDQj308N8Ks6YpjNjoAA2iggqBp/tK
Y/eFO1872HAjdPgRHU1sBTyJcUBgXrLrCThjly+33ZBR9VHUJwsSxSR5y/oMYEWbP1JV9pYBlLVr
59DBsGhteWTTfjCs5GmAceHAumAfk7NcjbaDQ8gVGkYGFcNQeIwFTkZkwo6Cm1EqgEYLSSOpsqsU
ssYEYQOXChEBbutGVeuhgMJhD+m2hMoBGuYqhdLx712ZIQJQEbPC/282acr35mv6VxRJ9dW/zyes
0AxLTRmUsP6YJ37OJ+zQoAGi0+nKuYw5+r/zicO/YQihhgM8PW3gf9ihcfmmY4UJhaGHINE/GVBI
2f3pvswllL+w6zlMJ7Cb/pwUCiZHkwFvv7OW+ebaUbsdnzvnwVX7nuH76qeruwYKxayxEsITyJU4
GutWPIIlwvb7fYFUql1SWQPU19nSsmMCS8G6qf+xe4qnemETBfdPsJeqf2ypLMraaiCSan3Foqxh
l9V9X2z5HXVzjUO9w6rUAEutlngRD0XFGc5tT5hhnunzfWL4RboyBa3aUuYAEqks2s9Jim3D6b2n
0hgQ1XhYD08SE+ZEnY5c5tAuuSeFWluXYWZJ/8bKBomfphavmiNJtQQG8Eg8NBF3MyP2V1hG0tPS
4qkG3LgUceinVAMHlQkvUC9C9uM9WWWvOHtuOdwVkDZpA8vg1Kly3H2vRQ433Np/MxEPFhzYQbVw
WvXutPL81PHI2uTeHU4U2GVLV6R7ytSWL4WpQUCLbVI54axzCIInDxzBzcS2epA7/mB1O4erstYS
j9GGV/AlhoEohr5oC6NPSjqFEzZ7bOmGRXnFR2tZgn0Qox9tZtnEO49Vxm3bDOINZ1p7G3itByLR
NbjeUrH0AIn9HFgkM26wYPXeTanFg76JW+VrjqOqrw+UlfSoJKkpXjO6oh6mAHcoo1GfCXQUPc33
ulV23krzZSQONdPbdCy81B4/3dGPPwNoYjuQNBHImaSCsRAATmg1uh8LjcRx5qftS2IZsrmo5BBH
1G9F9P/eqlQu4u+fXMfqve7/qkFIfenvjy2QboFB5J/NulrOqXvLL9cqhwAjTyx+ST9aG/675rN4
fJpwb4nAsx3kYfP7mo9CNjo8fnwz1of/0OagVvu/rv4dX0f4Ukg521Kxkz/ZHDzIzdNkz81l1lik
404CtopxsvTFweX9f0ltaskTLzm7TrPjk+Dc1tikeZLod1Zk32VN/1npsl5NU3IQRPESz9gO2Pky
iOXaAOWlNK790lgvJkaewZ5Ii1jXOtT2ldUXZ/SSbRR7122ibatZu2U58ujN5bMzdaEf1Z+UCQMa
4ukxl4cMzmgCOBrNyzo4fvIEmCjUbP2WcslzD1sMeNN5Usu4wJ0YFBY+2QbUt/jRAYOj8Tfa5M34
EaTdKULV7RrrzYrz3dB1xzJyt50VXA12fY6S5BxUiMV0SMSJPPfQNKwKxtpkPns2whpspIAVnJZV
F2GIc6UZm6FnGdQu60QfXoO0vUmS/hSPczgg4dtASqBDnRsTcTL41oK72hSQS+BN9ccl8N+jEa6P
az+T1jpobbAenBaq44JuJ9aFXFaubO7nlr6GaEovseNhiAU7JtxHpy32y9zeFX73UZoTe6TyjHhx
PbjF3ln6Y9HM+75uUUPlN09IKK8gqEDaW7F95yUeiRtN7juvRIbNx1PWe9rKmJnnouzdquy7QLph
QmPeigr5S69117FZrJd4ODQL5BhPuxPBdDD06MkuZq7G1salaWFVA8yJFJopifQ6VKNb6ucjXrka
etjcR+sqdd89OiR3sp52vnRY2U2SWR6hvxinD8oXgphMRazXm3YORuxmrd+IPQJRcuiqphEXe1km
GH+wjKzd0LANDmgWWA9q76gWkFXd5+ppeZdVnTyWLn0drVpYGrlhnaCyDOthNgTIVcIeAfoOkYpF
3JmGiahE7I4LzV6UJG18I/A3/JVoTKKKIzTU4lRICMCdWqb2aq0K8M6BcjXfp/Zcr/HnU0BnwW1d
1EIWfi5uEXa0ftPpm8zlTivY36b+TJpdfBvVYjfQzAeNTW/lW2s2cJfFdLY2m+C6zcZ1xoKVisHP
dLFPaL/PGtcfcWrUOpn/lsWyJGphsWtO1c65AsurltByaAkQqsU0YzfkKml/xCAEV7paX8u27tet
HRARVO1JkyCJyd5xsPHUDWoBnpn+ZyyDt3I2Hx025Lx+XByV3oazWp9bkusIErRcO6VIQMJhNx0w
RUv27pSIXgb28H4xPtnT/K339KNgTw88FjCuBu6LDX66APwp8vo8M/lsC7XmN9XCv2LzX8okpn8p
azdmMljr3qbKZTTKF8pq+SnXxVetUibeaWTHjztrK7LpEGn5TlDyHQbLgAUK/iGonkuqex8I4B+T
DTygmQret57LCpjbhZfk+9hvNGxbUNckAnttmbuoMl86oFoUditjtHMgV9muejd9mWOyWYFmf0mj
uli7+K+QLD60vlm3JiLcFOkwLaNniyVvOAeYe80esQSsEzqGiZG+ob2rkQ8J24S1LuYZci6/9ymK
XizsOayVIo/3l7WtFVwpCEY+omk2h1XFx7IBpc/Ls74VOsGmIYpViKvBVZbSoFXUB/hpLq9tOBI+
uUwFzop56TFoWIcx0YmVDE+lrh+70YcHqAUBTmBAyD0tt1mi349xd+WUyYMxe/BuBTy/RtDZbI/W
2p2067T3DWTU7LFJbJwI7D/WuSeBBCdJVm6bsY2TUKto0QHfrYNqHpKDzb4f8wrNGLqv7cA94rMq
QYyXbUG1cW8SCJxvpcLze8aU36bVkIb/3qK+36Jsju2/mUWS97Z7Z+QoO9YMh6//53//MGmqr/o5
hhhkSQJW+yh5kNhVsPTnGGL9R1c+R+REGDIkSH/enr53TBBK8XH2Kc1RXax+G0NwYrJTQTX5zub/
p3OIo5ygf5xDYJfwXSiIcRh7QPv/cb1rqj9c5nV+o1MjuHJsPn6GPT6xWI139FtfZELuv13SEy3T
9BfNVFRAqueGxZMa+/pn1acn7M4PBLiBaxm1r/xGctUCH+XhuvfzHm94tMF5tB9H/he22mokiWlZ
xmvr0DOeEp6mBmnTTvV74okTBK1PTySbkZOto2J6NRvyVE/2F26hu3jG9Gy1FU75tOj3Qjb7Jgiu
WgEKl0f4Aj4N1YUkmjNAGqsePUAOo5n08EHtdJcs5nvekJrR9RdGBmfrRfRYSeTGXUM+jt44sm42
HfKMQUCywfZ3prYPLLHJEnFPcFWimFnjZpDTbclyd9X6cju6KiXHi7uiZsQMF39c1lpplCsNS3lg
5V9xF8rdbGIeTWO6nCmDfwBN/y2XtPTp5UjXXStOmQ2FLo3NDHOezEOiOU7oTdWMlOlvsHQcE6cr
1/GYP0KV1Y4FEDJ4XrdJw5O39IMjl0XOFac7BaX5UCf9Dkf/LfQGbdMvbMbnYuTB4OPzw44EruZ2
SohC2n7wKoRxRyGBRmtU5XHVswowutbDUqSvGczEMWepzeaK5WAKfpS9nKj1b4pzuycHyO4q7ecN
ZlLunJEFdzh5TgSvP54p111iBbSGY9a7lVzJ0rLZUjK2iox5K1+PcUN1WEv3a2e4IbC/VapP7WqO
gpL+8eQFSfhuauwprHzJEtcCaxZjd6xLYprdTAB3xGUVYr4P1kaR2bui6i9V5T87RsTvve2BqU/1
Si/kq9Gn1/RjXjcpbDotNnxaeTmxbRMDYdBCI0Z6Jd3XyV1kVWcw+HAeHe+Qazwy4zY966J6rUWd
Uhakkphps55IKbgjL3Qc2Dsb+bCvDf3GNNtQOiPRKSO6auL+0JbysdeGXdWWbLkqsL4TucciRQpv
hwAT/MhWIk9w0uvDy1Knn+3A9C6m3ZhK+hdKmrhKt4Ioxt9q9m4qwBphFgz3fpZvO/iey7kbTpGW
bmc9OMRTeTGc8sYcon3uALDrXYZaRYVWcMkeQhWchmVtLhQSuwDZeIOmUehqGKdrABdVyTctC0eG
WCSKcLRBLBT68C3Jpmw9FZa3MRXnwMraj4lTa6x8htuppya8Jv3VB8EO/8whMeDxLaxqG7Z4Vrry
y2DaabR5bJzJikLsrOM20HwwGugi8ZSQBY8ywUBif+0hKW1pVftaWcML65YvSC5iU7VsN2NrvJlp
TgcM4XLcd2634XE0WKHTl2D6IOd1Vzx7lFVaMtRPNRNgSV28U4KG2Fq9dJ3HQc98f5fgXIBTySgY
j3WJd9GbmgW5OJ6MjV9SdIFxyLT8PVdBbD+NhfJ9Zrk89/eBDjr4fgwazbrqp766Gh0kjBdc2uZw
yTq5r2KqLaWAyVHZmb1NUziLNc5Mo4nvWnSksMumo22X/bbRGkZwzb1yvAlRiZAiPk73S42xeZV1
LotWYb9kGq7vZKCDwtAX92hVvJmz0s8YFTBIUyr/JiP7HWXHXHe+oBNhgc0fJAMNpSrCUo4mPmyc
wk2HCj1n02kGrT+lgdhmUjvZZXOrRf1V4VdvQzqyJbegczCmtAYLsFg6AKSt6ZjMeAqIaAWefE9B
a7pK++tMjJuWiwuNPde9bopz1MK1FPNrnpjfFkPnu8TOt2womIMo1liO5jyRYXEaTMPNXYZxnaoA
km0T3NOrPPFOepZjd5sq1RF4SNg5gy6Y3LBmK7zizXh2PZWdc4J4o2varcmJuR7hU7M76k+LPsOh
oWiNn4LceyX4wrai08uiwQ1bgFx7QeoRzefmW0baQ5etFyd+Nhv0Mt8WEVfbjFB/Foz84QyNKoRk
LQFTPPabtcU1FlAl8JhikiNtBuO19HF++D5jfGx4l3QsTxQhYl6R0SUAj94W7T7uu3c3GOcNTu37
OdfqDYu3HKM6BwiyxGPU4zrvx/K5yquj0OjW8Prlpa+DZMunzuY9gBrPrlMLm6r7bIPgkQf0Vpf5
dVYkqurG2luieqwHtJvUm8Ih1g/1aN0MXL4Cp/pIOeiI8etnW++u6EKOQoKCEVsEoyEQ3sDlHjgS
ujFeofdS25tlh8CZ/dUQlyEdLvWuddIxTO32kqX9DZPItjS7p6HgvpEBhLB7kzdgb0+bTKe+HXNU
vQ4y0J+4spPQg+q+drOBIljN2Llwhg4dP9CwTfIL/T5i5Xvdke6VhpR7cCQ895gjh23mikOQR9ZW
S5d4p40GZNXADamQ4lbKJ+0qNkwcO+BstZa1R1fqxWExMRQP+HcJ+tURDG+sfXZ6k/QCmBMVPuwe
CDqlEQ84Z9wvhclHwvFvzGZYuGVyMXCr6UtZxc8ACTGWeF8W2/oyufpWtoQOsvgFS4a77qz0EBXy
Ra/8vWU39yMoHUvQO2LOWajnyZXZjO9xke96z/wMsuUY9+ktCXGuFZ1+X9rqIa453MShwf87dv8Y
u5mS/2bsrvL3vxItbL7ql7Eb1KdBxMn9fY/3c+w2/0Muw7fY/Fl0vasV33+3f2rlp1QEIHTsDn8R
LTD5WXxkVP8CdgzVEPEPXBWGz3f649jt4fJTNj/LdCCTKvfxr64K2y9Ew+dovvhd3Nx4glkHL4L3
QsumeZzHLHudDfpc/G7QT+PM4pw1eLJmrF2evGDs7hO9yndkPNMrl0z3xtO6hp1JnVAypJ/zPAlO
g7L/OMoIZE0dXz/4ur3GsgQMu5LTXmNonEwMEW2X0IworYybtl7uRDlGoKUJODYYC9+KJImPgLWo
BNA6sTaVUan1fclAPT8FJvT23Hqfo8Ijoou9qaNR9qpUlqemGqcQdk1EBF2/QFqrGJyyjLpWGmah
ebEVMFWogzprbHaLeqYK8SnBPti3XVmsCXrGanv2mkxxxPpsQD+WR1HxJKEVKjuYS0AAGk/NTWzE
L3o2A2Owmq0ty1sH6XCT6p2269x4IRHZW8ck0b1NbuVXBm3UB6hiwVpPIHNkeWlvBlg2e9cARMKZ
nR3rgpapqBpul4b+KZm3hDA1oria44B2ZhVixsFZWAz0w8xPR+u15C4daV3H2WdcWoJP69kb5aFO
2iNbzDec3VjMcnZBSGliY8QopnG9dKqCK9nwqGvWuZbp28g19sLWAOM0MfLxsCu6jF6wpZfvQCzF
aersT7afLD50WlELhzYkKv5omIjvyZXfEvy3Vtk07cwhfzK/B4+pskpXjYmPrTZuKhPWdtwCPuGB
JjV9N5nwdOAnbyL2SVRXZShPgx0TiGcI9MriqrWMT8ep+m3rjvdDgjDScqIpCoq9Kgr94sXBviyq
3WA512IKTnLUdwmNgpsljwl8Re7NHIntEqeXYkm7ldsR4Ke8g7bB+eQwgslMe/QtB/j4ZGNXQX1Z
+uitMJsPi8j0Okj8LyB3dnBOHuklVdsbSehXgiSg2G0uznXmUKQF6qn/YvtLExqWgxklqqbrYCwl
nwqyS9cGDnDahWaOWhlQe+KRv7mOgWwf/n0Y/3gYs5f4m4dx916mbf7et3+xB+Erfz6QqcP2eRrb
wLR+04N/PpAViMMFb/ubvvwH17WOTGxSysPd2eVJ+XMPYnmo0qwuCGjgdvMgdP2TB7KlQJh/fCD7
OlI2axiQmDwJ9T+5rjVfs7JmyqtLz9V1OSHzOuJs2LowN11XEMxL66ELi9w5O7K+6Xlr2jGu6MYs
HgYDqy7+tOvabF6h7R3ztrxLi3TdaWa1sgS4Dcc5yYmtRemNO8JWAMHb7DrRx2dqtz5RLibg/2ZL
9tOtbult2RoFxt9k4cETwaIxbWBzeSdOHdjIiZURHt+hND5MeAY4i+KczNrgU/7rWU16NDO3i3c0
idnLSscyDZRRWuSjIo1ND0QLefAITe1qj7Q7XQD2gxV1mKyiYhQ9PblxYl83Im1fxRixZBiswtwO
VOHR3NzTCEaWERdg4LRMw42DIfi7SpCV3rBs6u/qQfFdSYAp/tG7KjaYl8+ekhswke/87wIESoSM
oG94SpwQSqbgeDhx/MBhajt7JdEy6gWoUcIOqIpwvqF2aM1y6FA/BobtchixsJRrAAPX0+hcAnIZ
Kx/dpMlNthnpu9SqK+QTbVV1/alXUouH5uIr8aUJjLuh1w4uqgx4xrOPSmNadHdr4x430ZF9zj5G
zYmD8lyg7vQVFTqoPQELbBP1h/s3Tc3ePjLii4uxbVXn8j5HL/JKmoulvhvRkZqOu8M0HgT6UuFR
0YPeFPjtMVcCFItiE337W4m3ykahslCquE7vbInaUbXUHLQ3wIheARNwMfDXEqWrRAkkaXzxUcDA
QpxLOKUtytiC4XpAKbMxVfG75P7J/RolTYBialHWFsvZ9ihtwhE7CJJvpiO2PkqctLqPuEKaU7/6
2GN/h2aXFsbOR8MzlJTRo+r1JrGbWpwbF7sgql+3aI8OKmBOWBp5iuKmrDi06IR+6q8CdMMAl/9Q
5s8s8B4rPcHepG0j6Vxb6I3wA9ikDCwfZuN6RJEkZNOFARplhlYJ8uPImjJsEgQvtEwtna5GtM2q
xXjkz81n45l3QzDdNUoGjeLBufVQRlN3RCKN7NPsmOCLc10ciixHSU3NCvWdE3peOVN90V0HDAdv
qV7lc4dWC2l24gRqg69zPJ3JO8NYsK69NL6d6s5dT8Sy6V/y1lZdv3Vi5u1nuWspgcDVw7zVrOiN
PcppDKBj+0X/kLHbtDSLBj+7Q0epFnQvulhWVmF7oZZwBYeGUSKwGKfItu9sSvLQUCluERO/8UEE
N0Jqu9bGJsv9aS+TTMPkAX6/nowTzaU7ssihEyDDsNmiuoFVQ2oyQJFnvqGEEJqK3dL1yyGYzC2k
TwxaUXZt1dC8WFgWLn2FpgLp1MUXaRf8MhYN9GWLLTCa+WF1uCJz/wCuwlo3lQD3mtFQHS3IwRqE
vko3g9BM6AoXqbwu0pzlWqeFhVm9dJ4NetAshlArlnOvpL4s/UpSVKAFmjB5AGFNKhVSiuHOLc0n
WDNHzYn3vtbnW/RlyepvPDmBMSOH8QQotFyGgSz7tVlH/YpNWL0V/Xxd1ThEXSu9ZFn9OLg9Imky
PcSuw/vdQOxQrDg/u0Q5P5qkLlDoGvEYDEUZEkoJiJ1o4zX59/wqcdzs34vYb0oGx+TfnP08Of4K
wGXzVT/PfQ53PFKm9cM7BiPzv/oHzXrs0QLXNgwDGucvFzEF4DLReV3Q8BSM/AnARWqS5CGmMjVR
mP/k3Ifx+edzH+gmKC/c7abuYAnh9f16ERtMVhu1FswXTq12q2t5uWmJX2a4mDFCXCE5Tw47QYf2
FScq5WkcAfOQWXH8DPdig+6XJrpzPZWs5zCHlase2J5NXjDMZ6vdmkYXnMEWV3vyVPLWtBuOYLvT
rvCXOoScq5cAMFWoOfqXsmavZyTLbZFWfPbGKicpw+PSir3Lghc6LKtBrea8LEyrER6vz7zfp+xs
ysK8zSwtPwwF6J4CWrTeJM5e86ZpxfanPRhZX/KAdkuHMqnsjkbyzzGr7xECMdoj6zbAnw6Cndsx
DqiOW7pAXvTefSMieRfUfJfIyE6MTSM7c3TsqczX0RicdBRKVNx8RVnzrZ4tT0UvHwNRXwHkeIPj
uxOy4MUuoxniArm2HfJd/eicFul/XQJIX9Ah6tA3BxqkKlWFOtah1ne4WbHuB8jzWWJhDPArZnqS
alp9Kk35IlJOBI+KVVXsRouoM38sqXk20oZ/YAOWQtEMdWHV/k1r+dq8I5ePAp8ospiOtF+DYfaN
Bo94tTNpGNWDcWeyKOuNYEtT0Ofi++nG8QZKTxyQPI2nSp95SJZ9K0OM4JQs+aPEi8bTeDTtZwrV
Tr0GAKS25WaYTDTz+TPy3A3eCsVwjd+pOECVj6nrzZxy3dlLtTX0jurq3LyJmhn0mQtgSgqJnrO8
+zVwEwPpi7t1xUhjA6xCBTgM7OCEqG57vcCi6HJHVbXAS711oBGEiVXuesPFthg/w7IKABG0AL+6
nCGJJZ3PRg7SK7SmNIu7tTfTBuzlZUpddcudKo66TVoHT1jdbrIirtHi3ato9BuOf9pvOid9ZycQ
Qxyr3r2J/Ww70VrVatGyj7rKhgiXZRsZ07NRoMOvoJVJNJLYXpF8v/cij/dUZZl7syiIlNEh2Jfq
EKfEDeoUbmvWLRRMj7ew46istaJVORX+hoTZdeGaewLUPNvj4DKVbctV2UQaS5h2MVJj0jG6lTMi
7VOcdalIQbMyRY8fsy+96J9FYX3IebwRNmKbERefGFxxBMWF0vjPmPL1jfBx60ctLc7B3N5Y0vpK
uSUCpkz2Vj5/jCI4T2Z5T4eSCAtnAQzW6Rj9nHjrO0JspVoad5H72lY1eGzS20Jkn2IZ6v1sRrul
Hz1FkXZXrc0eIYgVFi3G6R6n+UaT2XM5Vs+km2kVG+z3Rhdvpdvjfu4qOBUUh6/Sikx35T+JRqMm
bjj6QaFv9MnZuAnAMiAjqDpUbAMZXIlAe+1qKslEdV01oKNGj5LZJPZeuoVRIYutYD9IAsttEcCs
MXjj1W1gX8ys8rV1rUJ+/16Jv1+JHU6R//ex+PCZvBd/YQtQX/XLscgiEeIjJxwH2R8oTMoWwNbS
xgOIEVHlg3/bT6L9c33miso1lZuvowgJv7sTg/9gccSErQff15P/DEzgGCrV9Qd7orImGurPooXB
VafsH45FQJKWTkOcfxkASLdrYZHCcnQMWqUGRTXeGDzFQkfpCNHQH0juGqsK8/DGGIJj52RuKBH4
t7GYH3ytqne94O1YGinEaLfYiF5+ic2Jt+zSwWXfkQnrtbWl9U8td5i7GZvezm1c0ov27HIueWu3
Numx9YbmxEHer5zYTEjSGB8d1CMdfNpejiWfa6GaRRUdCGHobjamW8QI97YmTIbte/TXel4SCvEh
zeb0xa7iHqfCHPCwLHhV/pQRA+u1vSGgSgtFu/H79KuBxY8zTwH+OmbYvasgRbFcCORYRKezqDQu
kSlg6vYl/x+hlr2H5W0l+eMXxVppMGLzp+ASWhSJBcQBqy3gLGDULgJYywS0pWs401hqvXc5PBdX
kV2qbnAQN8QdxbFqL3A1aDpN3y4IUA7AebeoqbcBFuP3qC7Nd36Mrz1KgDIBYBl8G/7BqZebZszm
NX6SZ6v2vlTAaCA4e5g7k6MBpgaT+kM8wK0ZGQMGfJINQBsdsA0XfCiOinUDs8jbybx6EWN+xGv4
OikuzgwgZ1KknL4LtinoHKcMPqVi6RiQuUHWEPBhVVCpFnCuQQrAk6Y4LjMF5TGh8/hQejIdXM+o
wD0QJSbC6sB8CoX1Wdr22YXzw200rIBAbrI4xQwfk8HFrPJUKTxQoUBBk+/G6xZ2EF1jISVjaMLp
oHcbXPJEfulooG+sv5FKRNaVnMzA9gUG0AvbzK8gJ+1tZBlfpZKgEyVGl5HJngR5OmahsXWVZL3U
lHRmvF13PbVbK9qX0bZTJXNL2zpoSviO2eaHll/xQUAVn1HHbVRyS8nlAS7TjSHabN27EL9K9CQw
S0XIZ1+GUknuKXwiN6GR18PJguTJZyQCz0wtHWJ9ZIBBVfL9iI4f0x5Mr/h0sVD4TZT+BMXfzXyi
wum2Nw/Y7aLxFPA9W7u7l8os4OIayAr32QuKC3YOjgRLzOsIh0FGVkxXjoOye/GUBaGaODcrIYNN
6wVNWGH1X3Wi3FaZPJkmQB6teKRQ9ZDV8XVXAM40cDuk5nxj4n6weyDPnjJENNN0KXKTy7yevyaY
JxwX94arj95B1N61GRTnFKNFrhwXvvJeVFmG11b5MWISERAwjfTQY9YwMW0YmDdy5eLwlZ/Dxdhh
e85z37QXUzk+qI4O1pNygVCU6awb5QzhuMtWDJG7mJUII+8yheAQ70Y3esaDW8KuwuFEJI9HD1+H
bDcxo/wPe+e1G8eSpetX2Zj7FNKbA8wAU57eS5RuEkWylN77fPrzBc3eNCWdUReBqQN0NtDoFsms
rMiIFSvW+k0MOTU6cMdyUwiUijqiIQe9CjNsECx4DUYgBKN42gJvUYG51B0KQJpAvrRhpc+itjRX
EbAYA3iMDkwm8NErh7ClMa2LGQpa30cgNa7QOCgFyqaoYwn7E+XSAICDKawAOKQXqsDmKIB0TKfB
1hTUTpHaLtqr6J0A6HEB9rR+dSI/In2wRAkE9se1kosYMFBvBdKhDzwoEDghue4PTYBDWI+ClSEl
FdT4eGqmXTSPBdJolP2TUWCPYLT2Mxxsf3qjew37hbO8onJ2Fpil3g8fytw48zLQTLLANdFuIZUX
WKcOi8RVDfzJEg3asRgvBoGMQuQzB6HiXfXYcTQCPAWIynGSlsZMeYidEGm04nvTQmCutM5scBfA
nQTbk1tU8Ra1J6/JNwNaE2C2bMBbJEM3KmCuEeYlymfBXG/1RQncC4j3UQD8K0REcoUJG64aI6VO
lJuXg6Xco356YnjE7F4ApIGTFUq5AQN0UgMzG4GjWAJ3Vg3NFNbz98xOZ24EtqKnjONGpMZA1mQP
gb+WSSATjwSmzQpABBgC59YP1jUeOCejbmyimkAZaGaGBqe1YnH3kxq4HGWXctJXzlmJ0eRSBVIX
M29J2SnsWqIV3KrShIV2URoogproviEO763ZO8t5FvgNgnQD1EvUSM5sW0LenDL5sqzK2yBSrgwE
16a0wm7wd/2OzJQ7KYkLtPIAgYEWVYggCmA4+05z7X5ZOuWC57srwwKFHjt7qFwqy06ITzkaf9QS
o9CYuVS12fNOOp2fdbl/VGM6OcGbYKpRTAU73Dy4okMkW8WDBj8hDB2Y15IbcSZwT5TcbNDsH/yF
k1Ef9WhVIccPHpxVVkxd2zj1LZlVlgfg4oJskTXeasAEYW4RJyWy905Kr4Zs9JeBFP5AefreIG/W
/CRZum60JI/gHbjtlWKgXFG0hYX4hXWAuDpbcapHaIFQZgMyDhdUUqozIYTgDcnPSI4yyq1IqViI
OVeSdyyjqQqLKf9pSyloEt353gkigVQkBncy15FvGJPck27lonEvSjiiRPPKcU/01l/6AVWkaUzx
/0BG67o4zeI4881JGcgexgx0CEbQEE7hH/87j37Ko0krf5NHN/G63HxsKxn81UseDQPRsdE50Oij
K08Z8UtbSUGYFB6PDfpUaCeQEb/k0Zr5BZ8Xmu8yJmAksQJ5+5JHG18EJAB9Hzg5iMDrym7lJT4Y
e0CUmvlvUADvy0s0EuSCFmlzio42wShofsCewWE3glkmt/FsKGMBWIQ3nLknAYWFmaF0iPyl7XlS
ZQeW40qTysB62WkLztvBEeCWk8GiPZ/hxSXL0UMLyAtEeAtJQsJRyO1UrOkLGI6y6U2TCifoXv5G
bPyhVvqtU6B6afsOeY9AwTvSuMBmV5oXnQ8hAHQ+Cn5kNxgCG3b6Ix+ym9YPEDCoKX24pvm1RMsq
7dNvtSN9c9PhyDetM5yXTtrIP66z4EeV2QlUOOsc5BxK4p6NkUNGDzsOzKWq4nqvZN+TQR5g+eGZ
nNUgaIq4W5H33QxqXs6RJ1voOvZMaoiYs96RDEWS/YAjODYXsXlc1fE1HtbR1IYqb0T2Jf4sDxxi
zwNE2qEWwJKQvbCeu113auctuID0ngLFd7dQz6osvdfRHZ42UenNm7QjWlvJOayLlRCQxZf+R6zC
8chjO591yMoTBrP7TnHAJUERTwaUTXNK7LMBXvaCxV5OIaAd4zaNpYp7nHr0sdmRFgMmZXLZUUpz
Vp5qXMII/xno4cZKymst8MCYjreJN0JLsHhIXpIjo+bYdShnqHKIe3hfmIjWVie+0/+k05LN6Nwt
M0w+pk0ZohMkq990z7jUa1Q07CC61j31Z6Oa7cEQiD83mmYBzfI2kZpVlfnUGw2THlATzDgohRy2
4u94wUULNW9OqenjGBxRn8Eu3JjIoA/MMVrIVh5OTFteFrWfCetsOOU5bw3pp24KoAWOCBlUMdoL
EwWPpVvlR4GbFIdjEtHapKVASWa8tGJj2aX0nwq9QLnXRXk/4hREcqJM7LEKZ+yIZCBWJ03tkUk8
VLzDRM29eVeOV5lX8qmpvfDcduHKzdVoa4dBB4LaUjlVVYXrzbwYge+2ie7rrL+1kWKhkpbfyUqG
1mXmInZN6bKTgxUQAHj+kr+SkYCfSRZmY7KcLc1BXioy2nXoqjor+pN4brf2JgmLYyB/mLtUeFrj
KHBgetiDqw3+7l6CjVFhYPhWgvWrOVaYdNIqDpJTuVTwrRnz8TzpTfVITyPSMvBG3kGsOr42i6Lu
G87qZTsvpcoPvjIMbn2m1sJC3QwMbWHit5JeW02Maope56OGwkRc+VN4wtY5m2QAnqII/HOt6L3v
QZPPq5gpNNF93T3NcdUOa/Ipu+sBuXkr3yIL8wtZQnXL6C/kWELpuAgQVbKAa0yweB1nHJ6q4gC+
kEslKOjrYAosKkaze8AkqYsvMALuiyWlVPU26jj8nMRpLshYsa/MetO6lz30KzibDiVKxJ2bOUKj
XDeKOdKZlnct11ZcfVcxKgdlqY30Egs5Md0fkRH4+omMsIXEObxv8n93Y566MYb2++0yi5sk3bZh
8nd/b5iOkAdSAL/R9HhilrxsmDBmIYEAmQOK8W7DtFHR1ADFKajU8iuii/OyYSKjyT+wadKocRya
Nn+yYZqG6Lf8U3iyxYZMawf0sOrouuj+vC08Ka3BtMiS5Gw0/EMAfhO9RV+5Zy2NaZihKAE+FiXw
Ez2PowWiSiu5UZZBXp/59PSp0eKToELOkKaNphx2Vb6OGv27WwGTSuuTflTo6+ur0TdLNpZsmPqW
9x3jywtQpNHcTJI1QqHmVEeieuLGzMyRdUCvBvfyOGKTsJMa1K7mHzXUZI9TLTm3fTYKkl55Mlrg
dZ3ozgTsqbkKp3Okc0p6prkT3nZKKyD2JPMGTEC1gVARwZ48gxrxgOE2zBvKDzAHLZP6RaQcAMc9
rmvrQHOTa23oN4M+nsAfvIvd6ppaQIbMjbfMzObINIgTWWueGZl1GNcxmYJv3GiSNENQ4Efnm4uq
JZCW4N4mnWOf605JexgKbRedhh31a0lxp43RUbKxOJUqpfTNSWhSZVTwZSM8piOBa1c+HFFyYe83
MDtJolFZ+KaTLKTQ+dGzhxptc6zDRznNiws50xZJFMw5hZ1hmr1otJ5SHHLlIfagWqmsNcWfBrF0
2+ruN46SC7NpyESoxVNvT+6CobkBnAaYboRlqfTh6YDS6ARVpgu5d/tZFZnJ10I/MIfKrie1DRKO
wlZ76skwmjvqZsBPuunQtFc+EsH8b0QLTdgmdZF+bXgMF2DhNAokXF66bGkEMmNjK3S4h6Oi5T2E
IQYvoWzHs2ywgTkP2mVgA/bv3Ae9YFcMTPNaz8xLidLtFAG/YwcfGeiBlg9phwILp/JLyXAPjLDW
sWQFr9wX4bXtpvc2WPjUTS4SSk9hWn71HDIwUzU6yCCRucpdpYNUyC7JkdybctJeaLqw5bBcVLeC
CM/JZjZSuDfGaCnr7SpSETNOmx6YOawaIEb5TDdhQ7J532boojsKgHFkeJCUjqsAOxqSxrRXMLis
yp7mvEX5tR8yyipOfoJb100xRpdu3thTUE+UggJJgUqBxUjSUDWNy+xIxhOUmky0aOzqNjCtY6x1
L9M2C6ZW4GB6rozjMknR3UlRgV84Q8rM1NQfeVpc2S0v3ui82QB4RW5cLF4kZaa1BnRn+7Lp3FWn
UZFVXPfAIuOjbck5Gnbcoqf1OS2pQYK6jKpJ3pGFhQXcYmkc1p42otDNuW4aM6KTGo+JupVmckQh
egDrowggBIeDJfTXZD5ElwCm8BGCPOmNayka1nVrXnt9ex3FSA729jnseQoJHkCaToUFqwXS14GT
Ip6l1lw4b/hDax7ikUImKPKlxoAGkErDmvc6HNKom2c5EEV0SLSZKukbta8w5JNOerlO5xCQ0zld
tDXgkNWQ18aUWvjA66LbBMwdTd8yw36p6K4Sq8vowNXK0gVqKgCOPE+LY1PXMAP5959qTKo0GLEL
3kTUqWPpsmjkTZUwJXQzCQ4zy7rJy+K0itEDQkNuk+fgNRE6q8LehAEW63MSYHVhKlQ+5bE8dhUA
oanO22bEj7AwSGGbMJuaOv2uo/24yCRisBfY6Lu1pY4ygLdy4TOtMgVTQBPDYIfQqEeQpGDggs3Q
T8baP6uEawttd3s2BNoVcqXdxNOz86KSlwCgr/ORWJkpV4pXUAkc6cTJmbX2QMjmpg+STQ9mXSDj
1Cg3N2hSKVM0eYXdAKyY0mBSR5X7vTXH72VdXPqV7q28WKKRqjSC6o9bQ91c5Tbac2XE+9UkGr9a
2U07y4XYlZR3YRkTKqCM+84ZgW4JfyGZqHp1DUv6a6TW38oCgngcNd90h4aponbKTJZV/4jstUWS
0Tem6DUL++YCur6iHZRVeJWa2nLMAUe5kfK9i6DTOPRpDXyVprYTqRMtN0ns1K+tedFVh6N72wVH
uq9dpCTvtmF+DSm0BlrCq0nrJVJheD2Bcs1jpVrJoblRCPRzpXfO28BkaeuSu5LwDyDzHYN5bFEm
D3R9hlr+cZXHIKbUlYVsDUdPRNQH5Qqe/5GfUU6Baf3NqmH8yEV9WNSnAkJXG+jKeZZ3jnszYDb8
M5cqFk9Towy+KcO4jOMyPE5xHF2gPXriDJa0aHGCWWh1H05GRdNom2KVYLjJvMu9Q0P4Y1X4BwFW
yDyngDRCE5j648YOEv+kS2v0+PF5MKxvYQZDEcFQ0Gh1MQ6nii8HU7/iPdOqNmGO05+GrZYRvw7d
enTOFK2EGDdShXSBDB6ge3UaUwSz15C7aI70aM35OZ5obB7hgmPvIjGUE0CdB0SjQ5MDd2TruDXU
GNZIpY7rkpUTIdrCm+iVtPIL/VTXK2+V+vJGG+QNqrp3bDmwUZHbHGRpltjWTAW0rdU8I0DpbIaT
4X0fYJ1oeD6AglClLUydOPXMW79P2iWA/nDeUfMqsOyeqCpGRq1Eym2ZR55ADt7B6FN09xImzUqS
OhWtAA7XOcymoEmUKRSpG4afXVyJN3kfHraqZy1yEJRlZS5Dm9a4oVmYpfYyRyn8fFCthQSuFN1t
WuP+1MdXhj7MzNi4Qf6QkwQycJz1DjrdXJRBDHlISWBO9QulztG50+8Jruc1QOop8rX0nMziElnE
BQEOuXtdMKWUCq4koDJrVFapCYIf4d8zSpro57k+sgNONMzLHvMp4n6MhPmIpYSJUl2P+EBuongb
ZOp6RNQVy6NuaQUhwdk2T0lyb8syP+6t2JpmiTRX0Jg1Ovs7W8ui7dTLsmiPWLkrQMEyama+6HkJ
aiBwPIWtNlKOA7c+cuPsG9XC286NhIuD9a1S+5OM0w/SJA7GFRLoQMfwvlKOSBG8iw/G4LDUy5Pe
8xZ5p9KwCewL38jZoyXzpsnbk7FHETgN7mIdE9VIoaCoDcdtbzeroRxoOfXmSaLggWsmBELJX8pG
gEu1oa+iTD3u5PGoKTUN829Aeia24mGXJOeaK4/IWtrSROpg8mHMgbySOE12uqpNjCQdpnll6fCt
y1VFIwyoTnhndeQwdt+cW3mlLZ0SgxvPqarjpMDevdC6ozgEtAKoA3qDKy2dR2Sv+ojyBeUH4tes
pUNTgIBNPztwHnHB8SNGeHzEC/+7evlUvfytxNpXVAGachsM4LW2ms3pSVURSpMVxIpewwAey5eO
AWcB4TWZutQ/5Uv9CzqaWEbqOgpC+M68ggFoX9jMVY5wmmzRvudHf0BTensWM+RHXyfcLrGnVAyH
Yvjbs1gvI5pVlinFS1GnY8l7QJECKnyvjqnnT4e7v9ImOc9wVamESMIHtIFD9wLeqqKBe8CeWzzI
K41ZJa7bwgz1nMzQcG4iH4NqpM7jYVwBUACEpdVpox9U9C2uUFCEa26iMhnanN3yLLQPsfJxjhRc
yLARKo3+3Cdp14aMU5I5eLjMtFFYaT9a6mr2eecWbbsIFUBLLdKCExOZ17MO+VRlHuR5ps6zLm7a
qS15qLcFlZvScBlQcGYByrMqvTdivcPeMY/PcCeA6a7kUTwsMrfXUNSmaxNXiNbSXMq0M7lVjOi4
jcOzso6wtszTfuo755oib4wqf0jZlNxKvraACuFdtzQkE0AafPUJnlBzBxd6J4E1nRy4AyI3WgSh
oCqVWTwUP308YMZcP1XU/GejtVfIrLPj6mX43YowX3S8qDmRrLxEz8YwD+MAag7iL3gCqhXpqqT9
1MMqXekuaiVpXeTCOhAFs1gycDixT2DUn1Yp2GA6SPRyyJ2XdWrdDIp0G6to1WShjxpKXXuqNWFD
95kWbPhAL3G90sUtanQ5I7O8KfUaMwfTTv1LfO+QIoB7M3d6ub/V42BgFFVQTlWEposulfDdjfGy
MGv70JfQevr9HFNZZK/qCo9zWehsgGmg8C+aBW+nWDGUhechzHrKBrSmNadcjVeIu02Kab1KAfNP
/Jk3T5bWHB7dxDjUF9oc9PI0+n/M9Uf1/lf1DZ2lDvOPjgSWszItgXfEP6MvuwZtn+yU1P4Q26d+
GnmFy7mGbMS2ImdeYFG+KFWT+iIquCeeVbqHCu/IjAqkGazh1HHh4Nnq+KPuM2dRqdii1nW+cO3x
B/bIBtURXJyAbn+DmID1UVkg+V2B66a3CSvYp9uMeeIclY4lIj/T0EWJB98PSFnOatRAqqjqUtcN
FKUQB6WWj6NYkq5CtB4y2K8TRMfmXecdqy6ErAiZphm67rDBwmrGIj7t6LcuCy+M2By9Gw/cKzzb
E45WspCGWsoRE81yCoj+cnj1+1f8NoggT+lgZydbJvGS+pHmvAsizqh2+Hm65ancJuGSQIBvZMne
jj3cHLtNjK4Kj3D9dz9qS+RSKaS9mlUfP/Pd25T61ipbTExOC0/7brhkWQ0wz7GyVnrSnGQFhAPP
pJpiFWhWx7AqDD0djscSHwRbMo6zwL6VgwrkcCX9pHRKOlecqJl5IbvjveEVP5IuKNA5KvKjxwf/
t3igqCf+/QZn63r9LM5zijPIf/7Hdwj1W/qJ/M1LeRRzENYlLh6KQ7tOFxXXv8uj8IbZnNDqgVNM
bKIL+YzL0+wvDlA+NAEVm+hNhPmnPGqDZEfgz6aUCZSOvuKfbMhA795MOMIYwCCTWqwQeMch7b1c
T112YRqrYX+W13QG0SLAOqO8rlWMw0JhUzBifHaNKXtMYyFJriphZyDJSrNqRleZKmiOAVvG9aDQ
tVMY0vKcFgbyEFa40ZBBndbCLsEv2jun6bA6GITbsjBVcDiST5MEGxGncbNrHe+FUqYVUOPG0KJ/
eQZmmJOJsGpQPAskMuZJcw9D2lmlKDeJsHaIYxRcQqIDXLADDfcHr8AGoheGEHDSgrNYmESQBv2Q
sBRdOYhsIxAc3BTCUsIX5hKc+popRYgeRFqsngUKZkUUVpwVuhmAVDrVBPMsgK0C4oqMsLNCmBuH
BvCvGUKgHDWxRCZNOW5Az0VgZTsBmq1BzzoCRmuAp5UbHRF0T56rIG0jELegTLBSVk4yAcWVBSiX
mivWiJH/wwCv25sOzD0QvF4RfRMqBXOk1OAOg/KtBdxXE8BfLVVwX/G8VTSy00smIGQBE+5T89As
OT7VI+U11FGxdBWoYt/F2SgFaMyLDqFL51eZ5J7qQJFt6kaasLfUASm7gJXRp2mPUTVBa63Gl6QA
0ozSAqALdzw1Ml5pnfczeFtAwLQ7VSthi0X3kpsTxX1M4gBMmwI5DWAE+2SBpubUeWDgmgPGAZNM
vDXPkKgCw57owB7N40ygsjOBz6aq+D33xgvs1REEAsEtCSx3K1DdzI9+amLYaZ9xcA61O1k1jeHA
ok86Rz7uSHL1ERwUqiiz2AARgwD9RqqiBcJn+kSRhsWjqq6LCzVQp/iwDWkZWqjeIcmtHON6gIKg
EEVxZYUd27CD5WBEsN4hoVXSyOEQt4Jpa5fpVPei+0KlHIem7oBW39DMsbta0DOntxnhrA2v1T2Q
hqrgTIZVescCn8rMVNTtL+M07ZnZ+kFvIy4HzU2+Tn0XLUhdXylZihIW1s7sZGYyU91uOupyOtEG
dzMM6irAdOcgMozrsnaBOqb11Iq0qWU5p1QIYw7chonkYiNPrNg8kOxSP6MOA34UvcIpNiPmAtWj
qzYSjIjaOIYdBR8qHZypLBmHZdwEh8qQHRV6rBwUGfUxr3agdN9Winsmdd6iG+E00DlHvasM4Nsn
5bIaAO4AzpnZRXznx8bCznKWOsskF9R0UPk/crjqvSCtR5Jlz2JBZPc7KO2uILdTc/MOqQ3icmK7
p20h4UzjwG/AWxGEm6CokCIgqddfDAqI86HIaYkPoz1pBLGe+hLn1yrTl4PnQrsXBPy8SI88Qckf
BDkf+ajxsAgVaakL6n4GUcaUAC2NsPol2bvNpUQ7V0PKAEQ/xKMC3Zn6qAFIYAQ8IQ9gohNQWKH3
s0I5wPFZxhcWagLjo65A6giNgX/vn09nWjac3+yfzd22Ay1/82r/ZPvUwQaAoFEgdb3aPxXOuqaM
5C6dROA1r/ZPh5+w2YLIUfkV67VYOFur2FQdfiQ0yP8M146W74f900LYwxToH2ESJYhlr0+acV3W
cp/18lkN9Qo8KM6xMKeOVKmhGoSpEuIR5Kw4V8D6iNxqkWWBMq2hdJWZgdqXYHkx+4zjUjC/WBHC
I8JctpDCYrvPT8pRgugJTru275UWIw289lC6QH51xCfbwS+bOqM8y4GBNBWQtNQRWOBOv+lw2dYD
P73mlIIya57fozJ9lMGnKhVd0I7Q0jJx646FbXdWYeCN4+yqF5beHvKb6YWs2Usl1PVzSYO5Y3bO
vO5kd5p0kotRfAnQMqbo59Zrq/Hu3cTuFuypKGIPeXGASBeGeZl0WeO5ce7UpQIgHs5krAFMcfFD
mLkI5U6BfGIY4g50NnXoU472UAUmJTI41DUOunBWbwNVu64zJ59JobrJ8RKau6N3UwKcCFj1DWJj
E5KBlVs4D8ThdBL6/ipyUNOTw5PKVCnxeUfh6FwrCL5OjLHOUK+Qr3OLYurIS6h9GFUYdqZTtTbW
Q1NhPmVVtzbewFSehQou2JROl8+BWSoz3w0uAqdVEDrr7O5wGORyCt/0p1yy05uCLx0ctUPmHWhh
ddmYDnhNg3bgWCbV1DIh8oAfZ3OMcQmM0AWTpAatPegXJcI+cRWtbEg28yCt7DNHzYdlnNp4FZrh
gZIWzolXlRu1gLDnjJZ3ITURDeLAwBm9RWV2UH/GqFqAHDSR8/BD1TmlyIpHaIp5mRsZHowr2mwp
eItDD71jeG7gS2L7rJMyQN0m3WZvyH6CgabirgCrKtXTPMtTmt4jJ/OAc5rSZCkyiNIy7FuOcErz
w8z9r1EUNdOyAWeu+nTUVZ9xQ5CeKA5S364QlwkGmnDZXULxEDIvVMZUulDs/Cct8XnjA4Ivenua
crqfynWJyH5cHORmctjXxlz3tLNBic4AH/VTJ3agvWfhN7lzb4wEEw4Qk9nUl6ybsvYMHls9dnPq
EZJN+xc8sFBIlS+ToT6U2byKKLwMAuzcmvh7J5d36NhkUyVCdHKo2lO7jJpZaXKMz+T0BCqmzMFK
OoRqoC9NmQNxg/HZLEXgWi6Ue87K2qyqh2+5pjaTVsnRdxJN8xrP3qFvDyJ3lGGty6dd3N35glNo
CnZhagYFKLv8VoP26ZAJmxARQ8FItKEm1nK3sEpwdpJgLSJTkiHE0hz1gtE4CG5jOhgPNWTHrkA3
M4H+WLilCv0SRiRdxmUIRdKGKklSfaNAnVSk6oLnI3nTjYkDubIULEseeOaNbYfvWnRiCyYmBnSX
laP9GARH09P9eIqAfn9IM1M6oIeCzw+kzhZyp95IGx+ypy1YnzkGapgfCy6oK1iho+CHJtSVSxc4
Qii4owkk0lCmGG9DvwUOViF4k8E1TQTrdLDhn9JvgLAiWGyCm+pCqIT4iYCDKssIH8v3aIKG0/9f
9tnno7Q4Qs4f5V0vmk05XG4q4FfVS01V/PSxqnmd/Wu/9PsbPZ9dr4ecs+v6IQlSDLHqMriv2Tsp
L78RnRWKJW927scHe3zq394nXnOf5oFPELBY4D8Gxx7n6fqPvzDR9p5/TNENkpkNSN9Wnk7Zr8bo
V6Pw+y/4NJy//53fPvyHQWBgdhwEUMOw1XVO8U9jwLC+GQRRIYC2pyjCiITP2r9BEOnTjoMAqtoi
HzPI1h6vD4OgfgEGRhLnPM26fRsE8e4+YRDouwAOJzd9vKjqvJ0J6hcVqJwlVIn+9yfC64iArNu/
8vX5fv8EA+sLJS1SCQVTQnEx2998e4IBMEI6Q5TKHq99GIQtcVF/z9X987iIhziaokz2X8dF9Lg1
0b7a66EQp6EdAwP9SgezJeVX0VFsEVwoaTw1R/ctMFBBfd+1/VfmA80sCNDYWz1e76Mjg0BLF+uZ
5z15/wZB3n0Q+I5wzQHqUi8XF0vvTXxQ1S8yg4RA294mC08b+H3/f7xN9ncq90cZE9V90Q2gd/3+
28usA9HYR+lFXPuaK2jv6z1/vhoskkKZcg9SAS/R7/1EIHyCIhCae//7++SWLUKmy7NzXARVrwLK
gFQmrg+rAWy9LdaL/jTg+xcShATEjoOgf5ENVdVo8v8iLtpfVHpXuiWEdLn2dVHI75uIf74okAum
f+ggMLx9KIiOVE9sA8zPni4KhSm843wwhTukodIs3R4ZFBsuimOi37OvgyDvHB6xcrEE5EQV00Fc
H04ROhuprnGKeBrw/YsMws5mt5mAcA0JIVI34Nwerw/hUUUdVpGh4u5reBSYtd0GAZSApYL7UZ+P
k+KI9najJGcQbGFA3o+DtK/h8QMN7c/Do2BtC4KX/ovDJVQ0zVYVXJOe5t7+LQqhDb/jfKDSBJxE
ccScfzsR2BxoNlmaYLrzIfv37Z9fyw6pM3GRly948c9n5g+DQMwAsYdh7b5OAWXn4zRxUbRJdRC7
76eA/gUQK+oFYHgfrz2dCM/p7A4TgbAIGhNsBZDll7D3fjUAPYYZur+p8+4HSZXQj68bkhNPg8Cc
fzMIivHFoDKPUNt+7w3qzmsCYXf6/ICMICdvnQ9UV5CMtQClo60hrj1dGs9xa5elYXzREACkZPX0
0rfVYMUxA5zFU3ayfxuFtnPuSFfKNogQqvZ8qvyQNrGTyOASlf2ND7tX28wvvGOaDS9H6/eDIKrx
/Iym1L7OhOee4S7LwfnCQYnaAVW1x2vLKQLpHgU7y309RQgRoh2zRgP/TxVONnLLW8OjUHEgXNCf
3NvA+PR2dpgJQgiVFgSA6qcxEAW8N9ulGAR+LGxF9nV32H0mmOyDREW2yl/OBJQ02EyfG8L7tzs8
lzx2mAlkC6DrHRMpgKdkgGF9PxOExjwlR3RFuPb1UP2MJthlKFB2EYU2y3rOIfmqb4cCciD8GA0E
5p4uCsHa2jE8itOEUG97ng4fym2iN4esMXjSfQ2PQlxnx0Ewv+C09MgBfYoMH8IjUFyEcsDa7m2B
Yec9Qpwr8YXCeuIXRypK8Byuya7tvR2Ep3W6W0xQsRekV/28R2yZCShS6pRZ9jVl0p/ezi6DwEZp
YUKCjcgv9gha1cQEgOv7OggCR79jTNCoMFBmsc1f4NpQ0sR/jSHY2y3yuRq620zQNKjzvOmnwPh+
i3xEbtCOUp5r3HuYMj1tW7sMgv2F7U/MhedB2BYThPgppk5P155mC9rutSZKSfBNaMk8I7sIuG9T
JllYFFGl1vYVxCI8IHaODAhMGHBKn9bExyoTObag5ijWvqZM2u57hE2HEmgbp+qnOf9hJoh+hfgP
9Thx7es5Qts9hab1AHAL1tVzmeV9fGCnoHcnE0P2NTDsnkFTj0cE2qAm/y4i8OUVGtmMznM5ck/H
QAhc7BYXRHOKoiOj8Jw2fVgSKsGRBiYYwD0dBG33BJpONSOgC3u4x+v9YoAOoDrUZR3nKcPe26HY
PW94bMzAm3yZ+VvmA0drahD6vg7C84PtkjyxFwJgowL9q3qT8kXkj5yo9jVjMHY/WotKk0IzkirK
48X2+zZtgiNDEd6mwrCnkUG4au0WHjXgG7CZadA/JQTbatD8EN6AEDXm2ttFsfNuKTBumpAJe2HK
EGvezgcVgjf9a8rR+zofdt8phEb2oxX586L4sFM85hRQzwVYnLm3f2dLffcqA2rgOjbjhvmrFp0C
K0CAgBHC2c9B+KAg9OfoNkgyuMqK3Oj9OmCh4ESD7MDeBoPd0wQ2ByQNwcI/n6nfZ9BkTKhaA3ra
22rbB3vHP54C5M4gdUzg8L+gjIniM4QxeKRPeeUfzIf/Qdz4m6A89YP44ZGajJPbNgbzr37hhZP7
8eeviMePNMM3vymoyk8f/sTMFf//v94ylx/j3qufvsTBx096/vvnr/jxw9982Mv3evnHVbAp1+U9
QgSP1OjnB31S/vrvGAGwh/VrkiRtAU3UQl/+bTvN+u8k4fd3x7hq83KjgwehcSlrYtt/+bddbp6s
H7Ly5Uavbs6c+WccPxLE/0dPPhEW3i/3eXVvMrqd7z1dx+uWV1K93OvV/dkcd78/fhfVh1fKqLO/
fsLN07pc/zXNqnrbRxDZd/6I2Sb+6zQrt44/OfrO95/Hf82yksnzcq9X40+6s/P9FyXukNtuTsTf
+ebLeJOmL/d59eCfsVxXTXKXxQ/1x9sLSO/Oj36Q5JsyWMcvt/rn6ZXPWLIH6bBl0AVdZ+cnP9qU
W8ZcABl3v3WQelsCgfIZa/V4HW2JYQJwtvNjH6+rarNtTD5jgR5n1V//nXqbeLNtZD5jiZ6sHwjA
L+PwaiJ+xhI9WZfBtqH5jCUq7o2twZZHFwjjnV/rySZ9yO6DbdFLAHE+4f7l/ebh5Ub/jLsAPO1+
84xnf7nPq3t/xjI9ybaOyWesUm5db8rNsOXJP2Olnq7zbbPlM9bp6aZdf8wdDdzZX77LDundWbkm
BLzc6NXr/Iwleh6v7zdbckeBDd15Hp7jxLAtuRN92Z1vfhmQOlbBw5aRES3Pne9/tb4vORKk9Za9
VLQTP+ED0r8mGzwHt33AZyzVq7X4gDJdlw9bA5noBH7Kt5gFG2/bl/iMVSu+xIIVcB9U99s+4zOW
r/iMw2xdNNt2K9Ei+pRROm6C6q+zu6DKt32Pz1jM4nucrOvNtvt/xnrm/uhlT9bl3XpbziCEdD5j
pPiMKca+W4K1aM981ieUzfhys39iqsCS7f4B/nrrmVDQpHe/OTWMrUPzKYs5qKJgyJqX53w1MJ+y
lrN4vS17ELyc3QeGxCTZNmc+Zf3Wa8Se43VTvTzpq6H5lKUryixb9mFhqbLz0Fxv/PW2oRFlzN1v
To6PzuDLnf4ZFwEw2P3uv7P4fqzi7ZBZXTe/NUTd9fa/N/jZ9e6/sSrY+da/VnH+/a23lWX/7mN9
LNa+qDtu+7O3tWjxG/fxZl3+1/8FAAD//w==</cx:binary>
              </cx:geoCache>
            </cx:geography>
          </cx:layoutPr>
          <cx:valueColors>
            <cx:minColor>
              <a:schemeClr val="accent6">
                <a:lumMod val="60000"/>
                <a:lumOff val="40000"/>
              </a:schemeClr>
            </cx:minColor>
            <cx:maxColor>
              <a:schemeClr val="accent6">
                <a:lumMod val="50000"/>
              </a:schemeClr>
            </cx:maxColor>
          </cx:valueColors>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59D619EC-1D73-468A-B6C5-A8F1E9DD9F5D}">
          <cx:tx>
            <cx:txData>
              <cx:f>_xlchart.v5.14</cx:f>
              <cx:v>Amount</cx:v>
            </cx:txData>
          </cx:tx>
          <cx:dataId val="0"/>
          <cx:layoutPr>
            <cx:geography cultureLanguage="en-US" cultureRegion="IN" attribution="Powered by Bing">
              <cx:geoCache provider="{E9337A44-BEBE-4D9F-B70C-5C5E7DAFC167}">
                <cx:binary>3H1Zc9tIsvVfcfj5Ql2FWjExPRFdAElRuyV5fUHQkgwU9n379TcpyR4RpNzQ9zUfLtk902GTWUjU
qSXzZFbWv++6f91FD6viXRdHSfmvu+7P935VZf/644/yzn+IV+VRrO+KtEx/VEd3afxH+uOHvnv4
475YtTrx/jARpn/c+auieuje/+ff0Jr3kJ6ld6tKp8mH+qHorx/KOqrK33y386t3q/tYJ44uq0Lf
VfjP9/Yq0j/SItGr95vfmX++v0mjVZK+s9M6qfr37x6SSlf9bZ89/Pl+oxnz/bs/xk/b0uxdBMpX
9T0IE3lkMkylEAQ9fvD7d1GaeM9fG9g0jxC1JEOU/3zsxSoGyekaPeqzur8vHsoSXuzxv1vyG28B
ffHX3/bB3bov1r3vARB/vv+Y6Orh/t1NtaoeyvfvdJk+dlbR2+n6RT/ePPbMH5v4/effo7+Avhr9
zQuIxx37d19tovg3CP8VQbfer/YAsTiSiEpTcmI9fsQ2xKYwqeAweJ4G1hPCb9BoN8TjBiZgPBY5
MJDtNKrLfWBsHZnIMgnH7GkaA5Rb0xhJwi3KNkGertFujEfyEyAeSRwYwp9gBtXFPiCmR6YECBER
T9NYjiDGMAYsghFH8M3LefwGlXZjPG5gAshjkQND+Swt3/2VeA/RQ7mHBZseIWaaRFL2CtKwaVNC
qMDi5579Eu83Krcb812NTMB9l9iBYf9XlOnkYQ+wyyNuEQZLOH0FdutIwIcxQTcn+HSNdmM9kp8A
80jiwBB2HqJ3FykY/P88yBQfCUaFMLF8AnnLGINlHlECxtjIGnuTUrtx3m5iAtTbQgeGtp2CG7He
sMtqH9u2PEJrrMlr2zY4WJhQyQQebdtv1Ws35jtbmQD7TrkDQ/6veHWfFv/8JAenGjZnjkwJC/Wm
GY5gCTfBTEPWrp17ukK7wR7JT4B5JHFgAN+sknfqoUhWxb3eC3tCjzCY5FiSZ/aEjPDGAmxyiixh
be7Yb1dsN+CvtDMB+FckD2wAqLraxy5OrCOGTULRa6aaiY8YoxxjE/i0l7b5ZIV2470pPgHmTYED
Q/e2Bjol3ostLo4sCTOX0qd1Gm3RouiISBNjacKUfwnwW3TajfFWCxNg3pI5MKRv/NVerDOKjsCb
4kSSJ08a7eDNiIQ1Xppj+nuyRrtRHr3RBIxHEgeGMAQ/Vs1DsdoHnyKPsMVNbIrXQEZHXK7p03GM
401K7cZ5u4kJUG8LHRjat3W0KvbgXhN+BKYYNtGzfb21bj+SpFJKzLbW7aka7cZ59EYTQB5JHBjC
YF+CO61WxffVnthwaiLJhYWfeBQwsDc8LQCaW5JQDDGPx8/mNv1m9XajvruZCeDvFjywMTCL3jlp
AT72XlxsYVqcmc8xTWuMvwmetmVBZJvxXZ72m1Tbjf12ExNw3xY6MMzPV4XO0r3EOMURldQUTMLy
vv6MbXKY8hanQpoC7Zryb9FsN+JbLUwAfEvmwPCeQ1bHXqgVfiQI5ozh1xd4IRn8g0cR7eka7UZ5
JD8B45HEgSG8iB6SZA8rOHAoJmLYWntWG1v3mhG3JBaEjUIgkzXZDeym+ARcNwUODNabNTW2D/Lb
gniGaYK79Txxx3kKwI3xdc4ZtcYu9WSNduM7eqMJAI8kDgzh8/Q+vfvnJy6EMIEVs5iFny3rrfkL
pAo1gRrFIx9rskK78d0UnwDvpsCBoXtcx9/T6L7aA8BgOksOE3R7ZYZ4B8cEQTLhLgvrLSrthnir
hQkob8kcGNBf02g/DhQXgkJwCsynze0XUhQE5BYB0ps+81RFdkO7IT0B1o3fHxikyzh7KPQq+ufn
LjHB7TUlo5AI+PjZikiyIwZWNcMQn15/Rhi/RbPdOG+1MAHrLZkDw/sUDhLsg9gGthNIbZP+TBQc
kyBrEgy+A1MM0oxeRqkmK7Qb403xCQBvChwYusuk38cCzSFt3wQXCRbpn5vtxjqN12ENi3NgszfB
narPbmw3pCdAu/H7A0P2FHJH9rBGsyMiHpMHnpbgXUTWOmcM3KjxtJ2oz25kN95mArIbvz8wZM9W
4T7CTxYcliKQlQ0JXo+fHeFkCzPMpRj5vlP12Y3shvQEZDd+f3DIluXDHmYtpApQSM2W1jP7jMaW
FUQcOHxNISi1uR6fraZq9Bq6G/KT8N2QODCEz1f3kCiwh3WZQ/zABNZRPB+iGgcYAGHEIVeX4lE6
33SNdiM8kp+A8Eji4BAu9B6mMIGsLkEZwPscNdyiJs0jBtmcEFUemVTrKM4khV7D96X4JHhfChwY
uhD7hqxcOK67J6uZAbsM03i31QzsM0UmAnprtAO/TavdOO9oYwLYO6QODPHzhwSo6P2kYEO4Ye0g
CfFMeGwt2gQO1AhOiDXalt+k1G68t5uYAPe20IGhDUfwE11Gq3oflIcAIwtBaJC/ZmHjI4TWpyPF
aAl/m1a78d7RxgTAd0gdGOLnD8Ud1F6w//HqFOKIIG5xyZ/jDVsbNhjlEltwEJY++lsjNnO6Xrvx
HslPwHokcWA4X2tI0S31/T5cZwIZ94gR8syJbJMiMBYggReozJHx/SalduO83cQEqLeFDgzt83Qv
iT3rijMMAozPU3q9LW/ymlDHwJTSAhZl04+eqs9ujDekJ8C78fvDQxZyPx76PazY/IgLCCwS9Jxr
v8WSQPYH43DkYlxtBvp7sk6vIrzZwjSUN2UODOmLVbYPpgTmsAVxJwgsPfGcWyibUKxkHVuWoxSu
qfrsRnhDegK6G78/MGTXXuNZrct3l991me3DlWaAockxMJpPIG95VkB4wm4NhxxHC/X/g2q78X6t
oQnQvyZ6YKPg4qFZ7aVoGGzC3BRQbuiZC92a4eBnwdCALK8RjzJdo92Yj+QnQD2SODCEL4sVFBra
w05NIFMEzkdI/lq5Gagbx6BQAR/niEzXaDfCI/kJCI8kDgzhq2h1t5dMXHkEVvQa4+dDzLvmsFhn
Cpm/uNKXSSLT9dqN80h+As4jiQPD+UaXoe7T+p+fy+uqQgSDsfWzxCNsyBs+FaTUc+DMGISvNn2q
t+i0G+WtFibgvCVzaEg/Hn604UTpPoxvIEKgvAykGLxGiuGj9QlX2JtHJ2PAJlqXOJqq1it472hk
CuQ7xA4M9SsoRrGX8+twro1wAWcdn09UjBkTiEuDkQ4Z+WQE+HSNdmM9kp8A80jiwBC+Wd0VUKU3
2UvkUkIpCigACN7W0268hfL63MX6H0gdW39GXPfbdNuN9442JmC+Q+rAcL+FaDzU297Dxg1HLSDL
D1ISns/SbIFuwtSGU3JQ2Xdz436DSruxHjcwAeixyIGhvKYMHP3g7YNLgbR8DChDav7IMoMKYRjq
z0AJseeEhU2Y36TTbqC3m5gA9bbQAYI9B9f6Tpd36c8+/ycK6gs4PIWQAAvsl1M1NsWhcgUY62QH
a/ZLoylLzetwbzczEfJtwQOE/SRd5fW0dK43XqYA+WUwyakJAD9+djjcpgXHNSzriVUbrenrSfcG
5V7Hf9zIRPTHYgeI/TncDrGP9f2xNoUAp+x5Fd+xj0NQEzKV6A7MJyv1OuKbTUzEe1PowND+Wn9f
TVlF3zjF1+lmGI7PQXj68bOV4Q+VHyG7X0KE8+eu8nSbxlR9dmO8IT0B3o3fHxiysEyuaYyiHvaA
L+SAC4op+nm4fWyvre/DgewEKDA2inu8TavdKO9oYwLWO6QODXH9UOyFSoMaJBxBIU/55FLvOtMB
X0KdMbgAaf0ZL96T9XoF7035KVhvShwazpBxFO9j1ZZHlFgcUhZey0p59M84hbMdm6v2zWSNXkF4
U34KwpsSB4bw7YO/2gfCcDoLTrRzuDfllXJRsG5DfU/I+l8Xh9yeydP12o3zSH4CziOJ/wM4/17F
jVde33X218+ZtMOrfustdVBGHcppcyj2+AjednIoHHTHMLvBNnvyun8++8n2gnqqv27We4pw7tJp
N7IvZTfe8ekVf98p+7mF7vUb6n5d9eesqtXs8ZLAF5fU/f7bx9eHuw1Hos91A3Z02K/UruX9n+8h
EYzAJYGwQf66f3Dd0EbVgWdDZR1/+onPpugDVHn+8z1cOojhzAZUAIOIpQX5vhyYkvbh+SuYx+v8
fuDLwI+G2f7+XQJXtfhwleGjDwbnApiE6iVwhgt8sDKtH7+Cs/RwAwcUjDQRMKkEWLifb3uVRr2X
Jr+65vnP75I6vkp1UpV/vqcYvX+XPf1urS+DJyApLCQpgUoaT8cBs7vV9brKA/TE/wjs4SgqWHpp
yiJSZtWZNm77ftZ1SazMzsPL1g3nEemXSZyYmbIS/2tsiZO40XNpVQuo+HIh6nwZMONyMNwZonFv
R4FIzyIt0stAF596RL9IK0OOLPteSaOaNX14ywv3MkDVoLLQC1WSBuJD55HBU8UQZGgWSY5SR7IW
zXCHLgZfN4410Gbhu35kh0wmKkGVb2tszYagyBT2egdLbza4qVYWYulxzdvYMVx60fUZUX0/BDa3
Sub4XdU5TYM+NrhyRNDPWrMqncqioc2RLhQr2B2H97SzGNrNLTee102UKtS1WrlJcGdpS856N01U
Hfuhinp/OSTUXUZZwG0Ud7M0MdACpSQ6Zcxoz1ztW8pt4sSmRfBR53GojKjCduEFl6lR2SzotWoH
Oq94DcR1zu0ozD9y4V1mOW4VIe0Z7XQ+J7lbKzdLaicxosxuKcptq4A+DfP6PMuCzA77NJoPjbHI
CnbCEvNTHDTXVuCC3m3A1NDiY0HyQPWhvm8wOfeS4WIw48auIblC1UHxJaoM263TWoU6O6t9GagM
ci5sL6xtY+gqOw3dUJVpQFRWBcSJTL4MKv4hdHtfkbZsHXPwZjmN5bw10rvcNLUyUXlhknZGc2OR
ovgsjvUljupTQobCjml5mjcwZty6vMo1r5QMoWtQ09czaqWqTDy7DOpFnpNzwfxwXlmpYedNkB6H
OHHCzFgUgXEVdml5PoR5Bejpwq4lv4aksHMri9JZ0TedTWMqbDNMMkXSQauIVuUsCJFQUevOSq+8
7azOnzdBcu5R91ufN/08MuTCKwl3WIU+0Tz/FpBcODgKnD6vuCO198Fr8RnuYmfwuou8tO4L3mZO
3JTQhyVfernGauDsrKrLS52WufEhTUU0PPRdFB6LOHasMPsUul5uN0NzWuqBnid1mJ0ElfU1DdF1
xYp7mfV2kScqG7y5l3AnK9sTqzLmBTJP08i/0Gl60gXlRZJGV00Shk5e+vUicut2yV32Y+BGHaig
JXSha1c0iibNcGPy4dzLi3KBI93OPc061RIOz6WLLCoWrRjKWS/843YgVwX7WhrYU3FtfUwsrKLA
Oy3MQqu4YsvWJ8rLhqt6MI/dRreqZ/UHWOxU0VaOabJMGdqD0Ze7V6SsziBLK1WhrE7TWl/DURjb
7b2bIesKxYuaKL/TgTKLCiZKLJKF5WEyL/pIz0nIF5GnveM8MmBZMn05S/uIKaOGkZNkOFAJNqmK
h/hKdsYXQRO4nRbdx9IMbZpGn4bEO2M4JKrLM+ow4jcKFa5QIsi+y9pwz6zQP9edhGUCoas4jWEy
iBxftiR6IIPoZmhoH+rSGFTMu2vS9tmSJM03nMbznKIvvRbnMsrnVhn7TtzBfJG0pIuu9j4nnVU7
YZvMM9kvGjd1UFZcWTo6RTyYD2XW2Cx3LwJRaUfz8DhNeutEGOyjrF0HntzYxKK3GIzFhc/S0hly
nM2yLuhmuWGedzANrkRqXbO+PO4iqu0kamIlIlOZWYCVTompmKgceFetqrCktqXzlZ9noV31Vad4
FM2wTH941p3OxHVZkesQ+gT2AWybXhKpKpJXcWXOkW8Aik1IVeaKQjVDq+22CRZ+ngulg8hSfWXc
a2hOyjB3GPNOIuZd+IEZKl7r5pQaOJkBoP0xM7vrLokcHGe+46UaO7VMjq0ulzBtC2/ZpZ3tGk4o
yalvSW7XkfiGykEvYTlWXkeZ8mg3N/z8xtTugg99YXs+r2edxoOyvPIuNH1tGyVZFEwMqsnzc69k
BYya7KZm3RlFZWAbJF/UCaz1YXbRplm0zHB76VXdNerTmeGSfs64OE1z69jARnvrD309b2vzIbTq
TpVCfIh9EcyGaCD2y8t6N7bouzTrC+35z/ct//rjf27TGP59vL33v3+5vq75v39aPKRre7Ac/2ht
T/361X9vAF7bL7+uAx5ZRU93Pv80It7y5ZvsKQL002/tqZcp4Ns21Vr8p00FtaCogJPR6wIW0pIU
HN1fNhWG+6okghOVFgIrac2C/LSpGCSJggxkEBKweZgFUj9tKrrOLlznhmMEI+qtNtWWRWVhqOVr
rSMnGIMXB9+/sKgKOM8NmwZs3l7kqdI81dRXL7pml9W2jpi/sNokRF0kUD2QBicRFhBxhc55+YwY
pwi2tr678EKxTPzamnemGRRzEXfnHel464ikLxdD3wQzbmRFoHAl2Y1ZZRqMqsri56IQVrlMPDc/
rwtD5nZcE56fc26gbkbLuvdgpcJimJVggaVZi7Lj0I/jWWFQtOi6fFgUqWfOWii9tyh8ms/KtA0W
hGdIJQ2/CkTiLbIwRk6desVCG15kzrwiDYxFErdDepMUg/8jDqpmTrB2wTSTJTJmVtRTM7CtCP40
wxmN8cynMSI3VZKFgZ3lXf6h6kALnQ/zwcCwA3T+F5LhU7/zC4UiI1ehFS5Jky8awc/ammMlKuOi
9ptPLCS3uVXeFOFw5iXNJ87iREmew46k6Vle0JlH8zPfD5bY88IlLmrteB0/bXGkJIqlarx0gXSH
FAKDakj7k4Khr1kQgMEbCa5Qml8WmgfHYDue1R367vOwP/UzImzq0kHJCD/4URo5vWXN+pQHqrK0
CasZiedV17FFQtzhNO+z08Y1Fl0cHleweS7iiBWOJoPtDdksb/V53DIycwnNledni2Eolm6hr32W
R4sgYYnjGeGyGFJXeSVeJmVXzAo/vgHP49QnXauMHvG7vglLuy+81kYmn3cZDNUO6xmllacMmYAN
4y67LD9vaaIVDnzo1kraTMomUF7AbhjtU0U6Wh+XScJU4lqmE7u0slFfnee8MWzPKpZN2PXgIaAH
yut7HDO5KCIenxIrNiLlh0x/yBIZO7ijmtk4jBUW2DixwgAvSonuQgMMa25cVFh8rHxjEfkuV7Iv
Zm4IewXBZ0MsPzRJMrcC0wkKsOOwYce8DY/byFzItjKdnEDHs0Qcl6j5jIcqVRnzHCi3/23gzXmK
KqJ00Z2wCF0N0GiDk/NY+mqgeFFnxsos8YNhdMuUDmfENY4t8alzv6VyOBHxIOcs8GaFYB/zASu/
6b43dQi3WIF5Q+PwjJn9lecG2CZmyJUbWl8jz/y65vacAsxGi4Jl29LL3D/uY+rb/gAGEBvyufCN
W9mVH2nYzDov7Bzme1e0yUyFNNj64HidVmm4ZAJFamjwp8zwb6WMPxpZqoaknQsv+2GK7iS3jJOu
Q4MqA36SB9Yi4lGtpCgdkuJ6SWtaXdM2OIH3O2UB+kZqAxwDEoH3lBb+3CRZcBHTLjzujNj8mrZS
fCllCsZ11/fux7hyw+vOFaXqugjPaOEWYOpVvpMbYIMGUeXZftXXKjcN5LQwLc6ajOmLmg5Gr6Ki
cUu7zsAycDxINknBy6qamcxd+X3g0nN8xj8ZpclnTckvXD9zZ26UNaqiVgmDmYQK3IPotJeGZ3sm
u64QKhTJ29zxmkwqjIPTJu1v4ixswfRNM9VkpTcPLfqF85sAkHfy2hgc0ZXJiSQRP3czHzp7yLQK
efqdekGgeN77MOUswIjdIi8Dryfow4XXe2dBDJZGH7ofwir9XneWHbiBIwMzV66BblwOKJPsW1mH
syENjpug+iGK9jJiQzD3XHAYSRt9NYN67nPxLe0NVcvSVBTn8dpLy1RVJlIFoj8rXeb0vbaDSMyC
3LyPedUtspw5QdJ8bYi7YLTK1KDrb2VF51kBMIft3HTFZ5yUn1idfGZgoSqrC266qD9LrPa4ysGS
N9rgs+f3S93CFO2688aNF17sJrB+8uuqGi5Zyb92PrtIAwqWbPO5BUcNt+mJFkMzb6gFiwUqbEBj
lvDw25DrUlkBX9CAMdVFOZiaUi+9svNnPklSO2D8Bg+AWhnhUHmJuM0bfVIRXtmlRl9hJzjN3RSc
Yp1caT1Ux2ngfWY9WJYEFccsJjNYbhyj7s5JAm8PpteZrMVxEXonuGJfraxx3CG1MxleEiaPw5iq
snRjFZvhypCGw1p9XEdDq/LaXaEqPIG+dvTQJcoyrRNa9x/KDIGatDwJkHFcMP7NRdmy6SNFq+bG
pcKRkg3zsgOHNNb+FaLdDxe1TPVD8g1RcIbNQZ9bLFrkbn4bJ9XghEl63HhNfiytuD/DmDiBaZ7V
hf7G3fQUFQQcHTOt5kmMsEopba/gvLivwAAms1AWXxLke3MDyUtktalqkzw/LbHw7MrvYrBN+Z0G
T8jJkWd8aTMO42XA0axHmasI1dF9V2nhmCT2udP25nnrl+6P3xshkI87MkEsCESAE00YgRL36xjx
SxMEhwzHceIaF0HwkYefQus7ZYv/v0eAxfbyET2MYh7W8AiU94qLyzq77IKr3z8DQp07XgPYdrAN
CYdD+5vPMM26j1tLe5eohV1eXA7VWdfdGobz+8cAl7f1GLgsGdJp4LQwFQgIvZev4qVBT0TYeJd1
PMzywAfDEOZh/rGmV22DFS8L8JxPHp/5TJlevWT7Xpr8Lz2AA3AlXroCDFJSXvT7Fiv7kuB+Iscf
Sc5HqV/OAxT+JnAfPYJrqYHxZC8JWQoFlSA6CmVZJBD0awb42XmgECoHQxvM7TUrDzdeg8H903kw
odAWNAipchLu3oNal28hZPGmZQ98rAVhHaiqyOHcOYH0q/W0e+E9VANJs7yuu4ukJdasaWHzUykJ
RGiHom0+cIP1J0EHRM8MobD6WqW0+RjSsstVaSX55xe99zyAXtLD69q6L4btozZw5SsU5oWiJHR9
gnZTG5r0WWj5dXNh5gkGZ2NIXCBGUu7bXVOllmpaWn8VTQbkQBHLKrfzAFZl5Q6lgJ3DEsm9VVXo
Etrwa8eMIvxxYIbEi54z9wH3Bu7mv9fYXK8JG3w23JsDx/bBNYT8Najuvua7X/Qf1cIHbPvqgnTM
8xzeDdFH2LEkmVeiTxkYDh0OHC1cqQbBgXftQ0QWcVP02CmatLr3u7LEtjYy5pSVTsHoiH3UKFGw
0JvBPPavwto6iUvLLx0I0VqfSj8/DaOWdTNdGvxcF34T/81CuA0D0K8IqmHDXeqw0j6+9IuXEr3h
tUYWAclXudan1JMY7AWgOTIFZHB31XaFdZO5OPry+87cXOIZAgIOrvIWsMrDWIT/W6v14rEMdR4F
wym5SOSAL3Do1xdJWdhauv6n3z9p7a++RG39JAtqmYETDqe0waPdfFKW0H7ICz+9kBmiq7xNi2jh
VrI3VZj5M5TD7m0T1EvYpAlr478bNOMgCLwlRGIYxGIgMgerw+jxUANC+14S6wuRh2wVBzVbhdFa
BzbE5YwXaQq8IEC/aKO8NVUepuKhisB/bq2ennWcFMgmbZCGNvi98UdSZCZxfNn3D5nRZA4yhljY
zEopWDOED/Xf8AHra4JG3Qd5WrBswAVxsLlAleXN7kO8ZgljrnGOazde6aIqPYWNsEqoIn2feCet
r8PvHgRhzroh9+c8hXiCbeJG/KjEAKZT73vgpKZB86ALIu4blvniaTeC3QYCbVdPYL5cSyjbAplQ
AoNofTwAsgeZGG21vJAaFX5FzgOaZ64lIeTiDwsIxhBrXjV1bRddjj5ALIDVyvd9YRc4WZRmkS0i
mpl2GOXxdRaxuAOCs/U+t0GcLvuyqsCly7OPvAyl4+aJa9dpEGilKxK0yg3K5KLNjPIyNwYy8zxs
BcoY3CS2zcaPjxmvomsz8K68PiGdioD1vajAhqvM2CAOb2CXxro3YW2g9TAo1MrgLPKZ/Oqimp74
XIIT6nUNeAkIiAobukkvDVn0sWp7OTi4ZYYzBN1dVubVTY0M4as2rsTcLXNwwVzTvM193IYLVxgY
OAU/dL/DabmiUTrJjW91LGIny0pzGaZJtsS5Fd3rJuMw70kc3mjL7QQQnNQ7AfertnvohwWmpnWZ
txCFom2RzzHucDOLGAT67Kb1gOhpTN+dxSUpnDqzLn3X8JCDcVodw1ZjtnaCAnCyKxF96WLkn5qF
ld0wUrFFbQWGOS95PKwkT4tZibpgmDehBDsV/EzwlaP2R+llGbMHs0K1Sjyz8eZdFaQwOdp21ntN
LedF6vpOVJH4OIGfKljOixQ6Om6ECsogMGzhtkDMp6wbwPqOXJtURhIvCh4CPVP36ENLMHV0WYD7
G8BIquakaq1y0RHRnfFwGCL3Q93mVRyrXkd9UtxDxNA0h69la3Qi9pVVwFKe3pk9sE+kAH+9rjN0
UYVVHHYnQI8Pi8aqK3cZF1pnKjCj9AYJgyzBgiO1XQMGrupzZHUAVyylk7gu7IdVFLb5jIeth+wC
gnvupZ8jLiBK1YvWdyDiY1VnHAh2GFGtm+KytWvYC+fc8AP3soGpwz07l5mEAUfCMp4nkS4sFeWw
ebmzrtHcNlxIKgCfw0UJtVNwcGLbt+rWnbeRiOJZ6YJVMGeJFw+2HBismIkZ0tqO/QLYlqbsvfKq
1AZweKmn5Q+jboRGDkrNaqGprOUFM1zPPUmIqAQL7KQr86EH3gRWN3+Web6IZ27ZAEFhFWWi5z0w
Of0xKss4s4HqiLQtOtZHC6DmtGEDrOZnI4sH7ECdrDB24H/IuIzAvyqhy5PkcxDHVrwkhVVFs9Cv
+PVQV4TMAyM1gc0Dh0UkSvimXy3cosmSG9iMyUngDWY4rzPQYJZWkTfMJO7AR5dBn7XA3PQwtA2Y
KoXjYlyfFBD0jhzPJV4NhGgDcGpRgn2SDAEZHqIQyBgHgthR7JA+9vMlRpoee1qEHEKFYU4cnWrX
GWo3BKKxLTLrKgAPndpE5wGEgrJgME6RG9E5zlyPgbqWyGa494d06WvcejOgHPxWrX+nMESNExg+
HsltCCRDKKnqtPGtgIr8QAFomEfmBR4SDcFJ2VCD3PZRa9YXPLP61EmsvDoHhx62JK8UIQhYMYHe
gsgyTr6C65f4J3kfR928bNmgT3HlVbc0MNmKdW7sKolh8M7rpBNkVvJBg/I1DmInIjnwgBJCoBrr
/GvUtmBZBF7Q3JSMt98z4FqOG9F67kyGDJkqkS60w6I06OZJ0eCLocsI/VBWDN/iyoBftNwopV3h
HoJmjRkH+rgAarpdJsIrzUttCOtTgvL14AyCvFyIqPTLq66nwC6ivAVs/DYBxdISFt1T2MGsT8Dm
w+iOYZUsHCig16XLqrRc8yoo6jC8NmVi0WVHg7Y+r7pqbXz6fXfFQoNDHL6N4dFpOgyN6sy4GhYo
FOuXX6vewvoEemUxvqAsgbeocwZd5YdpONhW2MDUAVo01B+SQsCUL2qwCjz4DtZUs0r8yxzTvkgU
yXwEcLdFV5/Hhp+VSqM67+YdlJUis77JzfWiAZPJhjeCBaSz8NpOrpL4kwtXgp7IRmuppM9CGBe9
x1dtQkCNrgj6a1J1qDz1wMwNTtMsCYMbCbvFokwQvsgtL/8K9WF5rnzqa/Pkf9k7s+ZMcaxb/yI6
xCTg8mN4R89T2nlD2GmnAAECJCTErz8LZ2d1VeWpjqiIcy6+iOq+a/ebaadBe++1nrUlYpbM57IS
TOd2ikaDBtf6+8HDP2tGotF+4y0Pb5ZZEnEYCRTgL4Z2TB660um+2zXZzpB6bKscc0DsF7VnK7kb
aJd8cQgYiM4MbEyjAMecnUx1Vwslz0nHmzAPvcljOPYwAae68pInWPKaFa3X4zUBFeInx6AX7vjR
4UC2J+AyeDfMdmIXTejgX3SB/12gyJjxDNndo1mZtEqj0vqaoPUem69TopMHx6JNP62Jmtx3qGRW
pp3rRhpCFgTPYuncas0Cwyg7Dvi1mMzhCd2tQmt1udiovW+0HDcF9BB0iw4Pq6H45XDiyhW2Nxfi
sqdLcOEoEoiiGvtOn5k1Q5XFIYzdB3Qi8p0kPY4RHJ1Sp7ySBsqX0fGIKmDH+5aNbv3sitWPdbqi
A7OPg/KdBH+YLKeiihxIVk45mLeKEUdnbQSB41gnxL1dpFPCU5lHWRf1OuMhrT0AFjcLb9fwqqND
26bjoAm9DNwqWDKL7kYWphrwWzNxX2/cTNTh7JASli48oCnXLZie/RqPePp5sLAot6UlMisHSccv
JrTuQ1NNeNZQ6ZInPOudvOmT3sUB6w1Js4uhHpl0mV+8eDaxm3Kuo8fQ60eTm5Cp4DIo21jfjaVM
JhR3PNHFAJ9i3GFwsMtF7SsuLqJpqPwbb4G0eCwXkeDnWhaHXfLJGUzeyRJnBrqxWV22bYnvf0o4
28kq5lVuFkKOdgzw3ltKYWAHZRVdfg4e/681ksv62ySk+K7+7Lf+QWz532fKbtei/bUpu+0c+738
8gOM2z7zU0zZIgTYP433GlcYA+sAR/ebE4s9HQH1gGm5GOv+QLdhmQvKv79NlgQzS4RP/RRTcBEM
9jDhK9hdDykGm29/GtP/HjH+G92GBat/GoxCKBcYlz8TEB7w+D+pKdMouyDU3nqNJhrukqeC7QGr
MDHYR7cZ92UVfwsM1OBymN/IXH6t6cIAegVnGZZtPnLnMdFjTkJ7Ga4DS0PVQV9vVUpYfU3rdmfL
+Ia0DIKBO3tw58ieL8ml8cML0Yk9TuTD3Hjg3DCJxXTlQL562H7U3NNQzDvlw16i/RllDeyWDthl
RDmQmYGjZI9hYT0VpiNYss6vjyQ0UTZ48VM0+DfSa6/DRNXpPPU6ufB1+8Sp3ZcLGBcbJreAdO4Z
zv0+JHFuw0akrBUktyr4MII1l+s6D8im4O+xod6vzsQyf2aZQ91D53CyY4uLHqo1VQGPkqjMY8Np
JowX3mCAvXlRkvNqzOo23CVj+8Zg5CiLb33Qcj+PU80zETT7BejMLiLVTsCTm/oefpZKMgBKGKda
9+hZcfZJW59cJzyVIF+yeCJDVvLowuA0zhJD73Gg0p2NJ5U5vcZPkUzBdYyzpDczScWa0DSUYXsE
43hFuZ/5fQ9TQZVfJYsfGicOj7XjHwJbfpCA9Cn8LMhStMtliOHQE/2SOkFwEFUpMdV35MHGiUzR
yB67vl/ygA13rtseliCOMlRoF4YQCrmoZXmkBqXJJRyAXJPs6l7OBSBFW4zoB9OQ8W+YXvtMj67O
lLN6d8noQnIKeYHpsd47xK1yR7lkpw1JNobQ6y45LfsjnZ3wwGJiMuPE/DjEYb5EAYa3AIQe9pw1
eyXCdjxMkonyPjaxc3Jp9c4cMRQxXMbTOgB/cdvpOI3sAe07bHHlHQJnUFmnaAE6LCw0LN5Y9+Lc
x9MlWvjvYgEME6zmTBb9PEgbpegSn2YPrGDtJ36my+FZw5MtIrleoI8ExEeCbIqb21XFOhOC7ZUJ
L3uYorZ0npRxCSrxemg8oJeUBdeRZPs5dndh3fSpDLhIEy73TeRdtBSuLEnU13XAIET4I0C8Me3C
8si8Mdxrq7qscce6mBohd3XVvyaEX1bMyZaWQRxKksu+TQ4q1CIzESCksn4Ujh0z5rAK8xt59+vh
Cf11DgjBplPsua96CguAPS86UBjIVXzpL6POXEv5LeXBVzWAxnOjd2BwZxsOV6sbnBnoPICP4fUi
hHfZT92+RR9bDBE9o9hm09SQ1PGqO80w+mJ50lcveuBOEdj4PNT1LtGNRGsK+7QfnIdaRy54rPY2
riMn88T0MjjqrqFzmfXOelOFpcior3LflHlXN4Xj0MMqYQSpshkzMskkmzh81Cq5hJd9jDS/rrsq
mwP81j0jzzpa2J5369eEarVT3ZTR+DCG4EBap4GJpMeL2azHZKjfwOiRFNNSHsMHSYe6uVdt+JZM
1ZjPi6zSfoyemAMkz+1KvMSiWlK/UkU34ixMk7Vd0I5ilr76/1KX//dVXPe/Vtwf9+v8WnO3T/2s
udvd8NhkBxkYle2HFfFbzQX9tP3POO2wiOGzsP40MNx/uWC84XPBwdguDYHE+bPmJv+CH4XACcVt
Ilii9/eIcjf8pebCSINvgYsrcKQCbN9kwN+pxnpOFqAI1Fxb48uoqHQJN32OEpszW1cYCsqzWjls
TttozZ/c2QUh4JK4VsdhrUm6aBTKC2kTsxbN4qm14GboxQgTFAbeN8BNUZe2w1SuhWJTbcEEToeF
uiz5npDOVfdWSjntYIAGZV7adU3ydhAG52DllA7cN8q8dUgnbuBarMINoCfOqHdF57FpLQDkd25a
xv6Qq5kDAyE8BreiWRA+tq5T0V3kT8facwFk9DRQB0i89rD4dm6+Gz9edqyJVwKlselUgctbyKHi
y9b1x+1bXQLgTZhxndQOVhdOO9FUd3WUJhW6EtKBwNDAz990iDdvXTt/r4h1qjQcWbAPbfWdGgeY
ax9/b3qUGdWxrogGfG1wIHk6ep72SyTMuWKDRFehq5TVnZe2amSALpz+jUQRTz1XoafuPM3TiTgk
nUNAAa6tySGeAKvVpelf3bhdUQMEOw2Qj24C21Zpu7jJPh76Dx6t4d5vfVaAmwj2Uqi6ILKnKWeg
IoNwbm84mWU2YjTvBu2l3TiaInbgv7DY/6ikIw7hhNIJrt5PO2BXBWiyKCXUeUPvww50befMTUS8
r6bpe2TKEnNsXaUReHYJnITh7FNetBeikydsKGhyDzoaGNy1S5mg4sSNzuq5ITk21qAcR8beJkkZ
7k0iMOXOVZhCG+CFPwVxauZSF/064duM/ee252CyxgYD1RTgZDQRSwFt2xRFYUxneHGApul4y+zo
pgsz6jaqodeu1h3dbLWWH6XwAOFDICykFgbFbhmKxY3mVHZyLMql5weU5yoby6Y7/HNsIo2zrfX8
b4PK/7RgYd9/mVV+fOznubldl7Ndv4D+DtlIP8Is8Nu56W3XGCI5+4mMuh6+9JMaxR4Mgj1VMFWQ
uINnjC/9PDcR0sHltHBeKFbYfQ4/f2NWgS7xy6wCZxkDE8J/QEcT/08mVLywMZnjakZmRg2nuE2C
y6lfznHfjlk4T08UeYGxUfzQf2YIKrHlCWYQYXZc6ww6aHubVEOPtsLeKhachOzEbmwl+D1woGnE
XWdftzpIg6HaMa6rI1RykrGhRF9jJKsyjDr9rouGdr63bHhJKjB+DqoGCEqA+Zg9ZHDSi7OewqFf
qjKzsa1Pc8tz64GNU84Ejrxf4Z2Scm9dZEgqlyfHdmb6aUji+OyBcL+M/R4mRX0/zH6FjrWzZDe4
cZ3rCWUg0kmfC39FsKQFGulRoEaTm5x5NKlixJgVKk/twmW4ikMw/NoXyU63K7r4UkH7rHpzmIy8
ciUaJNWPL5NhF9Y1RUVs7knvkgTsbFb0fKoZZhx0dkybOM7MjO69x3ibshLxJPxl7HtpBP2KzJAu
d2M4VinMG+jqlXQPyTTfVdy/jzHWzceBVo66rd1+PMB+yfqxoui0rOzvqSIJis5n6sKPymDvu0Dm
0xCpDL7FM7YFm4DQgcutXX9jkeGgwXDqkekYke2IkfEQyHo4Hc0Fsh8SGRDSrFlYD++m9+5qZET+
OTxweISEABL4a5UDptwsfzk7fnzqd2cH4HGIFQFYCHgx6Gl+d3ZEiNTHEVgSdDubBPLz7ACmDm0E
WAhsGcDl2zU+P8+O+F/w0ykOnR8KCLJ/f+Ps8DbF5A8GMHQOXLMaIGC4NVyfq+p/33MtpmQQvMvg
mq9DZAHNIsHypitfldcQU/2uu3Rg3h3iMmozZ67ubcACoI7BkPce5mi3pAigtSMv5kQFGI47ciCG
A2pcfISptHh17cqyOaxf11EueecDfpgkPbcdskuoYzfNCAWRlaoYOhmkOoaKGduVHOqEypzPbgmj
j+vUOJ0uqkm1eUXVee6HBMhv/UW79Lb2+z1tMamIJUdEaV+PyqSadCTljbhdmXlCXT/KQIZp3QoY
NArwZwJdFQDv+po00y2lIznMnUfTpPVuPKLaS+CmYgfros+h2gi4huN3v2SvczNjGHaiQtkPs3ig
LMOx0I7P8rbrLxcv+DL0bEhlbIZDIOEVT76BQDMA0POFgzE+TgBE6uXsrxjOvGn9mONyNwt9dhOz
dyF6YM39XvqAVWFues2mAbTI3Eza/1AJrGxTIqpCQA36F71dDyuknXRmQGirSGVoCB/iue1xBg6H
DtTJIpqHNnFypfrbYSLnypkzaKVQ3MPuVuNXOgMgLshST/1eOW68i+lwcsPurZfISoJ1uSDQiOB/
IVfVogUF8+pNt+4CWvBrM4FKLqQvWH/rrMoO+87t0VMTjljT2gB4pJp/80J/B8DeQJSevyWy2kEO
BL0c48v1bD7GwJVZAzwSdPJyULa6CvoyLhyz2N2oqu/GQffdxPaFkuRBrcutq92voCRORKwvtW6S
jIbSLyIWvNfecjKE2a9tNXKY+AO4BL/PYo0eKyTjoQmnW5gDh2iKnQu49Q+2xo+FkgUansXX5SJR
C6v1OwaUfK4UR8KHJoWilhzW6LvbiABWl3rSCj5HNwRe3sJ34yzx96FTw0YHkDC4YT6BCMocUX1j
fFyzdrbrLgabmzWW7T1HvtRGHARem6yPoSHBd0wHKCMYSBAwdKHpLyYooWY5N1BDnidFTnTwXSCg
zWNYVgyupRelsrQp3uYcKv2hjXiUQQg59aE0aQVPdR7jMEWC4Lus1PXQBa9alhe0XZuU2+YKPMt5
2GJsVCTnHgZw6vm+BsIapVOFRhnBCrMfF4j7qvLd1Eva157HL2skCuQJjkSyF5/7w/3q0Cp1qhjo
gxc+Rk51v3gO1BjzPFYBIldVclyX8VyyeDiXQj7TpdwDGbp3KD1WfnztJPK2IvRjCNarrpsOXODZ
XKld88FFThX8xJ3WYs9hOUEjRFSzSgoopH2Kt4d+lVoeK5DQd2WMUaXu2123mDNVkhf/lLYfpQ0o
01+Xtv9ph7r/+FVOIPjUz9IGOQFr3nzM/9sdCZ+Jqd9KGy6JRc4K//lBPaIH/1naUL/gLyOgDqAa
e/f/KOH7Hm6FxoZITLcogH+Ph/yFGkIxg5qMbzCGMwD6bSt9v5MT2BSZpvHj9tpxxxdWoyisc/vm
2vDYusjvNHTN5DQXUdilREe71WcXiR2vTNzBCjbdeOwQuMbh6mRTNHs7FpIdktn3ptZeEUdizjSz
F0SVOYWCmm5nQx17Q9a67cUWqcm0g7eTy1cEP1k6u8F76dUyG5wO0YNwOS+xfkd9G7OYo8fEgFFQ
q0NM0/1akNlpcZKEC15xFJxoTuYsQPomU4h57nphbzyLY8pj7XleQgj3TD37Wzgd1ua7IPQEVG7I
xwVnCtOSY1BGQgQ5kbSPkps1cb/oEnn5Jq45eCnHpG2E9E5DmzpbGdSJrmNlGpVHn6mdjZAHGmEu
pp5ZntaKXaqoPw/lcK7wM6XCIvfeed6dqXmuGVQF3nuXpes9lLZVaLHnLsXCX8CQUoO34qiBkKMP
nY90QhkPX+JwchCetwweQqjHmt0rrxm+wtF/smtgziqW14Ov5L51gVk34/R1YbBte77vBkPTYA5F
GhiMG7NfemlVxtB3vSd/lMjh1ubagdNUcD6vuRciXr4mcMzZlDh7R8x3vlO9h20p9qAHMhdMwFnQ
V7W8ApzYBQN9ldYX+3kie7SBiOsMphNPiVv19y1BTf6o2fpulupu9Qk6/3kQUcqnKo5fJ7e5KvF8
H4nqyWFRHnYkTGVyHXSlPNmkzIIEQ4OJ6EFNtklJReqsChJ75TcrzMpadGYP7uqL6ZHGgzoLjVl8
wIv1DkSwZEwnijqV/nPO/TjnMHf/9TmX4cKtz6VaUv3fGnl89udpBxEgxO4cXKHqInOBYfsPjTxm
/BCkcwI3+XNTx39OO5f4HohiHEU/XMnfGnnsSEXaE9tw6ZYfiP5mI09+beQ3+hW3QAJSxn9xeP7h
tEu6aE16HerrVtfg9JD8F+QE3S049cgSNVlDu0fbMA8elXMR98BMm7BDX93QvMLSCcQ8mweYbGce
L/eaLBe2RDZ+qGiSwsIHi1GvQNzUk+nsVdT5x7CmqY93Jx23F3RZ0KbMNFtwatZra9JOSsBqDMsr
omTZT77/3Y+ZysznLFpzm8Hv94qJI3W5xsFubpoYHSb8D7SIL5aWiDm0gS0SZbucTMMDYoAzXnbH
ywBTZ/6wkswalQYM5svUl1/axM2VR7HwQMo8rM0bRaCuKccuD93o29hEdaZp/UyB0yAPQo/+ghzg
CPkU0NgzXKZ9HA1rVhp/V6H3Sn3ZHTyqw1yL+CAX6Cc20BNYq+XNivKtU8s1EfCaQoD0NUlqLKPg
e86XYwwaeOcuZson7Yg0ZsM7IwGMOLd/HkTYwAHRfl7O6oOW3noluX2th7A8Y0ACtRp6XVoxWjh9
7N55MpryAMxjVm90jECTvDeGn91w1C9xoieccIhm7sDeZmsQIYJZRmLXWp9kLRDIIq4qAtdzxdHo
9fLSknjJOZrTHaJ4Axxax2YKT3M6SV4VTg0u05K6LHoi63NNRLuPE6PuvVCvT2bVVS4IWCYuW3Jp
aYdyaTh/EZP2kO2KKCy+rruTkzveVNSrj7E7LRdYgOLnyEKJE1ijad4M0+YCEjFCeY5YEGlasW5g
7Uj5tsS1E4MNccZj75FbLhLEdyszPBKLf/h9iYDBV6dJ2Pcgbuei2/QWg4wg8k5xZjvE5+SmyuhN
n5ETIDYINgqd5AIBZ4SQIyHogDdMMmecr6ZN6yk31SciekHdgBKE/SDYbwFxKNhUorEjwLE33QgC
EhhNlvJNU+o3dYluOtMacDcXm/YUbSqU+BSkvPo++qFQQasSm2rFN/0qAel5pFASYCJA3UJEFm0H
BK9lU74AAubLpoX9c5h/HuZbqOWvD/OfN6r82rZ+XgLyn71KATagueg/aeDhEs7fHeS4DgrbteIQ
HYmPLhRf+vdBvsV4EGdB9uc/CZ9/KzLYurYFexLk9lEAIKREf0eRcT9h9t8nGtCrIt+CS8c8ZArw
rfypbXWxzmbmExU3y0SiXa8DA901gE8QmEMV4TXS1uKxJYZc44cgZzCObp9SsKfHNibiuUaXcYk8
ErZN+P5438w0OIRg964ML4f3QSGyGaFGXFRtBLOewb3JhsQxcFNcZ7mRU6euR+DRLw6haueWXhhn
JRIiORI8PebdIXmPneoOWHJ4zVyErj1WGbBiKC+IXYQvrY6me+OFgCplFR35vBlw0ezwnRta8eTP
RKWVL70PAbPnOSRtf2ChTHKcCvJVQ/WC5BrXUFKhh0SNmc4I4A+3pumLdq4VNs6wIdfGDfR15fSB
/iagPwdnty9Xu+wQb5737qpm5yNgSVNdVcE23wM066fraNO4I+Yu1X3VJE4aQ7xF+VFYlmKu4sQR
COKzoFqCnWiRWe7TVg8GGVB02fWZOj3ix/Xc2rdGe2NXeCYBwFIuL9S0/qt1IjSizkL7HVaKhCc7
U3uvjFhft+1Z2FLl1eQMrAazKoMVVg6aveFJqjPSr+trKav1g9bL8+SMu57VJyfCxpbOpToz4TQc
ALwxFyjubPcc0eUzc5W94GIZsGAo4Uu6dAKgdm1YvZOd8rF6Sncgavj4BXWhPaI4PvoccfHBQRyy
IgaCCLiYA20kBRc6dEflqORxICO9WpKRwOATm8akQvFQSoJlIrpN3pzIOCe/VVE6LN11E7tOPim9
7LXjyKWABjiqfCnr4XvkCHm0Q9nfgQaVx5Cs9Ctb3Shfk6h5XEreXERN0FxKZ2xeXBStzIA3vZB8
FS/rvDhnPLyo8VFvrhs2lc/x2pnHHnJTMYulvnfqZbipdAseAu5Lm/dBoCViu4FbQA8CYCCXUOZs
soCeWB/Sg6e9D9AMadD6p2gx/q1FoASslqDuxyCGdTfWBDDmIGmqDKSTf87iz7N406v/+iz+cQf4
ryfx9qnfWmqoBBus9zsp4DcBAcvvkOhC2AcdLboQWF4/W+oIt3hB5MLNAhuc94kH/tTG6b/Qg/tY
QI67oQA6JMHfOYk97xceAdlMZG6hSiVoMKDH/7Gl9h3PgLjm/NolgZqwO6seSFbrLnC+xAKhyqKj
E7ZIzWMz3roRz2evO65Td1iOR1I2+74XYNJBxav4CWQ5XshaP8AomIBKtaJ6LlmDPUqq5yDpAi8D
0XptOaTzEP7/YfBCCLCmuxPcXi9Oq1Msdn0tIbpk8L/PA1lvgBzD1y6np8Xp90Mo1t0cY0In5p1i
I9PgC/wB/joc2BLukJ8REKQT+HvNdy0mr+iaDs+7S2gxGMUfS9bdOAF2hQAbUBlf3OtYlLemA3NF
kVk5MLpuaHl80HQTCDhaKGwrCND5p0agE9PN2gLmGnWRhEFzQMqoLZIpwuYPUVIwP9XzzHFA9OGA
TQjbJrh1IO7Or7ApanZ80AuGquqAsDkjoJVRNVMvwoG7tE57QCM7FBw7AvYSTN2ZjD27i1S0fKF6
2iz2Dpsqljq8hvziZcyt3St0jadxCbybqhfIQEi4dXSMFCImjdxVArg34An81V4TfymRkDhgHlpz
W0EqttpdELDgGNUbd+pv0av753iYsA2kSyxYNAnDrj4FEYjHI0g0FDbPbGslYJO+uaMf5PPspBFK
6GWl53Qu4yZXHH19j3kqYOuOQHoPmmQygPYFkKiJf7Ri/jJKfiEIYXkXYfpXnGdRGF5CqsA56eFB
6uo8HNq7pepPgze9eA6/aEyN+cvrHnyU4EJtROow3ngsuuq7BbJRpSJ+s60I9ApIvD6WcoRVs16C
8oEhyE3BB2wd9AMsbOFYRDh3ZZMu227CBV5z0a3s2/q5t5AgxDhsuwzFttUw3PYbBlh0GH5uPAwI
z4DaYDVItRTzthaxs49sk6Ks6sO81rrJrAXKV2KdIvDVLo+3DYsOA7FNsHRxqfH/bPDnVljHGFkg
85yEKL1hwpFFQu9vt/2NBIsco22jI59CBG8HLk+EqDNKJvyREAuC6lZCfO68r3TBoojSinsTLdhH
Yk2Slb2MwGgiv1XjdN9M+xR7uD66kr23Im4zvF2ZaqxKG6e5QR4Sq+ig8LlkjrJZWoSeXNBvvUC9
j/HoEzdgeU9g9OZlqLChzmECCyJqLK7kp14q8fBP/fisHwQpzr+uHwjkv+qP6VX+WkK2D/6+hGzb
bkFSgOH+VD1+KyFbXw6YDIINSPLPPvpnCcEtY9v9YgShV2R2/6BB475X3EUVwHJFJHbjNv5OCUGa
/8/2Km642W6PpXiscMFo9CdVpmex1q2OxTUB632Az7kHfhqncAXPc6Qt+AFPXiyzJ/Y+Wf19ssw3
fRMgstx3b1PgiVw68oA1oWGR+JPNmKF+2gTgp+cKB1LjGC+vVLydN3TN4Zp1NyNLvlQh1q5AIPAz
bPE5I3l1MYXBIRYJAjdOtceiqC9lzES2jvHlOlmol4JrLDpRJ9Y1WNgUhKc1rgFEBdElCuQjCzFd
qzq+TQzKXD/Vt4pMr14YwF4L2ZPusK3RIAiN6B/2DnK9XtI++oJOT2YQ1J6TVnyhiz4n3L0wUfvg
hN2lgkOaIQz02E8l8FcXoc7SnKM1uOv7Zucy58Wrl4yNbKfIGEGoHy6GSDwjNXDlV12TViE6zwUn
BR6KV+walGm/ADRzIlXUdK1SQC1t7k8LRepxtNgt2KNGaW2R6+2uJ1i3CJn6wLexZXQx85VpcVYz
bDndQ9LZNXS8WzhOLoDbfeZ4641f0m/YgfbAZ7tDoqVLfdbfLAEA86oD0tcpCF3yhs7RYzWWgNsC
+0xraOa1CYc8crEgtu1rsfNrK2GcR3s1rbfT0kc7t2pPi9t+VGuHgJHyHmk1Yb8rWMcMBt11oyPv
qi2jwxKz+/EqqEB5QzE28ZlaiHpY27+rI9DtASjnWq1NoXylEQaKnysK3WIeezB8ot7D8OhT3olv
PKIibxRkZ290d22MaA9hhVX2UGPlG5T/5m2a/A9cxAjcn7ADG4OrLRa1aICAluiuaGwbPPkhRwLU
xpATyxoi63jqQnpsQxdZw2qH9hrjHmKohV2wFthjCBjEnwJ5H86qMNq5rQfznqzcTBnqSAMwedyv
YwCCXo2nwBm9bAyGQ0JFlQoPdamPozjH5vqD57B+L6blFQHJB8hUOYSngmw0Eh5dPEfJF4FSl1Uj
1u/AXB6LOmFLwaMZtBNCQJm7zm4BSx1KXNjeJRqLHrzSTxHjP/YJvSi1dNHdTE3esgbvRQS5KW4G
dCqj8GBkULJzWr/NCJJWZ+uhPXCqbz4zwS3m6jtAkKBQEXs9DsAN0koZJMnWuZDYJApjfL0WAm9K
06FpAsJ0U0bhRdURkg+kCVLa4B+wp1+Vck9S3NZBANR0im/iuMNGNSquFqQqUq2wxNUT74FsMebZ
5rULuqGIuOS5szg8H1Y8HyYcseZhxL6yanX2vs2a9avH/Hc9XTQNKENT1GK0wC/wGOiufAXqqlPP
jpflyl3oXM79MgSH3q1Am47Vk8P4B5/xyni9wLM9hDuZwB1zMGMmgIoRF2sfEJ//ngBazLD3jkEZ
jvaB6FkRYGsAUimrwgq8sb9wvCW8dPvuwam78WrRiKPGCuBnlKxlvqxY/jaXANjZRLbWWV/qicco
1ki+tEl9X014msMAm6Wntqmgd+I3jpAqVj3Y9VaUAwWvBstadnrNBuvc+RAdc4K/Ka3WsQTkShFS
57zcIRnQ5GJUwQES6aKD6sSR6YYUON52gX9uhbwnJXkoQ+w8dD19KuMQLdS6oqOQArw+BG93euYJ
HPeCgl5tMjk353lGE5wp7XferjZlD+aullBqoU9c/NMTfPYEIerjX/cE/7568deOYPvYbx2B9y/I
e+jCgJBj1/m2b+e3jsD/1+fSqXDrBqAk/tT2wL5vIyaO4f/D3pktx42kTfZV/hdAG5YAELgcIPck
mclNpHgD44p93/H0/4GqS6ViqVVWY3MzZn3TZtUSBWZii/jc/ThWB5BUmL5+31HimMcg9aMR6x+4
rXBWfV4OCEqT4Ijq5O0XCufCoPlBkgZHMFoV0bJzDqJSXDZ6Bw9y6iI1M11jGnQHJl7fS/TY8pUZ
ztNczOGW7d2tUJBEDPtl6glWlV2wq1mPV2j4ANMIqnfCvlJbtGQl7lK3KEfh+oXTr8xggsdXWgyf
y+BKUfzE6/uwBTtXnJqpfVOW0JjpDG+iVAiuFqD1HAJnhYyOo5hT13DiS4U9BfejuSpCY74ib9+v
Wp8/s6f6TSlI4NRd/dIzmpuzZNqqunxRRm0TDq2G1BTsbLu9yuFrEwINfezow1eCR/dpO6VenGi3
htk+BtxeW0cCzWa1YJ0C7I1rfAUt9vKkXmtT8GzbM64os+9d/FPXUaSfClEBgpz1W+hL3N9ddD3q
6iFTzXfRZlujHp4bER2FPuGdUgj8SP0IMIC/7ewytX7siMUVY2et8iR4LBrr0YlfjAHGsjBeG8d5
rfXmVM/Rg1mMr4mANAnoZl4xrT2TDINRbQ67LIwU9vZKTk65CzaA0W+byLgC/ng1G5XvxSqawaRj
Uzcrme1jjWGjqS2pIVWcFXNIj1jQCAYqvJUIERzj0Aq2sdJZmypIL8OqU9eyGaGTMGIdqpr9f3uQ
Be9o1clO5SQcb0oqua/LXN9O7bAFsFms6qiDPj+lcpvYYb2KVVxzVu+Pa7PT0fhS/tSe9B34zi++
tDdp1J0ttUPMynlTKU61rVnTjbS4uUGS7HXSaO7YDgES+wxITa156ptElnTF30J3870B5xpx9auQ
U8HfrF9ipb5BODtDs9gHsT16lh6D9yvAPoqdo0HOS2brvmWVqWbBF/z/79hLFC+Z2eOajKqBkjjh
RnbzYx5X5SrQy4Nvlw9K1zWrtBnuFactIeUHKQhlpVobfXI7Kfq0xlmCf0orPrJGybyoKC/F5JwS
MQVuO/HqksUAWbUf1qMci5M9YMJQ4lqu4iLSyQ06u6FFYUxYMT63PqqM2pRgtGt2lUYSP3TJyk6j
e6NdgK5OhP2P5Cdzx87j9dVu2fblrjkwqR01Fm5GoR4XqoQgkbUCZGCsZkW5ZnkVrqe8gh6pZ1dR
rufuxMCYGQ1OyTGYl5DzcwLIZrnWboVxUKaPRMWBogT1TWE3a2Ma4xV0m7UUxRcyOR/kZ5FobfFR
z+pXp3EuINFdldN0SwzfJt2ohFhKSF1NWXUT4mRNBSGHaNrLYoZd6KRgckYkQrBWhL+XTN70oTf1
U6B0x6For9NSuWz7OCGi2K7mBIaiAw5fUwl/sElmrtUlJECcEAW2bT/wtRCuGdmQpKP9HGHUwBiv
8r5UiI0UUMbGQVqHtmPJ0UDyoumBbgcNN4M11Y3bp9Zri08VC5werXggH9HIRpAVHbDLuT+0Ph41
vQ5urHB8jiMzcEuRUHtQkVkvA5jjjah2FobnKox4B4fjbWtWIBMW2WAMB/K4DEHgzdbcdAW3hLQu
U4ZB62L0r4oUm6Do/NGzleCWOcWpKJ1bxxc7Y5ykZ+UAW7opvfHL8goMULUJWpk+1gN+QX/oLxSc
UKDGlxvbjB9swncYHwd4Ks4gYIyGL2OOstCJiMBmfuCBfjOJooejkGHX0btrtB3djXDz9BimtnhB
SGw2BtETi+m7zA+ga4WXVOlFE/bXSME5Uyt4n5HBYrmotXUepPxs39+aVix3c969ULKAkE7OiQWb
HnpWXAHVnZUPPFe8L8I6QtpVrsGHvFgG93aVMqajd0Hx0jEAceLPOdxEh8BzUT1qrD49hJ3UzSY2
U4ZOlDCELb0qeGbj5lc3MSnfTbrwTJ3ooWDh67H22UwkrFyNU+7yuqu9wQDiCZMi2DDS5TuFSrM3
jGHnBALaTsj+yCCbyrfU34dTcj3wTmQmIzGJmg3Gd9sMPARrLje5zFnB/cBERsMqlXlYMRm8nBTq
AUjcsP5Uh8FVEuvebKctjJQ3szDPcVC+j+DqidTEkFxJPw9ILa7V5Rd4MypmS/MlRmzyXHa+g829
Z4dQ47jSF4kZTa1K43TfzNW9oXPjp7nxoEzi1Ebt21ClG8eP73nZq8eIxaDL+3/fgIW0o+qOHc7O
UPBl2kB+YUSRbJiQ8XwsWwtm2y0WdW+ozZ60kf0ajYWyysgzedUiS0yFvNH8rFqbZiggz4w5a2/G
Zniq/L1aT8+WwsXQhr2+SRJ5x24ycaWvHKIgeK5je4WxO3THuNwWVcHP2+WZXb7mIu0ERFjN1zJG
6uraCBYIRoi4ss5qZ30phIU8lY67OTA+YnWwecZqHchRWD5yzEGAsSciiI6rTC0mLr9YaxfSlePC
Mv5qNf0VdSjRei45sbXCUzuccEcDpR08S4mfVdxhSTSAPYr82Kv68hgtUg7z9S1+L4AnBgQhknO7
OGhHgHHQTgkhJ4w5/dwrFhHIcuQbQ5QR50lQb+giUb0i63v8CRMdI/PyVLUeMolgFgS+6WWVcof/
+L52sBznkeMVQ3rRNQDAg062XtAU1UoX4S1eCCJWabvvAvJnmerci7w7BykDRKNpmfWX+FMri/vJ
IBg7Bhj0KAXZK6ycuCFj1Rv05qVkij7qvM/5tniFxLvKIo4N5vZ9oK9BKa0PS1XuFAPAl50toxIn
+bAhhEA41F/7qT7CH2T8aJuvTW9vK9nVqzzQSLgb+cqZe+GNVvIQZBkBubHWPYnlJlYy2MAvzFIv
WBgACxD4TrQuPpQmg4QSZ82VHhV7v6r5M5l8DRS2oNkQ32k1TThlp9zYGVl4HSSacIaHkTWXa4XE
HNuyyNdVawTQwTpKPJKKj8OcAd0U4HlRiKOsCnaneO8SG7sj990HKXPMlIxe10FibNS+eyx7bl1G
GtdpkNce18KlYUXtOjdjAFpJeWtFnCPThnJLPpjndI2LXtT5prbEQZPta5xNDJGi9qEaQ55BnXo/
E/sfp/ROF2BsBzjMha2+9P3MxU/O03Vae1hht7goiXLm6ihdFdQbj0O2lK0VvzusjcMe73I55u9z
Vh+wTUEmr+e9ruePUcy0HpWy7DHdN6zyQCaxzqy4MkOGXyDJI37Jzt6qY/1hhSzp7GL8amSs+XqA
3VEaP3Z2vvd9fxUm+bMvk5e47U5CMCCJWm0VZOMG2hZvSqPawSlmnq+tR3NxnFbF7dg4u1I4ewf2
W6XGZ5ie3hRpjC4MgMh+uiYveFHDMeoifKamivmmiTU28oGtJ9dpPluPUxFZ8qpSzJ7/wyR5uJqW
JgyzVP7rMfmNUrKgPv7zHpT6rv9ZRe/B97r0P8q7lh/8fReqWf+iuwsnyW8sEg3V8/ddKGX3IIOp
4oIgK8li/2EyMQzm0iZuaracS1Ab/fL7RnRhxQo2p8yRbblsYP/JXBpR8dNG1OYfg6NiGCzC8Kws
OacfN6Jc5iEJD4iK2AmJ/4OQgvvldZaZcJ3Ca6LLq59t5DChlvqIQ3Cab7vCXwUhfThGF9vPSZgD
2IOVoFJvZKeadh60BtBJ3E8lfqw+d05Z0c6HwOjSaF+1k37H4F0x91qj4rBzHKU9Zb7hM3qx8M9C
TYu128h2UnGcgzltXp08sIbL2ihr87rM0m1v5em7j0V4VeT4MEAWyC7eqhgR8GHIqL9pq6ndi1Rn
zT7DQ5zXvjp1T7OwsQLaVage9c7xj3UF0d7Lc/bRIWYHfJIYvTp1io4sGMSF78/MumPHd567Jqd9
S1T+MG9tgVs8oS/jHIJGg4z5ZCfBa2wJUtTCybzSMt/LNnu3nILXYZ9V4m1oyZOouadXAbCwWTU3
baJ0T4MVkNzW1YgaHOzfQEUGuC5RKx80BV+eQ8LndYysftcYub4neB5eKIme0VlV21BGu3E/l2W1
BU5TkAqaWx7M+eiZsuRdT1uw6/T+JSe3XFmA0Uhn+rR2ZEfZOYVn+rV9OZnmvE8Es/KIbIcrnHDL
SoV3dcBb1phkDCCwwyeTM0uUzrsU1CfIft6lmnMy4sjaTj7GS6WhiozYEQFQMT6KkMB8gkvQtS1z
W4Bag9Q3sgyvh6sEX7qnhuFINwd+9pq13DpWSv0EEya5VWikuMktK3+PVVEfsiqC79cLULFR9Zaz
ZTr+d3L2m5r2y8nZ/8me34r6r4OzZUD1+yNL/5bZwBEnBft7cwFH/P7IwvvMU0lYJCpUvBd/jM4M
CQGCWhz0tW8e5h/p1vJfOuWFKGn/tkX/I1sccZJPTyyMeljzGNIxpuMJKBazxg+js6I058Sc/Oak
psZdwoRWb8wjHXDXycgwf1iGuFgHhkwTu3ia4lW2DHr9ZeTbjp3vqhVPJRah3Qpo4o0q5tkLS1tz
B9FabjNrKFrLzNzh38rtAtgEQ/+9ExDtL8P0tl5G0HNe0BBRjJdKxVoiywl1cckrnjKa/go/QrxO
eyJQdTtUVyozbtuyzUu7n/MLAP6tW1j4VAOfJIG+TMcbAspyGZhbYRi4c53fhbkkvbxM1dW62VeM
2X3ZBusmgaxoi+wd/u4X2KXKErjaFQzplWVa71cNTCZuvdkMXpA0Y7cyO3zQDPnzmqnThbYM/sPn
2vBaJ9gVhR+shr6DRbwoBfaU4KBKx4T2vYZ+MAQFOnbKZZTz1iE1aG05IJnzgSje2DfIETjdSnfK
1wo0H5SKUcgnE+WiWCQMZzLVlYOqUQf1OVpkDtFLKOS4SRKLkshA7dbaAihqDbtx2yBo9vYimUAk
vdEXEcVBTRlRVeixAEi4CC2RFmobfRFfGrtHhqHtbV36RbtOF5HGTwYNEoW8APGwZ8/IrpmFdyxz
5Dv2iOoi9lQGCOVvBZKWA9vWAmi4DhZ5KGhVw/NRjCAgxS6m6C1rrkOT2HfCmZ+1RWjKJnatvJ3i
PnRWhU4DRwnTlNlDuRtYfZG7qw6GxmeZ0a8cI4u9xNdy9VyKNr+VPsKlZLhRJsVpFvVrVAzFXu+V
Mxf4s1Ng3qjjgA1+oj3WVX9Zw2RdKVIAGR+Md1TJ996epk3TYh2qGunvoEu9UEwHvYpfxUvIxKMz
dLcYFJtjJtVDH8dfy9k5UvVG2rsIt8WgXFS4L9xGRShsA5/dX+IPLib5qzaeuX36u5DNQxXacpcb
PLbZTdz6s8G7RMeSYuDfZGGwkyYNHhREkvaxso1sYE0F5n0dquGhbxd4Rzzf8m8OFxUBBDiVRUGe
0cKgtzBJ+xq4rOYsJ29EilIt31ppvnhgSoFIPTN1a2gCOjAKGbFi2LYbTlHlpk3aevPYFI+BCtYj
D8P6HFumQ9tgtRrzSWNGmH2ROqnGoA3BQMYIPzoFnvAbc/ZxMapblLBWmFqd7fiiI8YW9DC926uz
VPeVDPe25qdbi9/FrSyDROVyl0pQhk3czm5R5TvREhtVLIaEvGfjuIVkkCoUM5rUFYEsZbImQhss
Cx2gy2gFUOlKEcu0wcGu399rY3w06+5QGBOb4vq2txGZ5ybb8lbHEpoR5c0T7aofu/uoWEwvU3jO
RHedMJ2VzNuabH5s6BBxk54xe1bEX8BKH8So7gDV3LUA9NyqyymVKgr2Pel4kUAJsdW62GQTgrhe
j5d+bVwn+ZSux0Fb2wxT9Y6X+9R0xFxh1gXaCXb3FajxMxkJomh98+L7dDp2yfyYhoSoRCUle/zs
qclseItoqG6rl3cFntsF1rPGGYpdynemBGtvbO4iYeX4GBbBLCygIi8S2n9f4d9e4fovX+GX7/lb
8RrlP9l4LD/4/S2u/wsMmQGMCRUMIzl/9P0tLniLE1xy0KAWbewPTyUWdhWGPm0XcJCwnS82lt8V
MN7wJmZ0DDHLi/8fqF+m9WczDKgD1Vy8NUj13Ki2o33CuNtUO0lQScpJw3HF4ImyVjG/+wPvv8RM
mZEa6sbU4k09Baz31aisb5w6U651e0nYs9PO7ZsgIFDhOlCJVwxxanwskT29MlBm6hrS3KPrk9jG
FfdLo8uZATLzykY4YksLR80KeZBw4yMIw6XibGpNf6QeTn0NqjTzKn0sN0WIpXjoYMPTwYNBsuDv
GnYluCP0+omqXCLRQSpXc9ibhyG3D3FMEGdA8jdDlOimU7ad3r1Q5akiZfCuSJ3FgqHTUaVMl7Qw
k3RnBRw6or+SOR1bGe+ANZkEY0sfb8ibFa9cnYysF/AoG5OTrCXUKVf363I9G7TktmNzhk1vuPnU
pl97aU63mvYQCdwmmBGvoioIVxhnr+MZUYJ55eWkAnGUQ3QaovK1obXVkqgiENJ52vXmsLblOG+Z
mkSHnP2ZaxrRiCGQGr3GrJjaAogfXDmq3Oslfg9Oi3JiDDSBKnTQvwrWFRFuSwFeIemL8XqWsY0i
IpLrsVcZpYfhzkkgLvgKLWSoP3O0oSQnR+Y38pSQFjVbqJkMd2bdzh3qo4VcNdJWyP2jKgG4Ihlw
i0mk3PJ+o9+ZCzvfg5Dut1lTRAffUuRlJIaGx5DjQ0Lkh/NLjcKma60Lv4LcJwyfW88BcVp3aPAK
UjHwNdFYWflt+cHMLAOzGFykfpi50MBPqZoUDKqyj3A2aYEL2hMta5OX2dQAi1omnoNmuJgJ9nVf
2QcoeJrXxxOZgonTlGVbEfI/Ti09bTQ74q7fdN2oKwd+gfab4lv3gy4u6UpQDhMdfxp9z8bZNJtk
wWpNAW50Qr2eDnB8VVKIdlFXDnWIXGgnFozWpq7M6mgJnK1KUWCGWbQYOXdbI0yfiF+sWnXUPLSl
5oAhzCDGEEBPFL68ShCNlcx5g0NwYcXZddF1975iXDalrTPiVcqrSUEf0i0Mj7gad4tK6VLWm96p
sQ/JW763VL5FqU01pX0xhQWWTbotqnFaW9iP+cwnOeUXZoZy3StHU4suslAG8LRM/zKXJZkGaAab
LgxuMUQH+ypM93Xc75KKkyQpjiiHCBNPbKNcJPI56Ej4tlZ0GnvaVMYcJo7S9hlb5srTrHTvtOZa
1vVzVoPiKhLNK+QHtF8eLdkGpvGGAISn9k2xCXT1pqRhOixjiIfi6AyjN5ChwKFjItuM6b1M1ZMu
unurVyUXqVNYJ58RDc6P+aOstBtz7vZ2J1cAUdYWvRPsaOm+U6jt6Pvn0DK2Vt1TBg36IzbluUny
G1nobw4VB26WLuiO6UYg9q2yqryEurRREuGVnGMaQyJPMDIIqNLuZ7V0YRm/AgO7o78H7mwS7+su
PM/FeMokY4w4WGRCGqALXFUcniHgdZaPVxN2Hn2mat1flpDQQPD9zB1V0ZbqETLbWQ3Ft9CVeRJF
r5bsUFOIlXSOl6AnTmVxykuV97xabDXy10h7wVmHtRL1wW6EA0u+5ALzHOj+6Lli7zAlowc1/kPH
t+7X2ko4que36Xudvhd+dzMSEoklyxTVwgGXP5q0XzeE5zTBMVqm/b5+ArV127TWRpCyNIPxRozO
XRrP+spJU4QReLgZYwDmMFyBvoIEpNIaD228iq54wm0mJs7AnleWhB0SNOHe0GDpzfWjqrWH2ZS3
llU+Al26CfrpusuYJZTvlaqGaFyaS2vLJrLKDRyNVRKIBfLkBUZ4zdr+suiNG93PPjSlZQXF4grA
SqmqO8Xpd7JRNirbwdgsLgDX39f8prYP99Uyy7WvgP5Uuw234lXjyI1mNAfDp+FzZL9R8oWNeYPp
iLI8IfTXoSse+afEZiQjOTWi9LiTqpUNe3zKMS/kjZeT9EFX28/gZgo6tVlJJ5tQ4SVBrSH97Qhl
bmfZW73tH7Iuf2rxOE2lvWe8CF0PikjR1rsckK1KPohFq7PV4v5xqNWHoo5vCkXb+tQhR37Hd+es
g7zd2a3J1WlvWcVf0wp+LGc4tEp3m0b2To7+yTfmfS6yQ+9rl2FBlD7vog1k9nPpq1je6CsY5HVc
QxXWxq+lRV9prXae7sh7v7aum7o55Y15041s1KXW3HaL6InKAIAcMoGZXlD8fEhlxTY+DS7r5UE1
F49T0tIlYm5LvOFsSenxGZhrLYue/Eil/X1dTgdNL44KKs5J8UmTQotMbxsGU0udyKFWVerrB69v
E148MdqRdR+3mb3XmdAtroqvmHZcXdA9ibstibQ3K1PcvK0eSfPv6dY78byFUlgnWw1AKiUJ3JdQ
V7xZ1b6GZlNuHCO5y0ATudVICtjQznEiYxocysU1bmyAbu58iiEGXckgtBfIu7VnBwPMgUlfJWm8
NsP8PAbWNvbHA3ubt1Ip10oTP7e1ifMeiAORPuAHvb3uOkAEBN8YOrQUq9LRkfKSAIuy6xX51vdY
8yJ1G4CziGjjzQsGsllDzCQY582Y5Udk2WPdmneFCfqhxkqRI2G0QJeVkHRXrtPSrVKwjbe41op9
qrSXszJ8xX372sl6HcRkaP2U3kfR1WhkvP5+mKX/pOqHSdIPNKrfVogMmCxKq2xs3Z8TN+1Q13Tn
5spJzXZRnLBbvVHYdP/6IH/G5f1+EBKgqiFY2n6L/fwwSaLIRLVMoSmnUb7Uw3bovo70mBs01/5d
3fLPFryG9seRlt/khyMVPgLp7HMkXZJEnPBqaOt53hfWl7h7ikBR/fqD/fTb424iLSQ0jcjSnw+n
ywKYVFoE5155artjFbzm6euvD/GzT8RqmcUyhyGf+ukQvmWPqkNK44wWGQ9bIILrNIzgi2wjduJ6
+xvM9z9WP/3kE2H0YtOCQU+AcPm0Y+hzq9EntY3OUR6Ak4aiuXRD/81n+rMW8u16+NNBPmkhDeA+
0/I5SFzXbotF1gl/27L+X3+M5WP+cB307dwyBeEIdXlpLTwwnB129DcHWaq6/sgN//VjfDo1ZTIl
ZZ810XlUDOzxnhOdRUSu0f5qRp7VnHS0+F9fDD87O7q64H8ITJtIWX/+WEkkswj5Pzrb1TV9ogxH
9vY/LAtd9owLfNgSFj1yMIs/fXU4JRQLhFd8hkhG3o4yHuKi6f2vP8jPvjqDQTaH0gwAZJ8OUgyh
bUcRDaF1+TW3LkJ2ikz8XMcnPX0UwFsH//rXR1yuqc8n68cjfjpZocNittSm+KyOCg1LD6RI/uZh
8JdqN8EM3wZLQr2CIDG7bPd/vOiaQkAGHrXsHF/U+3bPy/MSCWhtXoc3ppevo430lM2vP9XPLogf
P9WnQ4ZA90Yk5/jcW4yfyEbpDg+FYvfro/z8u6NCFi8pV5756WxZM4HRNkMe9yvHo+tHYuP49RGW
b//z2RHacrWRElp6IP781ZWNjujekAajfdkl5MBq8ykSAf3l8d98lp99Yz8e6dMDjh0xFi7bis+a
+R7Ka9O/rea/ebz9/BA4noHDcCfZny61SEt6KeYgOef5yewIiy941M76m5fqz24hLrbvR/l06pMa
W/EUcJQoeU2VnW8o61pszISWnPasJPCM/uYc/eVj6SjhCNeYHB25uL3/fI50B1toZhfpmbwLZsPB
Wlfzza8vg79caJ8OwSztxzso7wO+0LBKzwOuIvQAgor/Tof/xzfDzw+BEA9IHUu48elTxONIoT07
rXOTvirz3hqivzkvf7mU+QwIeib3CYM3xL0/fwYenfag5XN2Zp2XdaYXxvsoZmHqvH/7rv5f1+H8
/4fdX0BL/9kOgo7d8k39URn8m4dk+aHvE1nEU0jPy8mFBKUvS6bvE1moIoucyTCUK+lHKwgTWSRV
QE5LepBwgsX99vtE1vnX0lCLT5LgvM3V/49S7t/4/T887DCcoKmSgZT8dphB/rKk68uxofovNE7N
KFQkl34/TKJaabHBINKqNoXBbKhupwcb6OiqCcRrbcgLJhrJylzaveIRQHFbh0dwF6qbqznEWF6g
Eh/FasQOONaAXIVTF8TDu5fJyb+GEYmzLL3BuLlliHnQDf2mYrSKB3FajKt6w+5Dv8gzyvMCxb5v
mMd4qUMqfh78e2hWDyalgqhg8+hZsCjMwDhpPACcqjjYabVPzNnYz70PgDbBbNqHGImxg+iy/BBl
eNMNgXnIiWKWU/0imUk6zfxlhHnt4rPQGZkyhsPYka+M0vfUEdCfXYZfBq17SsgKebxVd3rHrrUE
0ORmocGiERXMi0rjKsmqQ5pQt8JG5qPqQzjvRCS8OZW0bNToxUF1is2+PIwZu9EuQotllJPQB0aN
Dr5M/6qxKNtBCJwxzor5Q4Lav+qF/TpHfLmln4XXOlVcbtjU72GrOpdxke5NR0Ga0ctpG+aNPDXR
iCvFHjhrpEQxdrSBl4DHpJ4vZ4gQa9YWkFXgMrIyd2K0g2s1MLTtXEKur4KIeUvOtJ3iTdy3GaR+
dUrjnWGMKZSoSN/G4VKpO1MQa42MbhCfdhmAmJU2TpDyGENv8Az5GzEY6RqYjE7rjJGtcyO+IDh/
nNv4lOQYbKdgXkWZ/PDn2HJjOxPseHHKTxjE10BBIJ10mPzVOJR8EdoEEKZytm1MuCzG57J1dGrU
sqCmI5cCwhtoenLblWa4NjQ13qkqBjySt8bCwFGu8a7QfTDzSavRYiTFenMjqSYByjpIdyoCttvU
GhJRSaKDiZC5xbd9N+nNuevUfB0qzASLtnwpUrBmUWhRpYk/+lA6CGQLQMed5uUrivT8aWjM+D6n
w9FtWOTtpo7ea30MCuZ6uXYy4YMxvQGlEPG9uwYG2Z0cYP6Fg8CaYHfRW7KUOqiMQNd9kCk7tY03
nZmufT9H+2R8CoWAwh00HKbVAp+3Eg9yVWOQwlQdW9ezNl7HY3djDZQUNACEIy/V0ytaYNsdLq+P
Np9fWuodNm2Jqzd10voyovTNMxhOpnVl7a1pgBar2P1W+rm40ZXuS+QUrbJS2w6Ea6iPmgYHp3wd
+K3sGXe/H8YpxOOw2jI8vtOUQYP4G1iMXp1DDlR5PQyThi+pA+jeLJtgvBc0cK6jPFcOigD1bBj3
PaKrB8rnLqvigx3n58FuSKTYl435BPXi2BVWzygofYcTcTEKhQkNmMWVHDpyHSQEd47T0jhEfxTJ
FfVC52hhGR77XnxUFGSS+0wvQSZpbu/YX2ZJyCmKZwmVMntrbEqP6UTdF/F0zYrwAhgbhbwLqC3P
JAjaSGP63IdQ3BZgQx+hUdf89byB9mk3hrmZJk6hVmWnjgBBOvpPatF9LQWPB6niwLST+hgN2vOY
WBZ2Dhy1DKWDDf0lWy0yQBOIGn5Gg8tj1nCGNv0l/OgHzHhg7RVxdkZbukWG6gFOkL/ZkvrokrT3
yrY40lSxo0uPOZ3wN7FaVKfIYbAd05fqKqOzasf6vfEtIht9tPJD3foKQT4z1xRYXeZ6+1oIe593
5iNjZxqv6C+J6/ll1IDdAdvZ8aHTTairnZtp8yq17CtUjm3oFHieAVgkQJPcvtB2SmXtpqECU7zM
76PhOu+yC5x4+Cui9KWVzs7OjSstKLeKqLYBtbacU1qYNP7bfA4lZrgm6j6ayD7Tk92u+2Latwua
uluw40hJVJEqvAuYWxvTMWzT6wyqtRaFd4y/1qGV7+wFe93Bv04jfIwoGOQYwD5kMLJ9qpajFC8e
ElEDQxvv0bvfgarmPaZM20bqjcStkqReYOU3UC3q9X/XRt8Ua+gIv1gbrd7T/7mCQPiz9RE/+H19
hOsVahptgP8u2PhhfSRY6rDr52n2byDw98wmKycVey0xJ/yVKpr19/WRIM4pMYo5LLUMk7GR/o9U
a9bHf2wFTRbPGgwJ59sO2mCX8WkP0PqETdI51885t4OaRBd2QFaln367RP7jPkCXrBB/OBCfZNmf
YZWDV8GkA8f7nxfqdGknvB2SAR0QCnhLdatYozotdtyIDDxBPIWOspXWFidn6i6qpLy39ZqmWfxB
HpyeFjaKlhz72nRWIA2plZ8Yb2P2X2DG9ePQlKWXyRBpaFnWhE16W3JATy/Tc6GSI9XsHGt/pVcr
SQMr+C2yBNksj1WGc5MFnZdrzbxiDMRSIMk3vtVv6HJqVx044VUDhKy0xYMi7UtHdA4CvfEIe41Z
92je4kS+UbKR/Kl51UZqj6bCY8IiJ1M7/dXgZwFIRw0EkUwhsBHl0BcQede311S8bgbRPTiyfodr
8xRk09d6ISUkuOxXVKafzdo/WnYWbcBK7yzHr7dNWHOG6vq+sIJdJCnAS8PwyDL6Bc9vsukzFW9s
D/UuXQBqRDd5N5NV32jt/KRlyHCziE9CwsmcUsqbS2NVWclTZyP3NMFlMWadW2jTDVbcLXBXwEiB
wgKQ3u1BGBFmJCq28QjfKlOZellbSc92npwWSIExrroKaGjTCbIKPNxxh9PL2MRkNbsPOSHgM5i+
pIsJySZn/VkxIdbs6UofSLKhEblDqEWbREvPdO3GG/JT2zkTl8RcCDlqYuv0fLfhAplTLCJFZeU8
QYTdsVK/KfJ5Whlz8yWy8IYF9K66RotIMnR7zUz6VW2or2qKLSAYpi9pFJnb0ZhP+oi5qwnjHoWm
ftNS/U0fUkoIRm1XpJTHMUWnkWDYslC/zqjJo0HKurANVCMrzV/nuHwM7Sb0MpJsdAHEK1HZyW7o
jC2rU083/A3vYRpgucQwnAkc2RoFfs85Oky9maXSTp5pjcTI1DGJIDOR/2t2YqjylWoPGw1LAy/d
ejykqcm4acJO4oMGEMbboDr7/2XvPJbkRrJt+yttb44yKIcYvEkEEDoitZzAMpMktBYO4OvvAut2
3SRL0HreMw6YIRCA+/Fz9l47FtpmmCFFMKyshscUWQOlAemC80osbrt+1GIvTfS9AepAo8ruFg6G
U7+RaHGrpcpXeI/YjqDUl9yNFIMDeNy2Q92GvUSm2l7JBWUtBkCnISBCoTJkpsI+3A7xklwjX6wE
0+YYVucwVoN1W42kaCyRy+2pSmBld+1Oyu55DpCWjm6ChkClA12iYOCRNYr0GpnnMVOU/ZxRxUdh
FPnzOHHeGuIvlpzyVSITYzX22i2e7O2IkzYl62I9Qp8qmH3KxkeCuo/AjaWdspss+21M1NdZ4Igm
lKpdTYgFzLtBthSp/aEqyflaNBe4dPQNTAoUKoAaZ8OXhrkbdAOxTMSBYK6GrWEn3UbVOCaFg/la
mAQSjqX0AoX+uSmrba8VV1MpX5qS5MJ4Mh+7TnXOBI2Z9f1Cqw0dswl2pZ5r2a+W0R9VwssqynZh
Yp1YHP4Y9ZY21adOe9vinAwma7qW09pemdvgMN6V532CYv2teIIitqckWQVH8hh6L9ka+08b3PXv
+8K/qF2uSzyv7f//f3/utvD2Lh5PVFQ6LZef2jlN0ItBsfr5erDfqmDvwrp0x1elzP/jrg7fc4nH
JSrPMlX1p24bwge0FURfX6OwiEAaZ9lXN9zDs/zF+4g/bUrfryd7oIaPnrHPj5ezBsIiei1Sry1x
bCxA7Jg/zad/vmbfO3X/t8X+/pt9/jI/vUkfqWqrg2i/HjbtI7pWf9ipXxxvEQ6fF5fB6rbxOWhv
9N3DxfGy1WU4x5vH1g/8m+QgVztYy6fO4z96KD280n/858+nLxfz58+35GrZhmAQLn5uoWX9PBNs
omrXdCMuwY3qq2ftKTzoOObXvTetDi/adlxf6o3cCfyGR0ANNxzTNmD1f+95/rfJZlIN/X2TDc9V
9/avNe6VP3falr/8o5IE0e5omgDp5f6sfSSnjT46Ta4/Uif+l/5h2L8BjXJIfIOnR8P/s/bR+o27
UzBlWBxSPAH/kemK9twPNxKv5KgWrq+lLF0mqItf7PPi5AYgZkPHqa6KERYUmbHcuXq2GOaLp5jD
iK8nzaJipn7JUhtBnOj2tdDgNao5B8BcHiSWLVpObKWd2u9C9AqC6wGnAAFwWfS0CuiZJHbyLgM2
Pg2z1AqzIWrqbih8OxcO9czkXkd1/iAaZEK1RPcs0vk0ETgfhl0J2OgpSIz7nMneFfpohVAlTRKl
YNMHYsc85Fn0FJjEOadIDJ20Y57Q6181pelRWSnyvqjdHQ3NY1KR4KNiWQYOe1trkvBbxoMgGy4D
7QtyG7cCf+x6EAQCAwyOWtGsmqnkuG/PFFEGwS9utA7C9gMDJGrsMBzoNkzN2oiDbRjXdyYhDbB6
AfqZzaptmng/ZParpkHTkKO8gBvyEIAucilKsH7MdwhWNG9M+4g+R0ohO98G9G52QtG4NH08HLMY
D2kuwgvhtgfXSTnOZmAmOuVLkmTuKq5rcMmwtOQsY9hJnO6VIYVYEJEG2s/I2jLnGiwY1BR4BJlN
l73rjNuksm/L9gvD+W82L9dPXLK4xl0aae1b1FMttsyCV6bdoT8xaD8uElPD0ldlNmCNz0yGt1O7
wNtusUOV13WunesxGX211io/FoCCUfbq21nX7835O37NpYQXDxWx2Id6SHap3cWeVQcXmBbDmqTn
DYfyI+iNaxmUXpfRtZPFphxxH2gifnLN1twWo47SY3Emu1m9mWN8Y/X0rJf5xiyGV1NO1T43htuh
VWagS/Ir7zz6o5FhWai1q4IQsVWtTdfJ6EB+TKOz2yvBaTCad60JbIbsmr6PQ2BXkZLbfm33LpHl
SFF8dWZmJAKMEQOwhUFBEhiW7Q0+AND4NjEnLheoRg5mOV+cypGHQRiY3u1NQ3nVUVFOAo2sETQv
LvUkDn5E/GnFW5CKWqGHayR24l5wiR0awEoezQ9GVWorU8efblT2nVNbx06bvi4hUp6Wilt0oeHR
mgd/zoeLDkpCc4FKkICGeL+NviRz5e670v4y2ktDz5mJHxhchF5ae9Phj+ZBPAcpEjpGiRVWZWQz
BDcvPR8fhaXJHe70K1qn/AUqx1Uhw2mTaMG3rAqus2bqPTPv1Ksh6ol17gmdgrxzrPVC9WfVqklG
gvqn0WEKioNM9NaLA/0lgQG2AnLQnSJTUc8GfIGvNETT+1LFtwKNEOqWlkW0d78vyv/dnZby6u93
Jz/7l1c2+Ov+vDktf/jvzYm0JAI/cbAZcI0Z9XC+/2MMRMQyBQZ7zwJmoQ3yB5rKcH+jw2ESPKqb
S5Pj8+a0QCzR+TDlZ1uhCPyPNicmgn/anHgd6mYIR1R6vO6Pm1MdBiNL4YC/DrqMXAw2A04bhcYM
qtO2uVbmxYbDUe5ZmATCuyTJrzpbsXHMMIZplaE4zCHjGwgMDQcx8wkkne01ZLetK0btm9lk4pEv
hiCO7M26M/uSxHt3WNeLcSjBQdQvViJjdCKyROwHF5cRZ55iY804x6CrH9ir4V7hSUK//xRILPxD
Ut2RKw6ZSIndnaYieDI5phnqkXb+pUSju2TjaSu1STRWBg0EM46oTMZbInjndYlXCprhS9Dph84i
9zjCTaUOYbYJawu9hMRgw4zj3SKnZNctNqxmFNPGLcevVml9BVGdeHT5e6/FveWOxnOhl9B5+6xc
GTi89CG6iRbLFx8TN3N+lbLHOcZgI7azyvJxTCa8gKq2TTUyiASBQzRtN2FJczOAvDcL7MQZdIAl
nKjMqq1JXBGryK200nBH6IhDZp5AsSjn2UtixfJ7ZQRyLw0Y8/pjTBTSsGQioasqmVIAPykq9NQJ
0UnZIPeG1b3mS6ZSbZCu1JPiMs/kLTnq9OhkzBSux5bkjKobYQZlHNjcU6RU3+YlADlgI/LbpDcp
Dpata4lyz2NkkXWcuPuqnlDSpvoD7VnsWAs8WnfIpIYI8TKriGkJf3f7+97Kwgu5hNVhVvPGZciS
7oBY+zJRbzU4iRyBHbyYADNXqRo/LiBNJg3o6Q0FeJ8RooetrGr0RIlXQ1HK6xCJ+soC0Kxb6r2t
YISUCSbGnrZdZh3MvuASkyYTJONTJeIvtpGfAgWNYaHVCHwaMultpX8z8xZcomm8KHr2SvOHQK7Q
3k6uCQM5Sna6CoZzgfOPPSJu3SiwUTqbCbP0CHEFP8PJCuyz1lMSOICY8rn4pgIZ9ofesVAJTzTt
01CsBiX50CzlWegMD6LxNou60zQo98DAXjsOc7Sw4Kn0yhHMx0U1goexSI6TzPm1Av0xzAEWRU1w
H4z2EXIxDkM9NDdsX7TkHfeCjPMlsOWDpVI5ZWGW4Kuj4WPH6jtWmFvZJJewajZ6sFhQ7eFKauat
MfFd8iC+aVptDx5pTd77IcT82VvyWCkCUW33uDTTQOozkBRXcJZ2RpOjF8Wtl7bTM14HZ5uESr5K
Y7rsLHOEj9UKA91lahKMAxE8cfPctPkBkNQ5NXC3q/NjXzDhG5TAWNeG3GP2j9H0LLNOJbtlIPgO
SZzpQZo1q9ly0Donhk+L38G8UbY+QUdgqV1yME1ArkmVJ3s4N+uxxR6oM/FcVlxWKa0EHz5clz39
MZ3o4k2PKDxUMUZqBEOqXALWpBtjss5J734ICzx4ZVsPumWeDbNO1kbPAAuuASE4yxLXRLM3hOqd
7habzI6QOFVtvmqZPruayHY5/FEt6+DJ5p0FfWl86ufwDob8u50zpAh150yGMlVsqCgbusu30M4p
xUMMDJNuv+skefhakeEcsSp/Mqiw8hhhLivpJmVI0nQzurR6TtZxo90X8VAQLmfHH1WkXKxyGHyy
f0lji59kNFw1brSj7P8206DxOxC7TB9VpsE1ppW4FQopqu2cP+WM2cPzrJOO3lnDQt8TRyIi7t3F
79cszr95Ll/LOXb9yhwMkqLn52DA+WdjGLQ6pV7PfYPcMLtEWAoNrIUjFkNt8RoaRXPIZt1HZ0/1
24kbrIXn3lUQzS9OxYSiz8G6qCrYqJrFzShkoNJn6u8NjI5xQIgVxsdkcUCmlrNM3uZnMi/ObT09
5kLeVDK55n7gImCjzLFTziJS8RYzxx7UYtsvnssR8l+BCVOz2oOKKdNUx4cC2GKAWdPCtFm5gJQc
/jEufk47s2gaLh5P10IrFS++z0LVuxVrrIeHaldgDW0Wj6iNWTRMLHLtFv+oWJyk2EnxlOIzmWdc
pkoK+uG773RxoKJ10PdMKGOKavyp5eJUTdUGGNXiXg1HmtiLn/W/VdnvwycqlL+vyjaMNf/KK6ny
V3+UZA7gT07lTIvIU0ZO9qkkAx5O7gNVl4UClbbA/5Vk4FscYaOj+T5c+l6t/VuZI4h8x2JvC1tn
nIPu6j+ZPNk2rYxPjSf6Ba6OURLqgq1BjBHGT83MNEe3MHaBfSGb9hB29VCcO6lPMJ/yoarINYj7
eevIFlxVlIfjY+liZPFKDAOIcZLoZTTauzyqJy9qi3Qtu35LGJZHl5i+ORwuziiYLksX8iX2Oh5U
XA6T0tZeMYsL2qSOLr7yUpJBgRLnCcOKlt50SGHuUEnssFABSggWI1GLrz9WMJcVjiR5pkb1oYQv
U9VF10EQxdZ1lE32tSgcRgEm+cUG3DV8LZ4IcrW4t2zF2ASsU9JvRy0gfEhpo/ixZyMeMPnLp1R3
I3RHabmLoySZ2IKbs0zMg+zFrQjNiVFy8ajO2X1vMkwvo+pDX9jlVoQLsyPfvukS1jPjPSoSXA2K
ebF6HRz5+NhHsVgbFITKoHhKzhIQLshus6o0z5kAC7SFbeIWjJ4gRDtMMVIgyuIudcilSSqin5X4
C2bE+7w3v6pmEvttzkURTndjG2BVQ5DZO8nro4St0lcoaOyTMt6pMxOEehkE5ZlzX2eavimLtAC7
3Cng2vRdRBZnMQyNl8t4b0QQ0ESO3Klo6Iy0alrQJqozFo7pYFT6TaD3+RrHPkBzU9+RFqKtdSeV
axfq5Z4wC0ZYvfpFLWkK9G2+VgIRgMNut3nhvoVRebRc+9gapFLHDqIKY3bv7ABtgRu1WJOUL8Kd
N5k67gn8vIQN8hNkVV7VzNYuL5a0taD61pXMDaxY4kZS8g8ZuSOhb5i+XIGDyh3snbWU/txeN6ZW
dwBry0snEoW6kSOuy5CPpsoqjDQAi5Bae3bUFXQtsUYo1S7SKy8S5XOf6A1doO7Q8Qt2bb8RkB63
o+AYbql16c+Fuc8HolJq8aS13YWwlnvMqemabJ/HPIxuIzOKvUolHiq0lD2LtrEaouZ2soN7dCE3
c93ziGgQeCYNJqIbx5NHr+K6D+bdlAUKiYHKR1MrYN1MIkwmwSY1azA0ZU86YChaEgRVE+fMNB/K
yr5KpnLalI6QINgKfH4DbtvalCeI8l8yCGZx75Dw2sZnK6kIFlTt41SiB1Fxv5Hmir+RB8AzteSt
USu5mdzuym3M50GJ8PNxZ62SKbfWUW98yyegP2lV3vZzte56m0jwmlgYe5xXZlGitEmHBx0B604x
uTuDpaRrs/hrNukzm6P9LKS405mw7YcyZSba6HuOiYaHw/wUDejKLAgAAFdNcyPr5CoOLeJu09s8
Gy6EjiiMJBeISpL6ce5e62FRb6yM84SsJHPTZpxWdWHdS42YRrVRvwW6+aoa2Qe90T29R/b5sOM8
oehfzVZ5bBPbXed5/pjLTsfn299NU6dtYyt/KScTu2U5CQjAU9SaB9scrRsjcSqbbHbse1NUvxuy
ANIhCEhdGCW9qM8WNil/TjldDfN7Y+gvteMaO1clebty7eu5HwrwSNgIzQZdmEVe+Apb3QeYg3av
2t1dVHQIR7BEYWUsp1VvpwlrrfFaWeZdlwNYkpED3KIPpNf0dGWTqiqgXqiXAdq9z8zx6zBPZJsJ
KstEH7whKO1dmhbuelDMbOX2NXZwlRMb8q8PBr/5WmtJx1UDKS7xSNTJ0NYj3Tw98gy9vpX4YQ6T
Q8aBRkMqjYuR3ykG7GFMXkzQCwLlqDoTILOf8uAVX+jo5QqIKn3pTY0Gd2vVJB+WXXAKC5LZF0Ww
CU1j2llFU+/LytykBCJ4kW1lG4fYrRXr4bwFxPvaOGJTNArSnWBbUrLf0PS0YIzELjAJqULdy90N
oGpC34H03FiFXm3oBO7r0DgldkyKQ544W87JwGdoja+DYZoOUd9/SWGubKKqMw56ZRC4QO+KmO+w
2EVFMT/MMue3kZOyEeRVrBSK+1Wog2oX3bA38oDZsOaQsi6GY5i5h8Cdj0o8kzGjcb4JUjIW8oVZ
RltPsa3T3HLSi3rSIaj/r6s+ui/wzLIhatkGrgtd3Ehp8Bd2H1ZNNGqORXU7OsgrJg04GqwRWupZ
dN3FqEGCWfXSMh6wJc5HowtO0Go8Et+vB/I0fSNZML70KFax3VxckXw4BHpkbUBDwnY5plqKAPUj
QIM4k0/CJEPRGaC1qspHrU/fylSh+xffpaBp1pAbLJ/JgLVqzOprRhh9mKuwbw2zhfds8pIIDz2Z
qS8V3rbV0MeXwO0JmwDV68m6wQgapMfCydVdMibhI65rCDPBi8VhCnRl6ttZ/g2l5gteG1Kiu0v1
fVbf5R8B5hJfcxmcu3n22IMFB5PDJF4HZ4xXWfWULD5r5JeixU2PGQiYtcmeKpSBBUzTvo5OizAr
ODnBlMNzmA6IIF1YvHCzRfGUT81lXDDI1pTDH0vMNT/ooW61o8jyL0rlfJMjx0eLDkpRYylok69I
UzZtX3bb1q78FiInvm/lUU3U0xwe84SzSm9jRE3f3D55j1oW34Fo26SxISaSIiE6zOitBfOxlZzc
Un6enJN6QutnnLmf6Z5yLNbNrwZB3ytEOndxEvKfWcCHHBFZk9EpJoOZVBMn3lK5vVKB7cG2bmoq
Hfr+FtbjMl/3VXxl1c4qAKiJDfg4VmOJhyg5pnSttkbefZBO+BTStV1X5CCodk4WRPGoGWx4YO+2
ItJInHWMC7qHh0ZKjqMtGdELib2K3dPEyd0zyCjpFfwpdiI0NCv5FsEe51I98S1NMi8yKqITSPLG
4cujU8zIT4iQucuHmq/mFIMfUXeC0Y2Jm2XuUJjN3jaig5ySbxFzgE0onatJS7blvG1d+FAOgIrC
08aTo6T3UQYFmjzXfI1Ia5vQrV9NNoWMMb8bDoQJGb47VnwydXyieHIjfqz6DWwRQkpdJoKNeGiO
PD734RKMxvntUatsojMAVbSN7+yMMNvpSJsx7XqBY1Q3hdUQtaYWsUV4BYZd5SkaylKFVV60zQFF
imTkEMvBGUhvHJSJkD/xWqgiVjwzQNsQEvIYe46bHrCW8ylSAhM5c25nN+RAXyobhYENNHhFbmKz
9Mw87b1gKJ8RD85+4eABG6ZQ8zM9eTCa4k6a1rhBa/CtTponM7YFSkONbwoGn0i7fWSbb1UxXo+x
C33CXqY9cZevqbvadZqagOAlJF6FxgjbyURdqLKxYVi2+P2W347avHcn0nujU92Qsp5Vpoep/jJ0
8ZXb2ycE/S7jh+RNcyevdc2TNk9UN2X1zt6CoD3LgBU6D20cm4euV7/OMEe3c4IdfxqcHdzya/KC
Ioq8eTtylFhR10jPCoovjcx3eF6UNbpughFb6wRn/1ZPB3z7zJZEXsod6+7JlYh4JsFmh1x61w88
0YnOG4LfWgMXJI+RqUTTomJHVr6tdKpdV0tf0xraQXSVVnA/xAR5wdiLBhG16wwXhZReWpRQIUXy
BWk+A33QpnKKL2WoXgTjvqwYLibkAFp1ylx7TaOEh0Etn1IZ7rsofuns7qFyS0QsM+z8Zjta9h2a
HVK8cgAJ+mtcaTu3VVgZ83A/T/a8Jy3hlQ/4AMofayG1oB91FfHHufJq5iW2+nkgYK5OjmOUksXE
/I244fksh4mAGkuDbquiqoFXLYu3tHLgWYGazSf3JYMQEBvRUy7pgf73QP/9QL8IQ/7+QP+7CGD1
1ry/NW9/HrUsf/zHuZ6pCV4WJi2mi69qyQv7Y9Si/mZxOGeeIgAkaSZTmH/rAMRvGkd6knex6vxv
N+Df53rjN1hKFgwecKnLGOY/Otf/aPlaTvWC7oBOtqRuMNgx+HSfVQBGhEKeWHPzEkFJaS/j+PLp
svyFBglhwp/6BjQu0B8ZeMDpG9g/SUn7oDU7IF79pZ+Fr+vVt6kyCZFKbkXTfWP2ylSmiT2SbnD5
KMVet91dUydorVkJLMUCKcPTXdjNTmnV+4Q8J7OtviiZtvg5Ecc3jHu6VK7mKLvSOGCmJ2PoauMq
hMcjsRcO9AN0Yy1QGUwbo5xmouBVsR8Jd/wmBQNJI48s4gFjmwiFOPtS60uwOEWYb7YETzRqqDwn
cBBhoZoffTTmm06zw7WZRvVRcxlbMsy4sitb8TOneXab0PAZMLFHmqZk4szB3dBLoosbTs5TUyCJ
jV9TXT8JHbiIm08nGXIyz4pyVxTd7DVBTdJPtjXm+Iw9w6DVWbwqqqTzb47f8lS56iDasZXOBGzC
Jgqr7s5OWILUam8gsUxVZVdU/aGDML0GvXgzps4hgdbOntOg100PtW2/Bdog6UQnuxDhep/Gbx3Q
Q5iG5gpGwY6wqSsFMgS5Cl7ECBfyz4F1fpfX4mQWtUAnMpwzIiqt3PCbiqgDMB2r0nQfk3jGFpVm
102Aj6id6fzEFIK13kEASojSMu+7jEhEvFvgXWfzLjZwUEftiLbeifdThkREJOB3gsTaqnUMemVR
u5quL9H88lvAiS26YUOu/QG8yhpu1ZMJ80lG4mK11kvbzVdpbN5GOWCTfsmWNodzJJt9Ocl9OCZs
06hKc1cyeJanSM/uLA05XJdkT+zcjzh9nqyg35SNdXBmsVHG5pV2AZO2zt0qRvtS8uX1KR+3yjR/
STNgNXa0bgI0L+l4ovfrrPoa6g6Dfl7UwUNhAg8KLfuVp4BoguQlDJZYyxYbDRki3Db1t6lMds7S
FDKq175RXxRFvWvtZRcOEm8Y3bUqsvc5DW5STA/QCMNTmizwD7o4K1Ox76PZXdecHtZkUcOYzPN3
V0OjrVQRkK/ZFmdnhEoeE0PnKRXboLDuEtd87qs2ZGTUgPiplqcnkXeqlhyVnjpNrzFPCIY9JJiJ
29EBl9VPfXZkykAAi2W0vptV1N1mHPiytS5hh60mFhYxIE7oEUMNycLtKOk0YePIqKye5xtiJ53B
SQmwg8RDjBEvtk51ZYHo5FKQa1KFZOOkcE9Io/XofDckFCiq381klxVdgGrY4YywQNePFZ4nJ5r0
VVc3R0ahV5VZtRhHRvQvBgJWTa/bHZ3WxA/j/mRpIeVMWhVkcYttMM4u0lVdW/VmVvklsggSZOPs
ys7UDKmT0t5AiwIQFlQfYp4em8B4s9N6x/oGyVjL164GMGzKlFOQ6kuIDT2t1BLwhbMyvytFD7RM
o2lFSktxKwd8Kbgwr0zmo6wsa84VHjZKuK9VcbRrmwWRgkqzF48KTpyKEyVr1CGsg11m1JA+gTzO
3SlLlG0korOaqU9pMzACUg/SpbdfjOmrmQRi1WI0kU5gHbUOrlJAEfjOdFlfz3O9dBFrmd+nWi43
Q2ygmC1jPHN0UiJnTv05jpvz7KQXQ692KRJjrbba9WIuQ11OnpAUHkveXicL3g9Bnu6zaXiwlOo+
1zlc5Ks+81q8ff4kOXaz5vQHqVolStylgxgr31C7qDjpmJvzdqbX0K64gjFGgOSU2sOOIJphC8dn
2rL0I+eqeQe9z+6L3Ig9FKfuoZ+a5JAl4aVAaIuWyXD2WCmjlVna96IuOWiZpFSucp1u8WQGAaKd
+t4KpnunEPMiaaaT1JfthuAAbWXLcdMRW76l6Ce7b6oxc/KHK+yH/XMTZ85mdCZSW0DrR+xKUUeB
WvATy2pjOHnjTXn5Yg3VvpDxZrQnv2+J05zsQ1pPD2qU+EMMjw3O3EOf6fcOLZXjOOFiLcn38cog
Q3/QJ6CJVPXFsFw6W6NZP/cWTd6qJDmYVKr01sbQtmIG+awvoyIy70fwooqLSFj9ldPjR50FOkNG
/xBhsHnYCD6IsP5x+wcQh0YwTIpLt0Q9j/NeWPJGNu3mn6sA/a/fxwSnbRsGj/3PRUBnk8cFrv2S
Z9m5tfQHVqVrBzIby2WzkpPLDzBluwHmYeaku1aP6PeRk6QXR1aqkwhaKOjpTQTOy6pV34jI5iCS
C9/s17InTX3iETBn52KpIeXaH3XdXxQwf/nJEVDjjDYFA5plLPJJwy3yvow7Ny0uhDStwgn2XL6O
yt8j9P7WcOMuepZPqt5F7+liK9KZGXKNuNF/fJeW8ImJQ95wqcKoxTBh7o2ShUGFp7wB6iYWntez
UmXlDagOb3LVvXQk0WhTxUJl0DBOcmBcc3/TR4Z7V7Ar9SWHGJWEKBPRx1rojBtEGV5ihbyKAOmH
1HlurBzJxbSoD4WWvaW0F7UsjLezrFdBq1l+lMVoKzvjQ2n0jcDpiuOt5tgGxX9d1gbuWw5GbEWU
NpG1r2f9a2yi7OcA2i9DnNHOzhMqQBrAE+ZRTSZnNUJxMY99RN2EEDByESpocfgY9Fp+X0tCIl0t
hNkHb7q1qm5H9wD/HVucBolyShhGV6p+JVQMN+OMbVgzslOgvvVkxwh7z7r44igZ4gmp7abEfMmA
qPlFVcwMRTGZKKo3m5QeI4+ZZ4d96Y1KvkNtwYlZGw9M5N+IZoo+8NpsUbTlTF+js14u2XNtvYmN
1l31+nibW1Z2cbHoatY8Hmu7Pf/zPQdr4S/uh0X9y+3gkAK3xDJ8vusAVpSEjIrugub+zXDb3MPq
kF0spW5XrKevYUswCoq/tWbRkY3RI7CinrkqM7KU1N4BYT53zOrlrJ9F6TwbJlk5bS7qDR5iZhNC
RxAQEwROi8Lx1dLMd/D3K4+ZA5arRqEeYSFS8xInuajvwpz4Wy1qAbctsv4OenlR0VzP54+mtN5w
kIn1oJX2usn1B4sANLOdQg/lqWeVLakGsAlXjbSeE8fay0D/ArgJeLVkGXAz2r3jfeAmJ3toiBoy
7ujZcofQMp/0O0L2zmkS3dWxuM1td2tN3bNDz4L5YKn6Vt1TC5Ly3vYSLalAVmkkeIMD2sYIWt4U
7ol15RovmqE8a9FQezUhJn4EvW+YyexRxpKJWrNV1WTv0oPSS0iB0eCZKRGujiOPNlRviQyNbb5a
UrXuDVldXGcktXR6M6T6URvNW2FbPlqac9oXXjqkV0THnOzC2sjSpHlNnGxc2GDn4pu0UtL95Mxo
IkBUZoGXVxQ0qLA5l/AwDop7I+vuG4rMAHWpSgpYsuk6JkFWSyYPTV9Ns05Wa2xhT/EraWHuE+G+
BhpfYUGLTorGME2TT2UJwVHBjYZTh6HaRk+VY84uHkng2RqU1qol1Q/qxt5kRkQSoJcFcoO5EEZ7
Xnm9UhM4mypbdFfHGU2S7cYkKmvYeVqVRXdGP5doDl0j55qG1A5W3zGU9Qm4H1VvlylXWSUr5lT2
wQyR6zAgpDfPHM2oYm0tMcRHlTwrLaeEjOkxdvwS/xzpZfg6yI6V1DEXgmksJlbmLrCHp0olmDVX
z5bADAvf4ZREkpA2Ym2OvY6ArUV2DrAwKLZymL2KumEHaLv1cBntmoEqxC6ROdvB4DMu1H6xtf3i
STV+MtnokTslbpX2F3RwDEjOzDnWI1rpQF6lzVnjxPLPa8NP/o/vO8WnlcH4aSfVESFyumBlKMuv
mv1lGG8H91SEz9Lc/fMbLaqCP+1JlilMHREovtbvBoJPO59su6FO1GG8zIRe+lU8tktL+l60YbmP
SoV7jhTtqoohwONWODu1I4gNLtEKLh0vyeuuW035ZqrOzVgYyKqM/lGJy6tSte8yyjdOPeuu1Zem
2OgVXbjJu/iVvPEnJcqq27CnzSeiqNvmoj+KRF1RWPiTBq+fEm9bAO1/cnX3rpohBBri0BvdPjZ0
4lqmvajcK5nCFmTbtpX0mOpLpJ6yUiJnPVbaU141fpwFe1nhMM9GjPcif5vVSawzGb7Uo9s86WFA
DExrhL+4qj/2W74bO9zPF3XxbH26qCi1i7gJnPHijK/R/D45v2AW/ur1f9o4VCWjRg7T6RI7d1WC
bM94+MVt8c93hfXT/ZdbeaqmSLMuQr+OMdtxmdRo+gVOabkKP5dDzLOQJsMrFI61FGWfrtJot5Kx
Kt8C6R5YgE7m1CQPUCp+8WvoP97j39tfBl5cja0Wig2V6Y9vNCUxGve50i+UMR9sat59tgk8xR9W
8fppVaye9tZ6OL3fxuvocfTfMn9654lud7+y6ulLn+3nb/zpsf7+QT99Y3eI3coNWUa6zeCpa9Uf
7/ptfhNtXN9lDr7RtlznDVnsK3ArvutVg29eio9f/LZ/9Sk+353L4vPpU2SAPR0MP9PledzrPtaI
jXttr64w+0be9kmsTzCDt+4l2oy74k7s7hlnbscd695q3sISbz1aZ57rKad+V2zbK9iwwD69x3LV
X9T19D/snUdz3Fa0df/Lm0OFHAZv0kA3OrCbOU5QJEUi53AB/Pq3QFu2RNtS+fumrnK5ypJJdMC9
uOecvdf2jZ2zKw9i29zmm+ufv/TFYv+XD/D7l/7pBC2pbUxEaMx9uUIcu2nfqk11o3i1Sy6HF3nx
utjk+9K/eD1b9zumgqOb7JOVs0d96vLwWQOl+Bq4dz9/VZ9yYv6y3M1PT4c4LkFembyqaOesInfe
5n5wg6wwBT+0MldYS9xplflkpG3VJxpp659ff7l9P99V36+jT7sNW400tdU0nuS5XFtCHCCkoAYg
MObn11l2lZ9d59OuY5OMOAxzNp04U68G8SqPW2G+TNq6xnMqVZufX+3vv+o/dofPxaSE1kcz6qQ/
RWRMTsFVFV7+/13gU82H6j8zTSYup9Q4qAl9QMfyfn6FX3wx1rIQv1toxOrYBWk306msToRXbSr1
YUZN/vOL/Opz+rS5tUrWJgPu6NO4fCtz5jpj4v78Er96H59usL6ciedq8+kkCOONzVMOWRq8288v
8ou7y/q0K5lBKE0053gaEFCsO8hUs+5c0yBhYZ9KhIq97legur99XwbiSVLzNGgMny4JIU8Lqrjr
TzpihGSTkkGTmv7P39bffj3fXePToslCpn91pI8nI9Hp31/m+S+6Cr+6wKctcQazpSVlPZxkNm2a
0amW/eIO+3g+/mzhf7qPIUvZapBxH1MbrIjf24PPP1IiuHviNdfhOaie3zLT/rFVspiMfrrXLO/6
u6UD7FqDCh/xjHqgMVywqx5Drr0Sz8rZvBtWFzMUCx7dxhr90sq+lFZX5DPxVL94rC+0PVV7tErW
U7faYlvwf/Xy/vZB/v2W+/nOiRu4TgGLTjlfHuTSqgVDtisUd5X6undfrPbyajq8yy8UZ83tdCBx
9xe7F0iZn39Cn773QWrNqAbLcuq8wZu9JQjCXDmHzLtyTuaZ5vfeo7oJVgUd203jV/6v0au/egnW
p+eeBPdBL0TVnaRDuUL3Na+Sr8ZG8axD/zZuq3V+ZvmSL72Hj5o7+uk5mbxvP19dH4XXT25N69N9
kg4aeWwFt2azGTf1CkzYcqrbpe7NsBt3O9Rsq/nE8P5e3pRevql86wLthdevox2+hKff3fL/fN8u
B+O/vJ4/l/tnGoMtoa+jVO5P9Vr3TR8e/biZN/NZfFBWrziDN6lr76otTb0zsr9v1wh2+Io6P91c
x/j60fGvPz6h/xySMjf8Hy1e7xm3/m9EzNNz/va//+Nnb0Xx15H98kPfRvaqgtXeZCBPU9YBvMsW
9MfIXv1CraDzj2LQp12Ood9G9lgqZVknUPt3eyR/9W1k7wCBgnzs8C9KYWgg/0aKr5jLrfvnrUTV
QiP9w72v2jZdaX7dD1sgWd2WOva2c67mDeM0Q5krv9HKsLjUpCJSKZvzNnjCbtRcaojczH0+xIU7
0ygwE+esKZwUpVf6kuIRIrmC/E+K70nXMYVUWjbmbrMkK4zMn/rBuURh/g6PLXathpy4XvUlYGlh
GyMzrn0ZiJoNTG2spK0UZy+M4zVaMeVZmIjLdOGvmV3jIdXeWrK6lVGqgxkULgw/CSsLFYHinFTE
i/FCdWOKm22YcWynhfhWSMpLAgJurAdj19jWQwUcbm7EK1Kmo+00GU1x3tujQ4+uW5hy+PXemsle
MgxQ2S3cuXQh0M34mmDNEH06KFuimA7DQqsTC7cu1aRmDbe32Mmazbst6A+35XyP2P9oz9DvxMLB
axYinoqaP9LhTWp9uGkWap7ShNY6AaRnA9TDXjp49cLYU4Dt5UD3iLpGsFuejwuNT8oDY5MvhD6I
pDuxMPucGACcArbHk4U+AFSA7cfMliApiQwgUKxweabL3Eh3bUizLlKTr1M+kB+90AKbMsAXSfWt
hdNzofaE6CnKe6dKewXUIIKOMzQVsBAXCuHwwSNcyITAnRMGZAjrR7CFjOnfcqkQD3yfh854mnPz
CKLdHbIM7F2yJxrvWiwcxEakSUuf0KlpMapFjwKNGVe4qjImteYKTYFTc8Sk/Z61to5Ya4j82LZB
PuRh7RxVS4r2VloOPomFhEV/xCYR8l75UWA71wEEQCrcSUGiUJco+QeDzCycd3rmZYRz+MpUEsdk
FY16BrKgv7dL094SNik//LcdfiiZFLaHf94Od8X0N17x5We+7YaK8cXUMYvjw/4mRfq2GyrksTmE
tYG4+x3++8duaKFSYvO0TAZ+msM29eduaHxh6Mhg47dk13+9Gy5nie93Q/hKjra8BpVXARXn04mL
nKmKCb/VUXyY0aYkFN0by1y350swWTNa0NiJgtlc6xDhI4qHIRWASjpVwfOmTgX9xCnW4BjYcT2d
0/NmQLeye2E0DPJHRgxQOLJI80HSYYEiLieLWwTnQTKonhQ4ZfE0N2avX1h97zSFZ8HYJI3QMMgA
cxVa6e2zNXfNPONlDKwWjejYgGQAhxI1ftJWzjGq5QhxSgNjVwj9ti6JZGCkg+O2BDmsp0nuKbUY
DtDZpw1uInqaWdpfKWYqXuTCMCos3VH4Qk7xuMlaOT+LzbRcQ5ELTolk6BvsvRGuFwV6kQ1h5VKx
VMJT+1Ic08ISJ2J4OmRH1Xsp8EShiFWbZxCYKAA6BLNuhOx6FxlJd6OKGoFtVBiv9pw5/hBl4gya
7yrAielnkq5d2bNMtuNiLcp6edQZUbDHGV2HX8WUOYjhfN+kIAw3eqVU5IC2WL5XGm4ovqZuWwcy
fkOlguDnOJH6pM3VfBHNc1KAQu7Vl1RvjUNft+FuYkN60IxWQx+gIn+nc+bNdt6f9336ykda7GrH
VK6VNpYzN4HceNQF3gDUKNGJMWvohZMRn4y4bX0H5uw6mR37NDNjQuJUJJiVcqoXttZXdLXZGRbQ
9q7Py37TAtsALhCrqMaUDK9P1KabyQlw7o61eamkKHfj2mgvtFirPKSu5QG1PEFMbbpHdD5DdJPs
TW1M47vQo2xrV3m4H8tY57UllnSMA1MGsdhCKiwnrDcMf9DITHbhVyF2HB1v/WpENjcyg3GCfdZI
5h3m1XvYAuqZKsHy4eUHxHnB4YNRgiq/aeTzaY6g0tki2YUxQ64Sx/oRDd10FTW28IZW1Osp7sd1
OMzBpq3bNvT+21l/21nZiv55Z932OQzmr91fz5qLRvLb7qoi55RNGeA6WywiIjbeb7urqn/hlAlB
ypA1XYHK/sdZE6rokn9tLM2J37Mwv501P9IzFVVHG2r+bhb9NzGZn/ZW3WZfdZZIAwjvYEI+lZJd
D0fXKg1xgeAoTCBUQw/6VRvkg1r65wbOu4A2gh3N4ZmAAIL3++NxFlyTliRpW11oArZniwaxheYX
aWqhXZB+UnOyKs0xvZzL2CS6KIqsB85eanppy8bkRsR8qHvVrNx2LHc1w9c4yNamFiNsUnBJzZo7
TdlFYEheVkq7qXUABJfXnQzYcIqIQKqtqzFut8FU56uIwWMRM7c29HovVeJcstOXbEqfJRDefVXt
QBk/AJzA4xBH52HXrm2VnJmopcAcm3cMH36FcsjLOAv6ca33rgRXkPmS2NYDwvveSm4te1trrcvb
ewhNeSc7KNY0pdrXY/GWtU4EnYDgqyl/C9BwMvismBHLDKnqttlUWX8WkI7p2cXiUBcqx15Lflkk
fpqOSFXRi5tBCfeBqt42I+cmNe7u05w+WTSJ19bU95PeFJs6qY5FNArEepbmGXFguEHZXDcxNCxL
J886nLRjHsJO6VrtMhNOSPXQP0iJtpkFbCUqI4DfaveeWCTf2bFarizwQkWpHyzR6OuKSM5VltZE
/cmINDBUhe6Y9OS8VCqb5UB4oF7N90peYinFTVr20pUhJJgPanYjcrLKIF49SnWjr1RR7RylS05Z
JxQXLseeDZhQcqVGN2eHPIFeaXJtnB7DTC5UVx9rbCtZcR/M4PGD2saFFyr7xu4brxssH0nkK7NM
2i5Tc+gt/dVu4UrZSfxu53gKQs4NqAScG6Ar73osXFSob+zpAi8cg2uVQG9ltN0yzC8GtX1RkkR2
m0XpBoZ2h1oGm+TQbWJ7IbZo0CX1thNrwEcI44r+gs36dgh7WOIZGTha1CyG3utw7GqvpHXuFgE8
CZ0pN2Ef63k59zp2cq1qgwujAZ+IM9ynMjaGeDLfk8R5MnjkwFiFh6mNaYBmLEqPnFIaN0ziymVf
uQ2n+rrQjYpcbzTRmWV5URkJbtbxaUgIPK1E3a9tGGVodObH1Axgo1IZDUnxpiukew6NfJuGGeYN
gmNHyY5hTXSY+qT3TrIfQdEDGUgjl54cMoIxgH4BGM0s1XWnTemu+qBqCr1Bz1jxaTjgeesbIxTI
VExUHJWTpbeprDk7YybwyNTETV2rnO6rtxziTpxW2Sorq69KV+PVxbm37jsshqnoDn0TJ/e63nmZ
GRC+aN4taa3+FE3JWU5kfCxJV02fOEsNh6rYC/Km9AYEDZI1ll7jVKXbZgiN8bkRtlhBLNV4KBo5
VS59KWjvFWtzpUW050vrIbKNNyLsajBoKHP1WSFnsCLKYTrQKHim23UQHTQ6o38Mex0e+qxdNYWy
TirlqlS0nVCkK6jsnimFd2qKTNk2sLvLJH+GF7D5LqY8Os5ttyEj0yW8+isOFsSSVuKlSNvXwMbd
tIbH3jbkfmN9bKrhZFnluqlThEnwdrCOC6zzaGYSW8LAKp1PXXOXx8T1Bmr71hJJrtbjvdS+GT13
4mBaG00n5cANCoFYygkE7YGknyRpLQ+TdWeFw+jXdaO6STiqrmFXXXVKNe0hL3XpepzJ9R6KUHaz
hH1rlZZ6NXFInjW/I0DItTMqXlvL71LEa00nHoTI7tpaeoSso13KvTFf8MCrN01WP9eqsosa7esY
2Of1TIc/4ygH5x4ZOBp8L64HmpNJRq7jnDs3em5PxzCPruMwfMGCLbkiRZfc4J6hjO+AqRaYb/Uu
eixUvkUR3TCASzxHk/b90D70SjnjvdTyTbAAcglkRUUS8+xxnZQ9oJcy4nr7aj6XOlu6MRN8rNPk
iHXYkIfOKm/vSdeEgdZZ+ZbVbHt11nm6OaBhVTrhY9cjRTgvJ18URHsOWUUWaIeNGV+isRWZo2zp
ElwYaXfV6tHi2PGTYSn9peA1LrEHzKZyQxPjoVHG69BozB3w6ody8Rgg8wl+EWa3VEWfHrowg0k+
N6mbLGNpf33fRjezvgILXvcXpS3w6J0n9o3JqzbowyDB+O7cc/Hbb/0eRPtpmsIDnh6aqWjoTGmp
KZ9bsW1bjp0qWnFhB+sgvathJUq/mLT+6hLL3383FRBZnWWiz8RFxcKcAIFFgAGr6/+H9+HQwrM4
W1FafLpIG6XpmBRCXGjNTU2bViKrfvfzS/z1a+Gj+u4SnwZqHbbWEKeHuCCQNod1mHdrTiGF9ZxM
v7jSpznKb1/Kd1daXsl3n1gWDUZudryZmgGBUuDfV/d9jptsPeT7mY79z9/Y8sJ/vN8UGzS+oWsU
6Q7i+x8v14UJho1OEfSWHpRFjmXehNFhyv/r4vwW4rSMIP+51rguoVg+/7XSWH7qj0oD6ixlAa1j
Whhw1ljxf1QapB7QpsFAAXhm0SD/UWloNq1wFeafjgBaM0DF/tnHscmLwthFX8hU+W7/XVebKIPP
dwglAA13ujiWrUG7+VQGpAVLN8U9fa5qGDfx2GPw0TSzf23AEw06UH85D9KtFBBvlCjOXdCRihg0
5BQbhvXS5dm1lQtnhd3N67tOXjHAfcFBsmuH+iyVEuwlBkniPFI84gI6ZrrKE2fZ0G/Zmg55Xe/g
AWCLiM9Bn+zyyDm26bRSGkJm+wAJ4zDNnHJbe1vEyXoWkmdpndcJk1pdmi9Ssw8Wz8CVqnWPDhJO
10iLyymVFMwA0o0UxQ2YAQjkdYyZGZ8GdUQWT08iXDZcI7lqG7rWDWdXJTcOhNlCzp0Lf8KlfJQr
fQGcIQdX9MNsVEBr+4PdBl8rRxxi1XyCwpNecvDl+FoER/SgqKtV6RHU5po8EeUZlC32VpD4c9vc
0Wr/GhLvvBKVVgPVyW5HS/oKKpw3kjnwIOzjlIXQ73kPgZwegaw/twn2iSFI47WYcA5Ham34hRGA
s8VK29j57VQF54hwn9hRIGNZ6tlo136nczp18rxAZQwCDRheHRjnqYqS2xDzthcKoqAZ15jpbOi3
sfVEvtzZg9vayWUBVcAdCgze7XwmWhtFYVA9xBEx5YNaJ7DweZC0k0VMUvdgzOIgzJrsqzZ/L+3m
SIpHeBal0HMhrSAuJPan7RHQduq2DaDPtXV4o2bNTq6i2AVh4eyF2Vdr1Yy+FqF1HQaT36diXOdl
vp9KFbOQJr2NenWYTRiQSXfPn22LEh29Ptj2ulSxqkVJRy5okp05Y35jngEo4vhu5Z7JlMiLtCDy
rL59z5V6m1iNbw51BCGlCTf8jzD66nVVYqaR02FACdxeMwLxEyN91CfFxxVOEWUbhw8mSVciLC6K
/LJPoglXdLrRO8QduKrXU4SBCJ+B7aZzc+R0jW0iX4SMk+arYXlIaQdmxHmRKd9c6qnYJxEizKih
N+fw2evBoQPzvOKYb02vZFE09zBHNC8KndxemWVhXakVPQlAfVCVLuXKqa8QeueZr4AL6zR5kwKT
RCIfvKfh+BYYBH9EZcbQg2xmqxjvWrN56dK+XlVleWmFmOqi9FIBxWzbOfQjE13baCEJtgYvzmRC
L9C5ovDXeXMVYF6LMmtMtqh5SUkPdIh6mTUTeg9JqIpzryvHjWZOz6OpejUFjh0gbXemW75o1KYJ
tX8snRV15EeptCtwUZpA7sIkw4EWbBPsoalNsO9oQw/QZ3BG3b1SN/B+kLKr9AWG3IapGyNUj+sU
ko0KTd/yhWOu8irnC7nrmsSfxn7T2+R75/0ulojCoMeKZ6jljO485LQ5Vm0TnQ1Lk5OGI5SS3OxX
c0piVC2ftM55bYXOIsAbNQKVSHXQCtV0RAm+E40Gxx3e1EEVgu92IdX0275tXvtmOIdt7LWJfiPH
IQf6qWG8Y5l0Uoq1nrIKZZiX9ag4GyWVr40+eMPixd055LvOCW23xYcFWXJ0pZoQNg0AhDwPh6iC
RhEb9sqOBzfS+6OwigNYFcp04on00MZe0dPWtreAo/HvyL5j9RexOdzLarVb4typJa11mmTsf2Mh
4cEorzR8O248N+e6TP8lTLYZG2AVD6fAnDlUlSvMogtGak/fZ2XWxlL1Tt48qxvTbNaapOzKsh0Y
0xUzu7AG4KA7yMW8hHdQXwITriv5BSEj5kC1f9JiGygS5uQdpt0LwPmrKgwvldk+c2zwl/MsxSBd
BcMucihI3nWxISZrMBzOTgsNgt2i8ULLpE1KrDxZ1++aOm8KNPKt2a3bxqbdG9eFK6SOiqu66Cz7
dozxYuaGQUhKblCSJmr2kGrBhFN3eE/a/hCN8l3WF6RAlGeR0w4rKllwSaqnxs27EeIo65XqFI2I
FpL5NlVUjDtDescOvG6hVjVSgOdYdh4ls7kf6/Eg8ohWep9bEKNtt1OigwqjNRqNc0LdDzrddzfQ
px3xtDTSlaCe9K1JQ/puyCQBVFoqlI00k2Rvj/Y6k+OdaqQJbYF8ZooSfYWvSKrAUI54/JRnZ57P
lQbXL8cFuugYAcaGnn2g1e9WN6Su06H+iS22y2ks6DTE92WiXpS5eqWnhSCcS8d6074atup1GPss
aTpvzXE3q+xfDbbIVWEUt+Mk3YEoITuL7pYoNI+OGkKeSZwPqTm72Lyu54IgnKxP+sumA3VmwDff
6oUMyiYYSAjKFW2IfqE7Un88wDJ0t5AiM6U2QRwzblrOSN+fl9uaJunkaM65cp2vHozNcAFncoUf
9Pnmqj2W+3hdut02PjN8XNPbchPtjXCbHCP/41z3n2pD4Tz4zwfcXV69NfFz9tcj7vJz3464Ch3z
JWoFsumHOIOh47cjrmJ+UWSA1lS7PEd+YC3QgYelINPd5gd/TDdVv5gwrW1SvWiDI+v6V6wFbAc/
HHFxpZG1gLEfoJiKr5IUsR/vISuqm2KU6uk4alWlLJuxbR0riwysdxmjv0EvsZM72lcaDLZ5i/k9
FQX94IQS3dTTq2BBvtuAU7eNMljTQuZ/DWUwLqUTPBO4dZ0GaX4xpYQu1bOpbjRDCWnoytyfpvke
VTYtJVy7lHsEYwK80tZWGzfrzhTWCqaQcTZDJ9lJRdbRz4YMNrkj3iM3ScLmVMkKkDqAP9Dq0gMw
0sJrKzFtGoN2bVfjJcsIs3LJzoK/ByvypA/TPjXiM7vsggMO65TTgQNHBV0KjxTVJNozBWA9OlaE
VYw+U00T01VSq+LpTcuntjFUybr0mNGeqMyx2FtRf6OYuImDHCoO9J3KDdnyT01ivoqCTlZdWopf
Gsn7nCRPIHYA4eqDkuM5s4KzSk+mW8hSgVc3EZpBDTFClLx14aw+0tfFRAkHcjOYWe1ZbQbBF+FB
zcstnANEYGVtClna69UonxlACPyYXK1V2DChayzr0gaacE2rfyei6UaqjAIeQsGT3OacY4IIIwus
cG2KL3ZFxhQ8nRd4k0DeQo1wpkQc/aypiQzMWSF4Q1lLD10wKZ1P7OZEH3huGrM5j/juBhJh4+OE
UQ+YYqgE4PkSfpPj2g6Pocp2ahiPiC6MXdVN6o2El5pNfUjnfTMUznkMObhelbMNhsjhQwjOHYhE
EIFS531QnPRMBc6ItWy+1gcaUf+NAn8vz1nK/7x7Xcdvzd9yYvipb3uXKhMiSI/MoTznQOKwrX3b
u9CjgX1FbYZBRVc/4pf/FJ1ZBMlQMBu4xQHG8Au/E505CgqxxXOtftT7/2IQCI/m095F6a8u3QO2
MIAxKC5+3LuAeuaRWsbyOWKQmITSeUF7PZXhV9mBDh/Eq8YszmIbwHEsHPVMVPx5o1rnJvlbfV1t
YENcZX3/1LazK0/S6Ldp9FA0hl+TSQJenSMtPf7WekQPB5ViQSVaLALDgujacgxUw/62GosbpFz1
qneY7Ne10hG4Wz0GCZEihnowSOulvnqeIzpayfyg6rCg87HbR5yDEb9blEXxtu0Z9CXF/MCJd0sI
HxAoUuFHK3pM8uKWhXHmJPUDzxnY4Yb6Lonivm76O/AJ8Dx62u+OtJmt+YL2ugXvo/IrJ+ld4QBv
jDsyAwKmW1YgCAagFJYmexWyEVi1tGla9FtTbt/VQgX52E3o2foUYGWgHxLA7GjZpS2h6wy28Iht
e+JASx0jDoGvojKvRNVfUX03t5kxPWcV00SzhooeyfcyLQNbBvVWyeMxTCtjJUKANEZSbDvUH6Sw
9Qddb3ems5yvA2M/KV/bongKg/52spkdTOBsVrMtwMdgcc5q7ZhZcOcsElocQ7k1Z6LihMwBWyLX
tWsRf01iMMngmbZJO/lYZdfVEBN9y2cWhpnuCU72GK7TpBuaUzdyKl0HyAL9jrS78dCV5FzPeiV3
u9K2w3VnccRX1C6hrC/lBipGrFPNEp/WOc/ZUAsOy4baeWYqj/lq1IgEd3O1xAifUd2HUV27le4c
874ms6XUXouoqRmGEVDCUDRiNwRhhlvXE3P7Ct9Fp99fvy/RSLhHUMQVNDstZYIUZABfmKvpAKH5
JEWkdXdqxe+AVFZK0UM26o+FPVLcjcM1+S0gy6Qq9vTa+Aq0712dxjeUPtNqsLK70NS5FTTtiIES
IWKrHppCitELdtpaN4aLUdUwSDvpVo+aRzs1uo0Gg3NtBPYjXG7mcrqJdtISX2ngiFWRQUud8g54
Z9wCQE2c8JiF0il8zAavCMN9MSZf9ZG0l5z7pQhpPs0Hsyj8pKwuBy2J1lE63lY6g1OzDP0swmBM
1iF1hHkfkNYM4y9Y2ViH4T5eMj53UQm2dF0ekRe1JCxIJXMza449fhVtOCv1JLBsgCOzlSRFSIUa
ILAkVAA7iwABkmG9S4m5pFlymhvyxYvq3XT0xs14psibekqb1/9Oxb9JTOiC/vNz5fDW/I2UWeFn
vj1VFIsTrElQnGkBUMTJ8t1TRf5ClKzCgZSiRgNE9mfTF4Xeh+YD9wuDG2tpFX97quiI94CRy+ST
UQ+BH/s3UuYPn9OfUwGKKofxk4LABKAZXPHPPgFLqUJZiWY4B+Rer1IiGegtwWXyrFp3fGuwn9sg
FJu6IktdmeZEl/Z5a/dQbK1YTR5jFdrteRSUfb1Du1rlTDETIa+JiOiti4pJurjAhnCqtDS+AU8J
ZT/SZgvO/9xyZIuSJy0z0AkWUwgPJkASGDJuA1FULCpCVZ+jTfchiKoX+MVOD6ScxAels7L2EWxY
wsR1JE4A0qXWm23cblTC1JQ94WhzeR3OHO0QgQQJ03BCRH1HC1E6WyA1x6EzvaYUiS+lU70WdaD4
FLfKWoz17Mup2dzNpCwp4Hgmc15rbU8PalKdeVxnPaxNaoZAQoerVxJo4Go2j/3URqVXqaV5HdMo
IavEqnhAIxX3lSpKu2vMP+Sa8GjNzkfanKpfW/z3FLblwyx0h5KfzIekoT4vrR0ccE1e/7dEf1ui
rKmfLNG4CNu/qVr5oT/WqPNlmcuwFhUTuPWnNcqZTzYZ3JgIZb+by5hf8EdzuENKiz96WYd/LNFF
X8uqtVSqYJoWLOx/cfD7QM/8uEQpjkklcChOTMZDbC7f9z2UQOvIrLWMUzRLWnML/z7LIW1OueJF
kdQTuYRIPj62dqo9VOi0MAWI7FKWNNcBrp0DBR672O0sOeBxa5ttvcvLBleSNRBn0xstC6ptg73Q
MhGhryjn9LKE8E8H6orok6dRAI/jZHyazKL29CUWgHQ3EO119AJUwmTeQ3gAtX20mmTJHckVQFCV
cj5IJ0+QORApwQOSUFIISjkBsJx9pBOkWQmObIksGIwGYLkX8VtNtyQRrzjq0kSCPAE7MYgzkmky
sZY7AqmDYqheIOk8hUNiup2ZB65SFZt2RCdU5sm2TqQtDcFuNTbFi6zRDs7AOIGcyW/jUHpVj6Tg
HUudeB78hYiUZuQeWXCj1PZlDs7EmQY/mS+VzrwVQ3vPgXmtg8J2fqPL/NdBWtyJ/7wQz57Tt79Z
h/zMt3WoLgNScjV1xabOkbXvKzDtC+uSBUUeukyrhb/6swIj5lOVKY74S4ag/MJvz0r7C+GSdH2w
kbJyltyOf7EQGcd+rsCWPYAqzyZrVyYB9tMInb4Ju3JdMEIbsvAghXkdXI9jWuAbV+PUF7oOIski
FQkSh0fkTLbTG4RrC5JumwZo7fJJZcAvZLowSWbLm7GfEhCFBvpDgNK2gRBRJDHHdvCKkpMYR2s5
+I+ZvDHzkGYHwQnObL8ZCUScYSK9Iwj0GbMKmYTFKA5JkW0km6Esj+b+qhta2g6j+ZSNTrFqkwiI
IwDnTC63M4IroYZXtVL0nmxOs9eqqMOKvNl2s3JyWueNMI/LWLPPodTt0K9cxxDbpLJ9kEK7OhRB
eagjAtsjPd4B4XzIutC1peg6V43bMLbHFc03qHCpVl0rbfiICHun2dU6kYNHuPPPQLIU2MM1tIJu
EGS0x7xm3VrO64PbNLCfrdI51BqSu7RRMfdkpxrWMnDr8Fjn+nMTdecdYVrdgjxxyCmdS0ERFVT7
3EotNy+7reHYnoywggodr89ckIwGrNmqNMXTrGk/B9KD3USXk9ADlxncrg8LwMdWO7MLsA3aSyaA
EoDHEeUW4f1jygkFeTkkL62ZN+GUkZteRa9tDjRpqhTDK5TJJ3huj61Y83NbPRUV9Y/oMtgHTXNX
BZG+1pr33pzkrZmazprGEc04w/Q4N75LY0sZ7DjnddbXK4iARIdb9Y3NiONMcrItYXGXGXnnztAM
tNQoVbvKco2wgKUlh9PTVMx7O9S/WojyF2qhQ0jc/Khz9icU5WmU58saSRUNpUdRwclvuujdynUI
PyIlxKlNTrk1bdN2pGWgK5i6e/E22kzoAFDSm6rCTaL2r1PUYBcwtI01pK8Tx8oSmDpofTU225cB
8ckZtgt6ZfliG+oQGmeeWMxEvH8CQqbFYRQYMW6jAdsccAvbIiokZzfwaPcjH6wDfjhdPvEZh9Mq
DshxLrp440jQ4gkOhQrJYyTaToN8PrMYLic7sfxUssVlhXZwxaNqr2mJxmiMYNB6qXHjSjpPwlBb
WaNcrjXutlVj1BDIUmWS17oWjzu0lMYKjGG8t+1x5sxriDVc+w5xMtEf8jBs4Cq+2nJ4jj4BKZiq
HLW+LqAyOZcYAUOvzZJTbTKrU5V73CvTdaNI6WOhJJDVazKhNLp4StBUa7vjhmxMLQUhDrOD0dCK
ykxDfMyatZnr+rkKD9YqSKVXBDC6XNfXYwjYg0HNMVUJeXBQgfa0T4E+Io9k6v3S9JKvEP2yIk91
V5i9xtDR3ks0rPZKmNmALhNlIbw3Typn+hXBO2LdhwOzyeVBWUQW+P+8qTbA7UiO6WaYWor6kOR5
sHFa/l/RCNsvZmCkaQqVrcwRGLRSInNerktIn8v3G5gw5Rhe1wyxMyFO8TLVFnO/TxhzR4J3LUu4
jxmAKwzC42UiXn7MxhmSL+Yld1zm5prd8w0xiaoYqZNYNG1yhuyREcOsTMgCIT/lYC+TeFpbfsxo
Hmq83zOqn5eZfZY1yMfJuS8Y57fLXH/q88glccEPqmprMvoPFw2AwcPDq6SMBYs+QAXPmt/kH6qB
aLj4P/bOZDluZNuyv/Ks5rjm6AGzqjKrQPQNgz1FTWCUSKJz9D2+vhao1E2KqStVmr1BDXKSKSWT
BCMCcD9+zt5rZ7OOIDcINktnbUFAWiHOmwdKn3WP+KD1nZdhViOAGt03sz4hUIeNTfzHP6X6t1L9
lyKqY17/1//Jghf58rOC/Z2Saj5UUyGwn8KFpCTmS99btTjiXHxyNEtxdGCYeHeoNv6FmQK5JVIp
tvC5Gvh3oaC9nbdJ/zKJaCJD9W+lp1JwvFPazeUGPuS5frFtwIG2mL/+TtgXO4iU+syNL9p0NZk2
QMCNUT68K51+ouhECvqTqzDGwrFCS5qnmffg/VVKUps5OpvxRZPHkVzmjsjChYv/1vN1LVnFel1h
YtLUox04mdcSV+nJyT907KPXqG6uZER+ohlGx14IigBVMT3VaZF7qxH4owATvpbu2i48RZ27LVr1
KKb+qh61Uznlh6HSz7QK9iJGopV29CNjUbpre5Qowlr4gZHmPqsDQncrAdsZN4jH8I6+0nxE+5NZ
uIUrbKdk7vH9yJ/IjSHty9r3ygSgpx/sZaPUOKtdMGVka+bQmJuM4Zxm3PugVDe2NPXPWkrYmILc
cROJJASWSS9YriDKJhD4VLTDDqlYELYJt9mBJW4YsekQSsd65JklnwcXrhOGi0YvdOd+0koL14gm
N5UyWeZGzXt01l6hgpQvvdZMm9FfCEJxz06pKSd+PiKEtwYz4vNcyTYOy8YSEVpFZhD9k8p2oi3K
mWTfYk1zLrlerX9GymLXB23MuxwPnH5NArQ5XIYqtuwyGN2DW1n2HoNC8Mgo1Xjo7JB2jByZBTVZ
a+wcDIkVPONZveWEHeWJ6Gv3Ls/J1bZoRqwU4JJLrRhCgLuA/MoAGFunmR2wzNZeNbznR7Jq6qea
inEYSTMYBwcZTRntFJwCKxpYHOxAc1/jNtnHYpQrN1fda+x66oIVmciM0cXiWaTYKBNj2eUQJcro
AfFQd+Sj65ZWGU2rquFEWNNxonQdor1FTOzKZu/bACdUvcz1jYsauizU2LLeWHq37Q1EOuGg1Veg
TNWVo6SnKJMnwnOARlXRlZGbOydsIUlZcptH5KsGuris3f6mUe3uDrW884pFhyI3WVr9YL3mUUsr
tl4mfqneCoU0equBtp0nK1dJkRkhyxrYgmureK7r5gVO08sYj/ecH5eV3u0RkK1ZQOjRThtjEKfR
6egVN1v6cccJB0pQdV+E2VKLKmvZq9R1qPDa8SvebDLhv/qiVZe9JfXNYBMjmZjdo2lFX+RkGSur
Tuo9ZUiwUPrpqKUaOhftZBXtsm+Tx4KPr250NifHXvmdtSYedNuK6XHw61WQkt9bipIJR4CJp87E
LjZxlKsju5ptX/Iar82Wme0QTQFFJ7xvoxPRKTQQ18CRv2pkVp8gXB4CbeBmJkxLlgMsLN/mLkvH
g8tDJEBwaiBuBxK/nEI/GkP+gDzFS0z7ptWCq6wsjvhp0QC6x7TtrkKXkldDuccMaBUEw0IbmagA
iITXWeW5F1TiIlGSz3mifi6SdB/VySGXIPFb9Wrq1aUkrCiHSWwasVfKcjxMtr2FI0ZBRPRWCUq1
dc2lW1FeIclZjGiFnHwaYd1m2Z7wuOd0JEJeCTO5HAPyVM1BTzalW2x82IfX06iU61+vvD8REcDU
QUjt4P5jXsi/f1x5w1ElFdiSJJGUibbqpDtixxiTZUqs27FJSZy3O5K08jBFVDG9qEVZX5VlIm6d
yZGLfBiu2yo+isFfJq79IIZmU4bWa5bEwbIo8B4RXUzS9AgWZeKeln5EYpNZe9DtCXErcT3bTrMl
7uYLEYCtF8X1vYawYYUHgqRZgdhMoogqvXrYqQUTsgYupxpXG43MW6nlmzq1n0eZ3mCF27dEQU21
3Jct5v4iR+upuZumH0k3GaOtNoSmV5PUa/nEpIRGvAnY/Za1qK+NsVW9IrT2InR5rmmsYotTscdU
wx14eWPhWpxjtFE7G9GUeaVlIWWIklNXTBdhHe+S3tyYeHaQGZY7P0vg+jpEbqHwW2OPXZlBcZQB
qVt2pp0j2R9km27Z13DHFaTY5WO9zuPqjLLtGsMDtXTWyaXFgAcNFsLjqrqMdERq6cTJt6riO2M0
UBIM0ZNLtF7UcTMN3KAOJ7kkKefUMZq0MIgNlRHkuEx1gnpdY9uzDul1/py79lGUgvmUqzz7MIcX
hVYuqCiHRSJTdacU81rWHCPb+qQJuRaCWRa5SI9jqqkeA7oE73tw1idTXYIHmUMlY2dLcFl7n+s6
EuKorE6SaM3fOAxoQX4sRCzsS0i5ybGDhfehRIinqsfrnhIARgCAHu8roMO/fhgomd5d4Q1fbqo0
RBhvzN3QefDxvgjRLTQzjhsEF5JpmWKdozbaRsV11cfcCdKLrHLtxqtfX5Pezm+uOr/udwVWWyRN
YeiKchIjFERNo+vCH9gVPwUGtUdI/9FrHJMoCX3XtYSddgMcDpnB4RZalHtZNX3KFfsYNYbwcB8i
ye3VL05o2MtUxHeWk/ZLEJ4HWxqPlp8Me1Uig+duyvJVO9nZyikUwlIKvFF2No67drD1L3kWN2u6
MfoqiqKvknt1VQorXLICj8vGsYTXte4NmQcTJ9bkjiOYtksDDLZj88zpZsumdFtX1dqq+3qhmfFW
F6FCx4QKRfZMEsepFV5JCt2y6k0iHaPhWgsz5pFoQ0s9sBZkIh246V/LutcWdRHtKkPZ0t+4HSaM
eiLZmw1hSNVMDol8HV9+ExG21pq7ZIqRtBL0OvqMaaXAducnrLLioROkdURxShLKsMkqSOD+xB0s
QJIHqNDx2OcxwuRiip1lJf1TQaQBHJKtmqMTdILhhhENBRz6+7YhA1XXG+FNdrNhaosGqs2frKA8
VSK9KpkcYatHfqDuO5P8qM7Utzan5GWhqnfZGG4Hn/jCrmovCos9ksDVXVUZL04pWs+fsx1MYxMU
xtHuf8eNerNY/9l//+s9Phfi7+623qDE0IDYnOJjdhlcKOvyUN73G1D9W+vosPV4X5kQc9o+ZZ/7
34kef2w5fr/4LDyx0AwxqPvx4oyOnCwB6nIqluYiO2pesW7B1hyUB3stVuLurHjHh26Fr6F74h/y
YjyKxT5a+xezWPk3v82PB5tvv4yO9sREwccxyvygQBlFT7NGjcOLUFwCKlpE4qHqtr9+un9cs/56
DRq979/tqUpbJQxlyOb6ElRbd7z69c//6Wuwad7ajqFjifvwaaaDNdFNKtm8lcuSCXxlUnN+W6H+
afDraHL/c4OfTK7/WoNb/xrVX3+CtJm/+V2nn7M5H8Gbqvdtvv39AK/p6ESZlZOFNU++Z5/a906/
/S+A0qgl3T+/63unn4YAg4GZ1Y9wC2/g3zrA/3gPzkpjBKfwHd66/QJ1yY/3oMkS6MR+NZ2n5qF0
fOzEzW/2zfknvFtTTDhl/AxBZ0hzZ8vXhx1sKnyrGOhFn+tBIeJqbcpoUZvPOFnffQA/aRP8+Ep4
Qj9cZ34a3q1duULxWUWmejZREqnVsbeff32BN8vlr17JhxojUEvwV7Tzz9rA+dq4s93XXBkR5pBM
2K10jQ22eyzwSUSXTe4jrHqJw3UQXGr5VZPdBP0sXT1YZrBySIwKDDw1Nwjql4Ob/uatmDs/v3zP
ubHevxc6bpCmr+b3Ql/5E1rV4qGltiXm49yjnvN9Os7jq61wxuKP5FV6v36r3sZDH98qFTUzWBBB
JuVbWfPuw2A3Uxv8GOMZfgUgfhWE2jEx8KsxQDDKwoO9kbW72HH21VAvzLa/VmVvocBHHtoJZcI/
R5azVrSiI+R3DiDCvrSR6Sct1fe9L2r6zUqs3g16Gm/0xI0hGDq0eON4hXZ1V7TjQuvKtdqMy64Z
N+F07qxolQYQD5Gstta0qQb3MtUu/Sle++2n2pco/27rwDnpjaRyII+SHpNGAitGRc8mlWMkJTMx
b/OCPAQLW9KEBSwi+rJV26Mt0tUcQ1B+quN0MSo6eKXsoDbGVRyf4iHddJmW38F2WhQ6oRC5e9ug
zjVicxF3Q7Awo8BY0qNmOOCkxipP5GMD8z5NJzos5NEsk8D4Da/1A7LyLw++8eFxgVEEb22op7PY
6Ft/Nx2bB33j7KozuKgjgCSPMNKl65Fj5+2rfQq3cnhUdjSrN2JjnaJ1/Jsckvnh+XjHvF8mPpTX
Bi0zO51v2TzZkedGHFyFgXFdit8sR/Ot/6vrfFjwnCidZBhyHQgg8nZ4LgMvaj3GV5b/m4dgJu38
5VLvH4IP+zvcB1npbqSdQ92LL5Nh2Q4emqO+XjGzCs79717az1ZAdnm6gDNGx3Q/fKTg8gfbpho/
gxIk9vZLp1z++rGef8DH9+79BT68d2TQ2lkXaNqZ82ZLKEyvcPJOfvMB/e4iH1ZZd3CtaXS4iNsd
pnLfWLe4Tn/9On62Jb1/HR+Wx5G9uqrIpTnPWTKD7BfCuqaHjQHr22v5766OThHRNXX+2vzP+Sd/
zcl4jYKw+d8//rX+9vfgJZ85oz/8hQzaqBmvWpiT1y814TDfZ//z//n/+sU/yKW3YwG59Ok5xVQR
1U0VfW3YXl7errB7/l//45sGXeU9+8/l0enp+eVnGvT5u77XReqcVYq92lA1skepP/4cbCBPx7vC
aINbWSOyji/9WRfZjBpAkXISRyo0K9e/10XWv+xZ+cCtQZQDU4K/pYAw3sIl/rzZWSAdw7GhROE6
h8HgzL/E+z2UPKux1ho1OPtuSrefoO6mxmohye5mi3goyPIuBlSyE+ne9hzznaUIZfN2K8j/NuYg
8N41OTj2OGZseRiwzSwmN4aF1AmscMrVfJxdNHO0uJPKezGHjfuR665Qzn5V2wLSqANWuWVDVLtH
i6RylcRypMn4yoPws+XKpUJv9Z5Oh9hmNLeCtPc92ze7Jb92TvgShX+kIJJWtcdWEmJVzpHptU54
ek/q13po/Neur1+QJRJWjG5h5eQxphrS1/MkvCKKnpyS/l6Zsa3uHNSemzS8E7LbzTnEvZ1VuYUb
jujo8y8OSe/kKF6kCMwWVc9LbOc4+LpQLxXy4WMZnHLy4uM5OD6uTNinkXZpxvGlyPRhEUVyjhQk
cF7SfNmgHMSYXPdfST5H8Ku2EWF1jlxPoYmmSsS3HSn26KmI+RG4h2pd2kdITjc1mfdpql7VWV+t
Y2mkS8WdDqF092EzHIo8FJ5N2MfCaLpdoJIkFuTMYtE+5Yu8NUnCRvC8dEMx3dVJjk2WhEUgQHaM
/KHR9+hK47WbDM9KNxKb2IUqqdyCmXgaOxu9d5RVEehHq1R3peEUjGR9/2pUMqBJMJ7WY0CzwZUp
nBaFwPWszcKr3FI2+cwAimx6fOXnEXnlpg507E1FSO8+sIm2Low1QFI0p343kl+FJj4oAR/Zmb2g
bfi1cUPY4zZtbbCI6Upm9A6G1P8s7X5nBVVxAmxEUnYAYAaeI8Gg2bDEcLuKfLVZdZlV7zWtvKYv
jmUcCc0yHkxuyBYNnqgNfVtpY+oF7fSVvFB9UdQt3UvE44uYuG1YBbm9jWIN8vfonBBZuEtnsF6q
ogMY5KoXWQ8+QW+4lWl5D8ugi+S6CBjbqYp1k4X6585OiKyixbyoHVtum3oArxT0N8ro1zufprht
6NmiT5HzoROiPGo7bmPXxjOMaKU0pLGFavvoxtoXmsEbW8HJoQ31SUkpnwLFgZ/UZ8spLL+MrjHy
4dulvcxq17pCL9MYe3Vi5Ej/0qShP1RjutD7FzmGDwMmdKKsHPIa2xaGuj2sR73RL+0+feyzguwR
B5uoXzct3ZjxfmAcQeOYgTwZlIAvCY0nF2sk8DwHIdv2m14iPIxyNCEVkic1DKwDluNyUTohcXZm
djvl/rmyimM7uPWyzbPXqClvND3cZZpz6Bz8Yk18mKZwozFXCBXSOWM0PPkYBwtDMi1LK+Na5Fa3
VPm5a9zXB0dnKEavfAfsS1sxmnzs3WCL4/sgFPFqNfYa5MS8NFFv+um45yTzpM09MIwu5qIcmp7q
trP2pOyunSEY/NaL7aZ5yIKyy9dDWBgThLQqv9H7tr6n098zuNEIirVE3VVbzNDm5yDJzX1TFzK4
lIEMnF1TKsZnP7A0/xSbyMhSN2mWres/qAxuVuaACwKTmVz53C9bIyeVqY8RSfTcdyuzYCbCXfjY
Gi25v6mGwdjahvhFcLMhXuijIFu4uX/lYBweMggMgGUmD+napSSl6K7FsrlKi4jlKZEaupD4Najs
q8pCJKb05npE070Fvyc9ezYJuQ3jlu6+NEmD5yneOD46aZcswVJMl64RHdqEDKeiEE/wCAArZT08
1/Ra7VXpNY1fb0upRNxr/nlMhOaNDZhBBTANOZK9muyynD56rWdPdt6FnB3byiO75Rgl8RfN6VkN
hi+Dra2zciwwyxAlaxg8h7LD7qMkt2I4ZoxV02TrIDzKpg3N6I3SOedANaN1N8avlh4C1mmYN+jQ
vGS0UulnAbEDyonJBY1Q2t+kkz4QuszqV6VpsM7wdNNdBlMfaxEqcpTmo5Fu9E6oXtoTcK1Z5XUU
m+5SVvbRL8rLvBaRB0iWYTyKqzLULgxSa5dmoKzNqgKNZ2f3iZVjyi4vFMvPvFxYD7HTfY17K9z0
gzz0mK8XtKwPPog+syQdq4jOo4m9SGusfeH7qH/iYh0RQlnUzmcq32ijCw6JlpLj/EZJmME/9YjE
W2Qj4VxM7mw30dHqGC9W51brfmKx1Z3mEGO0XyCZs/gfhzWHxL3ROIQNRyFn4creQYxkfUarl3Qg
K5ToBg75U9mSRVvy36Bcd7lyn+h81AJ8d9XmDctNt07V4CV23a3JSTFX+KpfOK9NFz8XtXpItX8c
2X/Uk3Pq5H+uJ8+02oKXv1ah83f9u56EAk1Rj/aGXpv6RjD93mdDKIMJGwEJihiwQnPy7Pd6UkdC
Q/HpmORffisa/11P6oD0UaE7KHD1GWL0t6Tt6iySf3d4ooZE0UlRCsLaJaNefUMSvWuJgGAbox5l
+omdkSd+kgnCRda+gzKU4pDZNc+2Isb2sxGH+8gfH+mhEC9ix1/1jmEaS1Rvby0E8d2q1AmRFEVZ
gHyIgA3hscjvGdQzeMR3XhO3GLJsKHFkaQjIiI00mKy+wAj2ETBm5iwMQ1aZASfM8Htjzo7ictVI
BqK4qwz2jyp2rf04a1VcRCv1m3wliQqkLPGsahmq6lVh5gE4D8ULSM9uESKCIaBxZJiLLkbRY3ct
Z60MyBamVMhnZIuxGjlNbYrThLxG1Sdid10mncrRyOWO9MLdEPmTZ1qkN0+zRgf2RrvU4Ndhpyai
vVAuY1ICrwvfOTSzxsea1T4k27AI1LAANRgTq9HC2FcVSoxYoz0PTX1WEnimfWCwjRsQWPO8X4UB
fNyFtGiyeJE+Vq+J3twAgblBiQIbppNNdqmUyXTSjWSd4icNCiv8ROnq2Q2aI/LrT50hAbTkSEtr
WLVaYQckejp4RdulO+rpjWKZ/bpwkB3aRNUuOW5usnJWF0kL7DVMMn+yraWmZuG5C3qfSWJMMLlZ
r5tBya+tHq2vNWdgjiTJuiRjF5rqRZFyomLBNq5iGG8L464G7WLjKl0QaOysBXm6VI4pHkwaR1Nh
F4+m384Z5YpLcmJGUKtXk2+9efcoXn47Ev2CuAeuYJ67mhbQAhp9TPd+PCgxtusFUd7xhUbg7hpr
hfbEoM/x+jGhhfZ2rf/uA/XmJZ8DOOofD9D/X5+nWZP+8/p3egKH+9flb57ffV/+3gwFs2eaYdVf
iWtvyHqL1UedTT9/Ln/Ov1gxmSYYeG7+sCF8P07b/5pJzAYCQgbexFGrf8dQgDvgw/LHL0aQBEMA
zEcgMT72G7GV44FVxHTW0/C+1DnvSSbZc7Qv4+UpXTultVHZRM1RYYbt3sO2RJHcskalrnUbO8ZJ
z5sdVKMVnE5aoradIqOOEN/cydyFr6+Jq0DJql1DIYh3lRj7LxraVW2RqTOhhUhWaC3mG7hlRrjU
M8wlnbEuYga8kOx908/IF6cbz64JfJ8c0WURTgm1cH47wokBzHmncyRciBkhIyrOVzBlwsjZq4CN
R1gz1QRtbIbPBLG4LqDRUBbda10NnqahsvAh1nRFBZnZz17HGWYTQrXxDXTV2gy6MbXh3EC+KSWH
JfMNhgMVp5zxOI1A4eRCzQkE+BxOsuoa5pINDV6Bt9MPueKh4D6orX3WIfK0kHmm1vbwO9oo0IH2
qFp3qLriIZxpPoYN61nqV0ler4gjvU8iYO8VBKCm6tfdjARS/Z5aOX/VhMokOrp22/lErqfHIkh3
ajreJ9CFlLx7FRVHcqGMpA7rAJqmCHmyoiTNQpfJtqxZYPXQ8hS4ZktfY4BtMuU9a2MxehPiRa9r
CAUP895r5miVPEaTl2LYX5G7PLFBFapnCftrOOI61jEdNH4sFvWAsM7RqNj0bdtWZ1+Cu9CRHpBu
UJXFAsllm+L+hpC8MGW605vKq2vz1AxwQ/Rc07ww69aG8L8kgFATyVjKaDn4ZsNTYNF65mfOdDq0
WjO5OUQ+HurKk6hY50n4pbZM0B5hGwF94pxQ5XYrR9TtmtGQdZS9Dnw4q27CGuWf1qTIwLUA8aHt
xsupardhN0wQhKVBGW4vHboVG6Q8DUn0pXXRolO1FWNH8vY9+t2taLX7vmsAh4W1WDa1pjLq1uJj
kYFtCViOV6GJnxzWn7LAlW14WND9zaiq4qIYdO0KVjbn86TbuAbDiT7Yp0ntE3KjPTH1NjEcjNEZ
nkOP8d5Yj066bpu6R2MXSc/ssy9jTZ5zF33KAwJ0wC2tgpDPM5ajPDNSXETMNd4tar/fSd5GeIxT
GFXjKMQU/KHlVugDeTmKq55lepcYz6a5/K1O6CfdZZduI94rzAvA4Gltvu/qjUUw1NRFxjmpv7TJ
5VjcZu630co/e9Q8xfv1HlXk9dNft6n5+75vU3R99dm/NpfVtmHNe9H3Kp2uL7BW/dv2RUHx5y7F
MFygtrC/x7hwX/y5S1G1s6UhCzeAhtCl/d76/uN+o2v+i9y0+eP/0PRly6NON3Sk9dwhP94ecaUk
mj1p4TkVmDxOoUZY0aCK0NmZVZYFlzll+H5qS+uzFRo9mg0lw9nUD0r/WE12fQ8CMr9x3cgEFai3
fb7WM7t5qPVWpX9CE3ZlhTG+mki5B8qAKjuYDE9qWuJpg3XpEL7RBuq57eDVyvGJtOAnDfYgT9q1
VTvpisiOjSbTiAWUvqWaWKuhIypAqfaIjyAh1biGOAbUXiDGp6SsUEv12JjQstaojeDmjagyPWzy
a5l1RNJnNsnqLdHsQVURpQo3PbWujc68TiNLXSY64kmfSG6nCpZux76UlTeFrn0OnVhf5D57RZZR
tQbaNG2cyE09pN4IKA3zOrbsY+fUTGsBMVmZPEJEP7RhQrvM15ylUdsQiaoAR1QPR66YkuuuLO5K
YypOetXliymjWVHNxrSKPIEFoVV4mSS2sUZH7z1kgTzCqMWcW3zCoQ7EUxVkyYvqBejoiHNokCun
brdkkm4E03WVLlNh2zGNHNeD4z6AhNLWHOHxe8W8B1jiey/oHHMbZfzJ6AbocG5+n4XJM+2EKwfy
h1PIr2oS3lo5xNOmiY2jD5QUz9VVVMy5ZqYdevge/UUApSmYPbe5NK5Dy7o1KphMSMWegVoeJpTw
xeigRBYOnZvMthd0S+NFHgyHjEl5I3pMb3m2kZGCwNhoJzB78C7KDHRpjfATZsuajtPKKpqbzOSM
oMAqXYTCWRul3V20czObrFKG4ZWxaxIrvUexPiyrpL2aOvYyUw8vMlAwi1IR9OXH9q4a4y9+1yPx
Cqt2AZFnbVfOAxjeT7bP2ZKCRKYcLIb51xDdNZSZdelPZwmhlSb+2vUvuVnzC6Nrj9JNLqfR+hxZ
9E8zqOrraohowtLm47w6HhqL204142Ou5Wx+Fb+44jwoNpMEYisiT40H31OqmbqfXJhFetbd6kCY
x2VX08ttZkNgYBtrRS8/Ey0GLlO7SxsOYlZu74vOOnPC1tn/KU1cVMldSfHo17c4575YynCqrPZF
89PburFBNFrHuEvUnQht7NXSrT0z53Pw4/RZqj2P2BRgNx8kBqrMOvPirUXTh5/KCgerKtKz5quX
KPHWsGG/KIrvObkrFpzFsATCtJzZ2rSmKDvTJnsILdRXbJsaB/xMHhR46J4ZQvf38f96dpo+9Ugy
Vs0or9Ta/ySVfPR0VJXIO42t60xHmTWnVk3oRhuPvZU+UU3u4SB5Tq9dxWBhpO/uwqI511JsDN3Y
6gUENNgqp5bafpEZTrbmMLY0tDnkScWPaoZ7t230Q6RW2RUzXL/eD506a86zDvCnPhGLVGICiJ2H
Ns3QRuSpSusTAfa6lKLZ0LJHZJzlYCAGQ7scRmOP1Ey9CHmwPD5zE4w4lYnZMe+m1zw8TGUWXBMc
Jw8xsodNw1uw6qUit6B/AWXiPdERYPiBWHRWE24bRVfiBaJPdBeFgBoZo1P55yj5ZjybYda/2KbR
cH/9yR7NN73bo2dKissWbQpwLnzp33s0YUAmuGybFtYfJIg/OmnEBFFYIbw2aabREmD7/mOP5ivs
0WjTCTcW2An+3klytr//uEUbuGTpz6hA8RkPv5nF3vfR8pLGbRiHl2Ubm8TbJD2NXdM+q1oUsqAE
ykwrgbLQQwgiYEG4jBptw1+OaG6h/IpUbW56Sw3c196pt5WS6f4Tbo0Y6DNcP+UA/gJEhBrGI4QW
tLDBJTzRKOXuN8JZWdZqA7LUyZxk5BGh42PfYBZH6Ew3WoyBeKrAvdKQaW2CaKuoDLc2ExJiymJz
RgrjgtqWQeXGWNBrRMllL6tzwBAH0Jg+9vYqgK7FuMuxGNM1rfJiUnp/q7P/qVA1mq6/uvWzn2g1
5+/5951P00PXbGQfGo2PN9DJ9zufwhUaqzmr2SxEl7Nc4XsPmWDCufHMM4FigF4KipU/y9OZEeq4
SBL+vlYT/sPHex8+KMx8phcc7jGKz19/d+/XE6fc1myti0DPpiPBc6LAw+uEpbFUBjLVpsXktwyW
FDrCcuk0vp2fRpEyPaPFSx+2MYU8OW0k0gbGHdcI5hajYqzAOxuxuwpws2XEvPSmHBZ9E7fBQ98y
S11OIiDyCdq64ha72qiIYnE70xrQMNrMl0IlD9a2WSleO2QPnPMxpzA8buYCs667ZlF2WEqYfaaL
NlBqFHfiNs60U5VZuBhTzG6juOY0ymxUJZAq9wum9ekhK/2j2g/3IxJ/rJMUV0WRbtpiR0HiA3TG
CR5ZceQlNtGAcrAZWToc+lt/wiYzkK1qu5eqgBIoccUrbQ3qDBP6AsV0wckS7WE2PmtDMyyjtvvU
DCZn+0CCDxXmkvbTJdzncd1bHQ4Z+rog9cvG0+1pWCYNicoYMgjZMysCHIW2wiI3LjF6ofpwumfF
GA6M/2jEVH7lpb76PAykAEGgWWMe3UYmSUAAPI+xQ0zrjEzARwpPquyPdZu0Xhd1Gp1q/UahGCvt
lgTtxPdSwloZIPvFzoA2vxiM/CLW8uuy7D3fLg4RzauQyBAA+ABVbYL2WvnFGAsq57BbNjo7q0wg
0pCaCvdzb/jpqiocxmE+XSs60rTNZZ6sHdr+FFjkLimUb4mssG9hZ1SD4KGl3PeS3GUEN+oRWLYA
kiFOJgPKtlo2+67tgOqJ6iHIscFPiXkYR/WmCYYV0YYdNkQYU1l8HWTdMTL1ZWJH7cKypohx74gy
kt7Ftkr80BNIM4WZ2yun1F9yqdZblYMnvbv8wlShoYak6mR6ckdP+j6NS0IPyrMSFoVHrQ42UbK2
OjJGAJLe97YDuI8hotAfRdHmS5vio+vlzZCYO0bZzCv8EC+9g/trrGOEDEILD1jTQGe4k9iGff+Q
sR8uY615GPz+XjXqW6OmkRRU0yYL3XNcm6QGOQvDbJjYIuxFfNJ7rZ1Alk1UvMoMRPWmvfFjWol5
rLa4doNdUBsBAcHw6yySsJzgc2lyuhkiGCluHJVgLQzVM0R710XoadQEv21uhXtFyffCdp8yzmQL
EZSap+XqDY6ldVQZt0UtNoqeX/Yi6hdDpN8Y6JqWDqF17DsA/ELjFNmF4gEoWw+RfABDkm1geTyl
wTRsoX5s244UNCV0XC9TqBf1VObrpskeY2YXvD94gOUwOQdXEH1MdM0mEFM1R4Cu055hta/R1prD
OxaW0q9lPZ5V1XipSH9Z5FV5wQnsLod7safXSWieOrwkkXsdG5G9sKASL1QJvbCexte+48DUdTgc
/UAzPHznnBHr2cJpY2vyZXuDU4lbh0kgbAsF8U4RjV455qZHrvSWOIAnK2zIM4dKuBoslyq4PKmK
8ZI0A53eQQKQn7UPJiIIHBKvFaKIII+2hG48Zm9qCWQT9qyfKBBSiFlR4QwKsqqW0/GgGbugYexF
VujcVo1PKpIMci83IxINXPJXcQWCWMa7EAmHH5avzazpQJF0HBF5WEpxW8yqD32kghazEsSdNSHV
rA7pkInYs14kRjiSzQoSu0dLImnambO6pJ91JlHX37uz8qTNFZ7pWY0CQeRxmPUpA0KVZFaspI6e
0y/WEBGN4YPWv/SzugX6TrTKRuMQWunjMPKOqm57I/tGw4Cb37+RJ/SalrVhvoQBMpAxYSg+6eZO
1PlXxpqfp0q8dio3A4ei26LiA8MzRKqfbGC/BRl63dS+7NCpwZ9Q0Tv0Cl747sJUkmteKr7f8DxB
+libxmyf6hCgT2i3bOraZeiIHSm0Ed1xZ9gZvXmjFf6n0MZzWcno5f+ydx5bblvr1n2Xvw8PhI3U
+DskwRwqpw5GlVSFjI2cnv5OyJaOpCvrDN+2e7blEoskgP2FtebK+rpfkMNA/9hP+ZxudW/k+CMt
e5gYwHzJuf23QfizQaA2/22V1LzjAf9Fj8DPfa2UGNax43Ftw2WjTaFEEfW1UoIgDFgCyLllWSZ5
ehTwXysl6w9XQ0hhk2X/fYdgmDNFzsWqNI/wvrDnfpra/W6KBwvr5zIJncYMXneMmbFF6/FjmZQV
BBKPmmOdM2Pq1sAWxUqq9rMN5Eza7SPSkvtkuvZBoCHu8HSQaG0T3PszI22cJzcF2LQSfBojAlBq
Rp/cZzNbTZspayO4NasBZ8M8fVcAYlMDYp05WtamVsFXmmltbE1elJnfps0kN2NmuvGY89EvxsiU
AAT5QbXP+5DICyN8zEx5zEf3eVIatrdOteyj8nWMk2s3NF4rS3saulFfWs1wQlcilyPJ5quijA9t
y4bMzGT3OKrOS4Ry5pDDcfK0HtCSWsT35NW9qKM97UQW7PwaX7PlTNup1F+6Oju7JG6Oln3rVptk
Ur3SlRXJwP19G0bPTqRse1U+1pUS7G24tG4NBTfvCHDGqp2O52GMzvNsqhyrWbUafpZMH6gekbRZ
/dmdxzAy0ndCrmNW4OEoITnczgZIe100yXOphzz8ingDoJm5itatUkF+TEMW0zKJdefeF/5CmnW9
7Sw3X/q9sYl95Whlst/KhuhMP2q9XqIFqK0jAq5pLVCjznHy25KY3EoBXd/oNeOlSt1U1kTWXNde
jY67JfPJWqh+l2/C3Hhvokjs05zXSxEemgEMLbt6U6cxwvltHUPyOWUdvw6W786ayCMu7gtRe+es
ECsrNqlUiYDsAxDQ+Gltc0IjLAbYGiqiQjQYjEgmOSytvgOjk2DLTm34+fCWMlg9MJXHiGSVJkNP
1tivZqHskIY2a8jGhCExFdH18bq3rXppa4xVSwMOFdlQAglErlEzh3xzSmHcm0izSoI4PTxYzrFU
tF3qyFMRk7qZDQ9hXb/hVWWt04/+arIsjkvApcuxojCBmbzrxoa0SkAibUT7POFWW0Zhdu2j/lwm
3bClX5brioZjwWSvJ4FxZ+gR8by288H3cZBFcRFEaCXMpk0tVZcZ9RR2YX0xpsYtuVIvUFYOjdaf
5ERnMjX5Ht3kUQURp2cwJFK12Dmd8xaTte2GAdpfPUWSW9/1dXRbtMp9JK2dmst9iweWZIFdAp2K
MdpLXqf3VlLyoU79URjVwWjlqe1YPRbJcI1MZjP40VG0Fvq4flu4cqdVHDyjoP0O9+hBCpp041Dg
uO9r9UoNRbpGN0HN0Tz1NjVLLSbKKjD3LbT/cbL3lavfmFFxSKJuK5Kx5R1mmJg6jP9qdQoK+5IX
3ac6gvflBPptLetHjsQDEptTGwqSjcabXE0Z/XLTJ2m4ZpT7GCT2xgzkNrMiZ4cSdGN1JMNEdnMy
cneOizKuRRzs6DKvM6VjuqyWy7CtdiDIntQBB7CjpoQK6e1NH5rHtmLVCFUixP6RPTGK2NotZ/XY
rODG0pw5+clIrZfJcTe90nuNS5kWdc85i0l0OR9THUBUj+g9mEJGNMG0dpOSZzck+45LYr1Tfe1I
QpvGwTD2yI3hn1jpgcioIyPeHTxM8pw090Bs8kV06cEPxn4Ry+AEdTzzIjd/66IGG3GVnkmp3ZTS
PVewIBhjDshsVM3DvvcQ4acaAMIYicIaOr6d5q+QrdFbAVtM1gFiyf6gBcrjoHYXYiDPKs6a0Joz
Ssf+VVdog6IigDBXUoHDPV9UmrnO2yDalE72UoDJHl3a3yaqtomMN0TB9ava0h5s8tBLInLCELly
rVx37ECWurgjKxeb+/QWp/btZDbBMTfLYqcG/k2R5SdlFhT4JKiJyXzRCmtD4P1CGEzT4wYESl8N
+jahpdX14D2hQmRWJNXDaI9H9l36WtMKc61GxsYuYXBxURRsgqjtrUDd1hm+tD66LWn1xza486t6
myu0tkPvPOR9tOE930Hne2zKsNsN4ipJklWsdks9tkYeK8PGFPLSN8FdpE71yrG6rYIjv5lwedUW
CRTatgpcPhq8UGSFLMJuvO5a/RZcKVlWGgRUp+qTRaeBnDOsU51y3ntpreip1/Zl9GBmUcPD37IP
eo6pMHPSbh2WJFSVk00j3nF3MqMg3WthVbylcSy2FIwbO8jdK3YSziJrutwjFQl4RkeGc9CxHOgI
Ou9QAAsrj9ecMCa9GRzDQk+XA9stE9yhHyKsHVI28bJzu32cwmkvlfEjr+qdyV28SEY4CEZcaQsr
QjJhpuljJwOdjt2qkEsxDNfC2lYWWWxhxc+CY681xSVH+PwUazbrHXOqlDlZy7yue2CDqTNBrutT
gVWjQ0brFf2UrpCoHXuj2kPYuNIdgtGG2LP16QFS5k1Qkvdc6qz9jXypp8Decq188nszXtpB71Va
jYk9GTatYOxvNM1bB9VfS5xn4Runrh85ZKIVyJl145sL8B53BZwN4InhK0/WB2ivW78PL6pJ7lls
HJA5IxcLI48LiahhBTbuZB7sKDsBzjKokDP8FwnUu4wWnSOa2aSzsir/EjPoSBN509RIyJjX7wgi
PppDtNUq4D5Jsctc3P5STSBJoyohpfba7bPbBlFOJ0fgIXl+By4+ZzSRHGg6d6qqnEAPLymFNvpQ
7hrfhTod7gK7POCheLSEcUhzErINTlrDgU5UfKIx9uIkuB58KoXRLLzJD72Kbtgsm3eiEY+EgC1r
LroB+lTrpp8wAaErdPOdVKObSoc8rUdLVzDfMjIE4YN6WycK26JcUUg2Y9mBNg88yNrvWGPOApLW
RWYXa9us1Z86hwVsrA1rE96lwS6C0qJcQGQqebonT4SOLdFUY9qrdM9NGPy2QQoEJX5wXX9jONOV
2sHtShrtbuy1tREXjxLPNp0z6BOliz77leyII+9brwmNc2+qZz8wgFSSEhjFhSd8exO70Q59notV
GGZZMr0Xo3luCo133KfN0dK5WALZm0yWmHCh7NQ8f7Sci9TkPhfME1JmxWGjXqdCOaYN+hIlMNZ1
DXDSN0P2qLWabcPRejb7eLx1edKsEL0ch8FpUZXKxwEqeaFYz7oe++siKp9UsBRY4tp1UncE6tW8
a8fXtu786ClnmqN0w21QpTFqnuRU+LNTRZkuil4dCi0oV7pVD6uyyugUh5oSsWTzxL+NQJK1rrwN
oqHYpBNJOTac07Fp4UzNp7YpngaNGy1WYWFgz00X5IedtSQ6sw1ciliEOzuc6iNQz1l8YjzqeAr2
feVfu3X6TDaH2M63O5At9Og5p3lSdcazE7InLcQ1c8To6BoEZ2jFLijUOx27wCRNlQiRlkGGXKlZ
ciwDddPaAhyimX20jkx5lus0s85d0hC7RYefMA7siEjwMIc9jVp54w4AMvPCPsdaAFo0XhNnMcKo
jR/K1H0Wg3EDwU8eTCPOMR1YSGoa8UzC9A7hqrJE8cQMpuMvVkptLbWITXUuum2csi2s84LTMRCZ
atwOWqzTRlQV01owaUJnFGdYiqdriGbj5Xcd31/CiN9KOlHquRYQDs5410Bi9WMDpUeqOuh6Hl3i
Aj1VfqqnYeGK29+/yKzm+Y/WAvzFlxeB7Ybehyian4fZiQ9Zj2zs6KKOOyU/qaRnKOKu6e9+/zJ0
ov/7ZWxWWQAY5oHXT6IiX1VdugCVwl3/6OW9Yuz/8d/P5B8tEZIiPq6fP6saar6UVpZe8p4Lbev4
KGS+dd+/+C5+8fsjaNf5hPigwJH8JEkJ7HlAa5bZxaHvMK/Mv+RKfyt6QTL/28/np+8aYJrG+J7P
B6+Hki0TdvY2ZvTF8J7Gq9+/lV+8FJQLoDWOIOeMPIYfL6vUYV5IWkFyUeMtIjtycwsGqWLJMYxf
6/evNf/aP11dP3wtzC6+X5WoWpR1NomzlwL6OWEl9F3Nimfq2K1//0K/elPff/8/vancjl3ZOn++
EFNxJM9DuOYcmY/i4r9ca/Mv/fObYvGJzYXTEWss6qnv35RhghHg4M0vtbH209duIMTl0+/fzq8u
t+9e4ufLbSL+SAamml9y5zX2n4Xyf7icZ/0vq2K0yOaX2c13K6y4TM1GKHp+iXkCMsBNx//Dw4sN
mWpht+C2gSX044eUKzn1vaXJy2S/9va5nTc+zX95dv3qS+ciZtlNULXQ5hnX918Enkvw+s6UXSoK
v3E5b1zM665iEr1im/L7b+QXr+XAetd1DVaLxvzpx9cKfYchW2zmJLJRk3hAvUIofCUz9Y1+8+Wl
/l0MG9wp3x66syn+L0P77BL4//9vpvmcXpv3X2yH5x/8NvPU/yC4UdDm2Ojlv9iIvs089T9MHUWC
icqBy0LlO/o687T/4NDRUb/PMJRZG/H9dhj8D5cqXLl/vh3+8cb9AvRABelgcpo3w4wYf7xM6rYn
a8wiuVSVV1UgvDG2/8vje366fPf0QZ6LLpeRLt58W0cSPF+o3926BDcmRmu37aUW8T6yHxQVpfx1
Lbaaf9V351rzvvsSrv78m7+vQr7s23/7ivNv9N0rzq1wNGlpSx3SYqwdgwZ6bi1J/pKBrK/7Sjr7
riGl3EpMf1FbxGUTcVP6g296TdbYXhzk1ssAmGiHIXKGsDK402oJh9wJj6ZMHxCSJ8uiUj93SvLh
DsoTg5MryQIeLL+A7BdUI/kjqbkw9NDxqpQlOGK4gPmPtalHkiOJRTHwB0Vy45NDu4yGiB6/apGh
TSoFuB7dKj3rqza6cbrugNgGeV7UHZXS51uKaZt9ByBu36zECNvP6q99xsXELRtbwL5XXchu1rF2
OSt1cPHBAavDnA9+XymkbXb5SzfNW59w29lTTVhQvQH0txGFsw/hDy9CS/b0fVW9wUx9kkhSbm3C
cGcU2FjntxIY59YCxxPT7W9LRqjN9fSFz9Nm1SAvKdiZRtXsM6llZDXXzURTapRvaBePCBFPTICO
hR3thqTH1eYz1EnO42Q9ailB1aUy28cMY13p0SeERp+RtZleb4rTUIi9z061S4pjg9GAQfaOhfKV
CoQ498tVNIzHfhyOrVPJVTMB4A3M/lB36mPZ6p4QpElm+XSPRiEgG3BMzlGbX+VJs6FlPydTslcl
LNABeh6NGfrXcnBYy3aJuhA8P8k1v2cuRHyYogZrPSvaXdv2zSb1YfI6UTkeUTOaa7LQDmn22VX6
iwidm7plnKCFKcPssFpD0Nz7aXTV5spt3+XrENE6tFNUpxEA+6z5THooXHsrvtZp9902ayG6aozp
ZujPeI06MFzUiImsXmz6qluThr5qLCYimopzXJI5LK4yn6i5fmAi1aRJdzOM4Y3la7uqb9GiOk+I
kpYDkgtGAwp4maj6yA2kezTcBjGu0wTQiIKVoUL3ruIMyRmilUKjZbNdBq8sKQwDEanS46IOrsKo
Owk4jKWZbQbV9KBFLNvBP9S13FY0g/XUzDOxMyX9Su+VHQ8KAgmChtG/Wi8MgvpK13gQWH517pBl
OXtgcjMlZgElya5Kc/pKRovGqOyTerojy5UEnbQ5R/jHY1gRccyEvPXB4rSO/uq28Svj5ZPECLOg
d06WPbJe7PZ9tjT9ztn+e+j9ueejJv77Q+/83r1+pnj7meyi81PfTjyVnFCDEwr3q2Ehtvthy6fD
fucoFPBWbYT33048l7MQaKJNzQI5hR//z4kH84XTjh0CBxVFmvmP1PrGjzX+fOTZdHSAjhA68YI/
7/lAvRYGaaDjJcqvjNFulrrPwHlo3PthglOpjqBrXT0/OlN644zibSxSZWmja8HWk/K0jWoku427
rxP3AopGMmK03twwOaWt+zBN5T230kfbButSsQosMPYz7spi4dSWvmQLvVH17Ch7o192fucukokB
j1rCI6cDYg+WPFiBNa0NmsM5C50NGPek1M2nJLUfgnF6U3z8q37ibvuyvU+i5qpyxTli1IJo3bnN
SFGUcgjOftfsZd8VcMXqg+YwKRzwL2WD5D1Pq9gBNubwDHPCNU29j0M3X+eh8tgWTMXY4RMDcKbz
Wk8Cpjl6c9/zc47qiecISpN16RCcQSTyAgf1Z7Q9lzrRrEXAc/B2UrJV1Pm4nYp6OZUD4vHYiJaw
Y5BZ5koMYNx8zibA0Bahx94QqenelpG7KnutRpDmwwSX8crp5/XeTLYexQzHmBaGhoRjLCRjOfOh
Klk+LQMELMym2vmEb02JimuwWA7ea33PdANpfolruWzU0EtjdOAsIL+EfoZzAKgvWbyVZIIy4vYS
MkLVdNhOc2hoO8eHkonCQ41A0S8JQ76p3QubZ29G6mhB7lCqEkPaNdPLNAeTWjUXTkhWaUNmaZS+
VySYwhmR6OLr3Ui26VDBg7FIO8VwqBB1SQAq0NSTq8IsSNgnhaH6OAprn82hqRnpqaVmlvciq2+C
TNxoX/JV+x0i0s0Qx/h+TR9pWuRvczL1lkFpHMY5ptVVCns3KiNCUzJcla5yUIoqa8JuN2rUIapD
iuOQ+zq5YLhUWRBxEuSYNBRo5aTERlFoL0j1JuTDXxvkyNZKpEOHbh8mhuEpSbPS4DPzY4Z9ZNBC
D7ofyaQNsupqmENqh8ZBqjU91VWe8deHW3ZYNomamZeTcJu1xAQQTfbUNaQXkoHbjJEHSemAdGml
RcWzFVHP+AbbqWQO0E2r9K4V1X04R+sWraj51ZJDAqulmBASNvZzidh8UbXWqQK9MYVkWRswQebg
XnUclxlJviaJvtg51zYJv1Tgl6Eg8re0Jh0NHQK/kjzgKenOJJ2uk/xzgkCrZajm1b2/kVE/k3cE
YixzvIowvjmqz38BQs9r108TcOulb+mvmQ+iwlSTZqnWsGHSgKCZbryzJmJgBpmS2VTZd7iADqB4
nycnPKXucG3oZNKoCeiREgd8pm4z1+EysktwzBkXoH+XxtPgEcxIlpUouKG0Oy7jJ7tBOKz58txE
1nXtGp/daay8WOmvpM/WJas1sUT+RFaAn5t41UM20JhD8ZcOKanr7k2Ct2OeBsMU78AUkzmEH8dy
3wa/eU3S8srXKjSLtumv6l5FPTiWrlfF5qFwanE1Gc4GU2aYX6NqjG+LXPvkj5BCgmS6xyJ/NKbg
TWNQ36btuKWoULwm0c9hE8TULWG9xm6ew0KipSrsyWvxPeAwKfA+NKW7KGASLSzXBpFuptXSF9Vx
0uxDo2v7qNV2YdjcVCx7Fmpv7KxJnIdWOciMdxkl5apoQpUFjCJg3AerOMxalqDiz07m3z53ngj9
/ZF/lb5+eq9+ceTzUz8c+Qi8/hLvzEDYb00u4n9HcN4TSmcy6KQa+Nrk4uojdm7WTNMXMjXmp75K
oGd1tMbwdR5gWKBu/xGWDa38D03olzPfBKqoU0LoOtOXn9pcouAIkxJ2f2kwiy5FQwBKN95A0QFs
4wYXIrnjT5AacuhFxh2aOA4PQ/FvWZ18KKG6Rn4kULQp7LfAuODGoei22TcSIfFWBYkGDtDGC9fm
N8JNAw5i6W/6zj+BaMPFXdhvrRHdWt30GDJjotpFh6cXYjmQgLBN7GJvFDUdoj0L/Nx8PaX6La+1
6huthYrWhmgIRyIjHAQYPkmqTeLeM/VlXZ8En+PaOQm2GaoYLiH5Z9Lm4cgD6FoPVXUNLA8JrZjT
nFl1Mxy0FraOQTlLCXbkSUW5sjSwROyo5SKoH9pWC9nMkBhXe9QWjteOheEZib+xEPUupJHB3ijE
XeU25Ou5q9YwvBYF6QKHUwSTa9xNGo7iJg8JFVenB9P9jLttVenDqa6zvd01T4R1RMsiJhqAcDHM
YSP1jdWBSDKH8b1T5a7T7LVtKITSqeFDoCGaxBCPjoDlGgshioxpG+v2pY/s8xwlGMjqQSrmG/3g
wZYJm8MJ0qq9LGttR3rDtT4iQglM68bhE/IjkGeKhPCTpudKuDdWpL4lw0QQi0ozhrFlFvP095ku
nmNG5yA6cJl3uVgXrVYv3ME+4G66A06XL61JfYi6OIU/C2XL8O+LoTozcTgEFWkNdZrC8wtfhk65
KwzECeFw07jWWrWUp1aJP6E3psoCQbSsCjxj07w+1+vywx7HW7XFnFIK98TXdOyZyIBWWfnig7W/
RwsM26yd1oUt65UuwO6hD7NiRyLttTdTbJuLKpcvRm49GxiumEMMr6Ltub40ZC/ZHIjXNfKodeln
nyvSrYwMi5fcaKm1b61xK62GsQZTDD007sw62AQQRHAIlFea2jeoisG9kewWLipljFdK2IJ/IroQ
fXzyEDd8SBNF3sLk2F6ITL9prMJzi2yLoYA037rJiz15ycFZb+XDUD8TbmFwzz1nTYQsCiBXGLBV
hrKG6HcMSR+s3J1PhsRC2vWwER2SAbXtxbIttRitesjjXyk+UKA1Lgv5suFoCv14ZI6TlNN996Um
NEm/oVoL/ETc5r5BhcWq8yESsfQENSWMC9zwVJlDLig357rTiSHB5O4GHTwlKQjuFWDkdM+y0Pay
zp93+caz7MzYm+ZaJA25pMHW4fkfqmXE+HqpRNkqcNzh1imogCXSliGcPs8Il6gMnBWBFmuVWrpN
CBWaSHbycqKWVmi6WQTa50GImWm1nFTnMaIyDx0GVfiX1mgIdxG1e8ViP6WWT6N2Xcz120SVLwu0
awp1vwhzAifoBBJB2PJoaOS9kCgUU6fRM7j0DpUhgOD4/VttiQcpjadMtcl6o9+IU0CCZTlNs9Do
wQxnY8VETBx6inM/Nyz53LokYXpU6WX4rzoC9DmdqTGf2QcXC71UvMpIPkY6oSK2H4oyOsEHeqvq
iXSJzL5Y9E5WK5mrlMypDMp+1rmBslR97U0d4huH3osvjyYsnvpFk9j3WYeTd0rhQJu9E3psk1fW
fNbT4uGW4viXDTfTyK1nUxjUob6r50qBkL0bzBWUzdqeedTBb5tjMtcWYKAQTUITA4IAWtGIsnTR
2k68Epk2eT4FikLi91q6ZbxuWjfCQKKe87me6ebKRqfEmQL/VRmzY0jpo8w1kDaMn8B3xrcjxLll
1SMeq0W+yEak2HZQfupZlqFhUoslRct95FgHvAefIsIeloGuZndDXm2VXL+39TZb+gXfRmr74CAT
deX4UHqsfmdnhU/AUwsrgtOhaNBW92JRZynXGrIf6D+pGmDrrlRtpE5Kg9xjHF2va7+p3Rc9w8H6
b1Dvn6DaeYH1u4qozV7r/10RzT/1fUXkMqgUJOtSv8yU/u8rIrTONnUPJy6jjm8VkVD/EJghSfdF
nvwXjuxrRcR8xMVj5rIxoJ6ahdD/QO2MrvrnigjRNMzbeahiUQWInxbExO3keBhHYO8o+ZMtBBaw
7k6ZnGI/XYqJoWY4PQKt4n5u0k0fuI9ETtWLLMRVIION66fMNnjEVEC1PENW11YnIYaoRECi+cmG
nTHUq6klHVJ5lkHAQ5+nWHDRYjc4SYipS8ukfrA1NAJJjUKUjN3P9PtIO2ZGtPCdZ+yXjEYNhdCY
vnmeZLbtadRWhtld0SkaXgkChT9XD1OHowCQzEmwx+dGZj6vgHLPKvU9KuqPftI/OwrSKNkm4ZJS
5DZzBh5hA67oUXmsJqgkJNkxE7GcZTe559wax4Mikhvgax2nApbkwedAoPrlH+oP8FiC/xFyT6et
NB1IDejDmY8PDzwLSTrDhPVJTZ7oG8OaLKRa5UwA+2DFbrjy7aYi9bsfxdJMVERoEE0N5Bu4OBHY
GY37qkVAW71oqNDf5F2IISNPtlj4SoYYSjtrhQsPJhuTKtWdBSUgbul3EwS2XQX5JqrYWAR9c42S
GB7RlFbXnTRiDHCgQ3mu8FHhmF7UlVBhzIICzXL8T1lpPcmpgvxGLJ4nKuEspATF28xH7OCCTfBd
30Q82I/XXJtigRqYCWzfLUNpyT1J4QwGMBydfFONV73b1vsw6OzNUEFyQ1bT1qsSqy02IcPfaEn7
obvSIdarbJn7+sFWs5S3jhAg9hYuSV14WhYEJwAtRoC+JYDi3WUPANCg7z3kskwlXLFL1RYUqRmn
V44RJB55bzhgFaYKLtSKjUgNIo272tzgdHzPBs3dYBjDkFsp6ZU9yWDPJ8fx4ff5q0NO+0IfI3Xr
q4LPRsUjk+ug9QytSaoVoFx6a0y/b8WYBwsJwIAwihqig6NUh96W/SHoSRpwQ8T5xRxTW+D18/jy
BPNn8wPLlGCLEH5gJzI2s3cyXKgEISHiKqij4Fa/qRnDK0rvEG4t1iZmKuxCCtERgtxrCr9lbsEa
wpvHPRfsq1gHXTqR/euFhJ6p3mA4wxpvZRV/pJgQtw5bx2tJwbfCB1UfGp+10sGgoqjU4S5lC4Ta
nPVUbrgJyvzyAcRFsFQnv1lIt5deHQK96upnJSgfU5lTHjkuALyMkUSXSUKNVRtf0Bg/aLm8iss6
ehld5Jt6GISITh18bQXSrImA7BzlrkkU3FLmDDfc1noP0+4FpuC6DxygHK7y0cfNbNOLnjHv71H0
Pw3sDDc4iqxlmlXzQ8Q98VHs2oTkDO5TZYbTNZlzRwDhVamF+wKA5yKv5NlWxSfdch+7VCFQuBqu
mqlydk5VbeVU39aTe8/qyvfUhnqmbCuvi8eIqKdo3Bg680JYTowas/zQg7yrnPAmUPFp2gGkjDY1
yoOpTq+M30oKfn0byXCf2P7FMdhoDUa5GulKuVNwZeVcbIyJ03whUGO/xQ5DQStp4m1gdCgmBWu+
gYJsb1kI+YUlQUub2Ztbk8yVqW2OFq28kr1yyyhzNnUl0T5AbsswiRyeZOwdfiUqvlFprDXFpbXw
ZR9cZyiBGPAhQW7nm2dSfdqu+UWbwgy9GEb4RsUQe5NCd145OgsinjDtpo4tGiJzcDeF0EZvimnc
MPCmPGHscTO0Y+z5dWQg5SRiwp1iXHqV+QGfcVolYtqhTb4wrDtkRnw02yHzjF7VN0aPVc9QC3+d
iDpah7apsijztZVQJWHh1mDO+VTUZ2SE+yjHN7oxb8Fiftsw467V+37O6CMuA0PyzHLgKaWCW9n0
Oe/UrDpzJmIFQF41a6PEDGDjjKa2DECz5BlGPR5TfwW5/Tv8mcuPvy91bqLuHdns5/dfVDv84Ndq
RxN/CCQt+heFAyKt/xQ7cxIxOx0qGpelEDbOb8WOIf7AdToznTSyAqEnMU/6WuwYfwgM8A4KFuwC
2L6cf1LsfImw+I8EgZmTgdNhzuNyLYs6wPpZC6PnHU4eA+e4LMvCPiqpMhKkTrVSZ+oKEXBCFo9u
JBgCfEYuSDuntYYL2aYxAUri8Ky8tHMETJ8Nys40c+PUctCser3OD8w5s1tmDP2lHURxzKNGfmqC
pt/rWZ/cCq2HRSNj/EjNYL+z2RdbKRx/TeDkHFJXNvKFQQ1jaaWjU6j6YsEIaZPoWr+a0tx8g76j
fShGNN3otUXmiBvChs9HLV2ojguu0ypXgx7rjC5i/EGhnVxlWevf6dQaNy0p3uGtGptJUGOD1cpp
NxWhj5Ybri0UZ83OA50XbFUU/Ej2hUZ0Kw8YOb6iVumuq0pzmIJLUoVXDJ469WxZRexlZlTG90o8
mfMCJbHt5aBbZYXa2cAuanZj+YKd1NiJLmu8iSp0RR7qoirGvdMUcBtnlqzaVa556GbMLLmoEGez
GT4LCgQOrVLOTNoxyg0DLB1ZmCNGDXclJ3EzaXVnb/UZbSth3DZxyuOfFMPpZGIZ2zmlE3U3hO1p
67Ey88lYhlyY/Slz0zFXNl9uhH+fCAar179/Ity+fqrQP+XNr3RP/OTXRwKGTnXuL2Zum/nnjf9d
A+RYTIu//gk/9XUkzNzXsKjT59uUR8A8Lf76THD+UGmMQPqYDkfpP3wmQNn4uQEi4M6efzvoHCyq
zXlk/J1KyIi7nInE0F+G1FGXgq3wGg147BXxvOUbGrZfSc1JbYruuY+zQ1FzSFqqYzO3iKKlPxJc
7OeOdhMElqc43AvZmNtLS42Ug9pMr6avT6RKN++9VdaejVlhUaT+rdEq1okwVqQMnVFygHflGakz
mqPwoQl7rycvB3K5s88afS8q7SMZxoc+ZHYqkkuZYkXR9K0bMSp2Y6rFKCNjMk6R9cAIS1dsLOG4
zcB5ZvXvsS3ue0t5STrlve/CcjUnjiwHVDILQGifywwraKIq54b7n3opx5edIAPpXOttDHGzggjQ
lilDW0bbJNG2o3wIM3mtW4FnSSyc9igo39um84IKBt0piHZWYdyUtYVhzH+fZgdcfmVpeKWMKjnn
jD+nIX7MIMn7uv8pzM27zgTWrsYfYzBvuVL92qnGEdckNW0X1PdSaZAvtg1ZyWmYrocGwgiikXJV
WeNthtl81di92NaOGi+NNMTNmLcMUyUxA1kECLtGHeJRKNUr0QTbJGSLmCnGpmUCe4PvUOfZyZY2
Hhl3ahEZKKZUjFNVzsYWlufLBNn/flKqG0nGxEIgeN60A34hdMKrymgivEaxuW19d0we8kCxg5Ne
T9kjdAdUTCkMaD6+bloOBg1uN0T0LqbzUeODGMLuEjZAXRnRMpVpvkxoKnOKPgNPsBUwCam7jYTm
r01cZhdbjYYl9Su2En1EFiN6ecomPbp3MHVVTTRsMTa/JLA1Kdth4fci1ldK0QLuHp07N+93RmZu
/oe9M2mO21i79F/p6D1uYB4WvSnUTFYV52mDICUKQGJKzMOv/56UbF3Z7XaH917d8LVJlcgq5Jvv
Oec5knZzIhRGvm8M41HrGch61LTNFC3lbhhBbRV2Ua+8Fp9tWyLI6/wsrXY4TURxH3gHeGScvQri
SD7dlDMSgd+P8oFqh48WZ+2Vl5mYk0TyKQ3uD4s966T3jLPmV9wrgPLyo3cMlm9dv2+ogd+bxADv
a7fOL0PllQ+ZSeJQGmkSDrZ8qPxu3XUum2dVLhinzn5yWV33kcagTmiTDpyZmFoA+c1qprCAMLJx
UkJ+mHh9ahki99jN+vsUybBOxieMHEBlS33GA0izSGwH3IMnWzvgNxvfMjFiPVrqaJ36XbmDupJ9
ySyn3edk1uhs84/ZmEz7YUERabpgoWKWhsKV6wTN7WgZ0XVC2OPkD/O55aRCNsbJjaeBT2YxNNtJ
96d1Z1ItrvlLtWoNPGWZMy0/jI//nkcW89rfnUfl/1pRQP+X5xFf+fM8oh4qcFmr4UJVkyjT6y/n
kWujNXIckC6BJ/Df8wj2AKYjiK+/L91+Hkfuf4AS4DXnGQjsWqGd/tE+7v9yJQWmY+jMqCbqJGs+
9e9/OY7afnacIfO1s+cUIsyRwdKI92TuEhNSWerMm/eaSlcjbt9yCgXwfkhej0Swx5ksNgaXw6LS
2SDhRYjxqVqZKrtdqxR3Spyb2fWJgpA3qdenmekMkrx/LVUC3CYKHknrMSYaXqiMeNzldwyVNWE6
6wvY+HBQefLI0m8DnYT56JMvbERDM7v3bbLdaStGeV+Y4tEzlJyRsbvvNRT+Iqhf7F7269SQ1I6A
dxGxJF9baVSUZP3K0JrdmGk8WSNkyranpGbxxnTtRJg1F3KP2jqa7DeZD9p8y67JH7b5ZIwFGc62
44lUC11iQTJsInpQnYD0B1tpNGBg2rnYmDy+yJFZm8HBWJhp4qYXc0fIC4pSBdG018XXzmMm1+0A
S6KPW7c758Oj2VYeetAYUMWFfxbDw703GdnKKMw3QZKVSz6xPjKCEESr4cqN2vZY6+UHeALRgBBP
Kn2DrseR7Ba2eVtnMcWE3IHXoO0f9ASzkcd2Enyiro7rl9Kunlj5VPQcTNU1p/8cal6wKT3cZbE8
lHmFR7rdFaTl88A7Tk70wlUL1Smz5kNFuVRf2vrBQEkii9vOBEMnSAAuITQ9ZwDm9TzjuUyPA9Ln
BjTNuPKNSFN0hOJCSOABYRVfGIZcugO8K/t7PLdTSd3se2i3+R7gNUb/tJjzrd7CI9Ldlm2pEiwb
qd/HaM2RSgIvjXWpiQZrhJcZAW4d4R2gY+yyAYC1yhIPhIo7v7hMAQiNyZyZPYbQpsO+5daTCKcH
OSGeHfLJXkXRC0cbNCnUXxLME0lmSaK5IdlMAfJL2qFUq8gzFwAZuioGvZCHngYqeZB6zO1EVtpV
oWl+5QI4t/gULHeGhtemzbGzsVTYmkYhFqTsmkhhmw0rThXL7vr8hLpzV6jA9qyi25Zm36f9+FFq
7aZoH5reMEJ8O7cxmW/JIqWUyxHixpMeiHEtSIe3pMSBMrFMYymdttlboYLkmse+RkXLLTLmiQqb
Gyp2XpM/DyKj2uiUqi/ughuQ2QDhz+Qwq1ptXZFgN33nw5I6hA6VbY+Ty0jWvW7Gazopn3IVgtfN
eVurWHxKAj4iJy+KEjQ46zfa3j8GFaW3xug6UOF6i5R9nvOfkbofO+L3Y1McfPL4Q1de8V8upGYt
C1ee04EUVPl9EoYzgrdK9Se6SviD8XoVZP5LR+BRUBQArd2DOHhtoQOMwbABm7ETlv/WQQ8oevBh
Fac7Fj5qjiwS5PJlVsABU42go01NOCwC36gp41F4gqaxXlJ4BTh4w1wBDCrfvrUgGsCIuTUV4mBe
hpMzAD2YoB9EJWu+oJH7BC5C6mfPwsyuY7199Eqpg1DU7zpICqbMTwm7qkzvn7PCvm8UcqGAvWAX
ysjZnOCncRkAzhDPbAEEvIbcpMocfgNvkmOlgA4JZIc20reDQj308N8Ks6YpjNjoAA2iggqBp/tK
Y/eFO1872HAjdPgRHU1sBTyJcUBgXrLrCThjly+33ZBR9VHUJwsSxSR5y/oMYEWbP1JV9pYBlLVr
59DBsGhteWTTfjCs5GmAceHAumAfk7NcjbaDQ8gVGkYGFcNQeIwFTkZkwo6Cm1EqgEYLSSOpsqsU
ssYEYQOXChEBbutGVeuhgMJhD+m2hMoBGuYqhdLx712ZIQJQEbPC/282acr35mv6VxRJ9dW/zyes
0AxLTRmUsP6YJ37OJ+zQoAGi0+nKuYw5+r/zicO/YQihhgM8PW3gf9ihcfmmY4UJhaGHINE/GVBI
2f3pvswllL+w6zlMJ7Cb/pwUCiZHkwFvv7OW+ebaUbsdnzvnwVX7nuH76qeruwYKxayxEsITyJU4
GutWPIIlwvb7fYFUql1SWQPU19nSsmMCS8G6qf+xe4qnemETBfdPsJeqf2ypLMraaiCSan3Foqxh
l9V9X2z5HXVzjUO9w6rUAEutlngRD0XFGc5tT5hhnunzfWL4RboyBa3aUuYAEqks2s9Jim3D6b2n
0hgQ1XhYD08SE+ZEnY5c5tAuuSeFWluXYWZJ/8bKBomfphavmiNJtQQG8Eg8NBF3MyP2V1hG0tPS
4qkG3LgUceinVAMHlQkvUC9C9uM9WWWvOHtuOdwVkDZpA8vg1Kly3H2vRQ433Np/MxEPFhzYQbVw
WvXutPL81PHI2uTeHU4U2GVLV6R7ytSWL4WpQUCLbVI54axzCIInDxzBzcS2epA7/mB1O4erstYS
j9GGV/AlhoEohr5oC6NPSjqFEzZ7bOmGRXnFR2tZgn0Qox9tZtnEO49Vxm3bDOINZ1p7G3itByLR
NbjeUrH0AIn9HFgkM26wYPXeTanFg76JW+VrjqOqrw+UlfSoJKkpXjO6oh6mAHcoo1GfCXQUPc33
ulV23krzZSQONdPbdCy81B4/3dGPPwNoYjuQNBHImaSCsRAATmg1uh8LjcRx5qftS2IZsrmo5BBH
1G9F9P/eqlQu4u+fXMfqve7/qkFIfenvjy2QboFB5J/NulrOqXvLL9cqhwAjTyx+ST9aG/675rN4
fJpwb4nAsx3kYfP7mo9CNjo8fnwz1of/0OagVvu/rv4dX0f4Ukg521Kxkz/ZHDzIzdNkz81l1lik
404CtopxsvTFweX9f0ltaskTLzm7TrPjk+Dc1tikeZLod1Zk32VN/1npsl5NU3IQRPESz9gO2Pky
iOXaAOWlNK790lgvJkaewZ5Ii1jXOtT2ldUXZ/SSbRR7122ibatZu2U58ujN5bMzdaEf1Z+UCQMa
4ukxl4cMzmgCOBrNyzo4fvIEmCjUbP2WcslzD1sMeNN5Usu4wJ0YFBY+2QbUt/jRAYOj8Tfa5M34
EaTdKULV7RrrzYrz3dB1xzJyt50VXA12fY6S5BxUiMV0SMSJPPfQNKwKxtpkPns2whpspIAVnJZV
F2GIc6UZm6FnGdQu60QfXoO0vUmS/hSPczgg4dtASqBDnRsTcTL41oK72hSQS+BN9ccl8N+jEa6P
az+T1jpobbAenBaq44JuJ9aFXFaubO7nlr6GaEovseNhiAU7JtxHpy32y9zeFX73UZoTe6TyjHhx
PbjF3ln6Y9HM+75uUUPlN09IKK8gqEDaW7F95yUeiRtN7juvRIbNx1PWe9rKmJnnouzdquy7QLph
QmPeigr5S69117FZrJd4ODQL5BhPuxPBdDD06MkuZq7G1salaWFVA8yJFJopifQ6VKNb6ucjXrka
etjcR+sqdd89OiR3sp52vnRY2U2SWR6hvxinD8oXgphMRazXm3YORuxmrd+IPQJRcuiqphEXe1km
GH+wjKzd0LANDmgWWA9q76gWkFXd5+ppeZdVnTyWLn0drVpYGrlhnaCyDOthNgTIVcIeAfoOkYpF
3JmGiahE7I4LzV6UJG18I/A3/JVoTKKKIzTU4lRICMCdWqb2aq0K8M6BcjXfp/Zcr/HnU0BnwW1d
1EIWfi5uEXa0ftPpm8zlTivY36b+TJpdfBvVYjfQzAeNTW/lW2s2cJfFdLY2m+C6zcZ1xoKVisHP
dLFPaL/PGtcfcWrUOpn/lsWyJGphsWtO1c65AsurltByaAkQqsU0YzfkKml/xCAEV7paX8u27tet
HRARVO1JkyCJyd5xsPHUDWoBnpn+ZyyDt3I2Hx025Lx+XByV3oazWp9bkusIErRcO6VIQMJhNx0w
RUv27pSIXgb28H4xPtnT/K339KNgTw88FjCuBu6LDX66APwp8vo8M/lsC7XmN9XCv2LzX8okpn8p
azdmMljr3qbKZTTKF8pq+SnXxVetUibeaWTHjztrK7LpEGn5TlDyHQbLgAUK/iGonkuqex8I4B+T
DTygmQret57LCpjbhZfk+9hvNGxbUNckAnttmbuoMl86oFoUditjtHMgV9muejd9mWOyWYFmf0mj
uli7+K+QLD60vlm3JiLcFOkwLaNniyVvOAeYe80esQSsEzqGiZG+ob2rkQ8J24S1LuYZci6/9ymK
XizsOayVIo/3l7WtFVwpCEY+omk2h1XFx7IBpc/Ls74VOsGmIYpViKvBVZbSoFXUB/hpLq9tOBI+
uUwFzop56TFoWIcx0YmVDE+lrh+70YcHqAUBTmBAyD0tt1mi349xd+WUyYMxe/BuBTy/RtDZbI/W
2p2067T3DWTU7LFJbJwI7D/WuSeBBCdJVm6bsY2TUKto0QHfrYNqHpKDzb4f8wrNGLqv7cA94rMq
QYyXbUG1cW8SCJxvpcLze8aU36bVkIb/3qK+36Jsju2/mUWS97Z7Z+QoO9YMh6//53//MGmqr/o5
hhhkSQJW+yh5kNhVsPTnGGL9R1c+R+REGDIkSH/enr53TBBK8XH2Kc1RXax+G0NwYrJTQTX5zub/
p3OIo5ygf5xDYJfwXSiIcRh7QPv/cb1rqj9c5nV+o1MjuHJsPn6GPT6xWI139FtfZELuv13SEy3T
9BfNVFRAqueGxZMa+/pn1acn7M4PBLiBaxm1r/xGctUCH+XhuvfzHm94tMF5tB9H/he22mokiWlZ
xmvr0DOeEp6mBmnTTvV74okTBK1PTySbkZOto2J6NRvyVE/2F26hu3jG9Gy1FU75tOj3Qjb7Jgiu
WgEKl0f4Aj4N1YUkmjNAGqsePUAOo5n08EHtdJcs5nvekJrR9RdGBmfrRfRYSeTGXUM+jt44sm42
HfKMQUCywfZ3prYPLLHJEnFPcFWimFnjZpDTbclyd9X6cju6KiXHi7uiZsQMF39c1lpplCsNS3lg
5V9xF8rdbGIeTWO6nCmDfwBN/y2XtPTp5UjXXStOmQ2FLo3NDHOezEOiOU7oTdWMlOlvsHQcE6cr
1/GYP0KV1Y4FEDJ4XrdJw5O39IMjl0XOFac7BaX5UCf9Dkf/LfQGbdMvbMbnYuTB4OPzw44EruZ2
SohC2n7wKoRxRyGBRmtU5XHVswowutbDUqSvGczEMWepzeaK5WAKfpS9nKj1b4pzuycHyO4q7ecN
ZlLunJEFdzh5TgSvP54p111iBbSGY9a7lVzJ0rLZUjK2iox5K1+PcUN1WEv3a2e4IbC/VapP7WqO
gpL+8eQFSfhuauwprHzJEtcCaxZjd6xLYprdTAB3xGUVYr4P1kaR2bui6i9V5T87RsTvve2BqU/1
Si/kq9Gn1/RjXjcpbDotNnxaeTmxbRMDYdBCI0Z6Jd3XyV1kVWcw+HAeHe+Qazwy4zY966J6rUWd
Uhakkphps55IKbgjL3Qc2Dsb+bCvDf3GNNtQOiPRKSO6auL+0JbysdeGXdWWbLkqsL4TucciRQpv
hwAT/MhWIk9w0uvDy1Knn+3A9C6m3ZhK+hdKmrhKt4Ioxt9q9m4qwBphFgz3fpZvO/iey7kbTpGW
bmc9OMRTeTGc8sYcon3uALDrXYZaRYVWcMkeQhWchmVtLhQSuwDZeIOmUehqGKdrABdVyTctC0eG
WCSKcLRBLBT68C3Jpmw9FZa3MRXnwMraj4lTa6x8htuppya8Jv3VB8EO/8whMeDxLaxqG7Z4Vrry
y2DaabR5bJzJikLsrOM20HwwGugi8ZSQBY8ywUBif+0hKW1pVftaWcML65YvSC5iU7VsN2NrvJlp
TgcM4XLcd2634XE0WKHTl2D6IOd1Vzx7lFVaMtRPNRNgSV28U4KG2Fq9dJ3HQc98f5fgXIBTySgY
j3WJd9GbmgW5OJ6MjV9SdIFxyLT8PVdBbD+NhfJ9Zrk89/eBDjr4fgwazbrqp766Gh0kjBdc2uZw
yTq5r2KqLaWAyVHZmb1NUziLNc5Mo4nvWnSksMumo22X/bbRGkZwzb1yvAlRiZAiPk73S42xeZV1
LotWYb9kGq7vZKCDwtAX92hVvJmz0s8YFTBIUyr/JiP7HWXHXHe+oBNhgc0fJAMNpSrCUo4mPmyc
wk2HCj1n02kGrT+lgdhmUjvZZXOrRf1V4VdvQzqyJbegczCmtAYLsFg6AKSt6ZjMeAqIaAWefE9B
a7pK++tMjJuWiwuNPde9bopz1MK1FPNrnpjfFkPnu8TOt2womIMo1liO5jyRYXEaTMPNXYZxnaoA
km0T3NOrPPFOepZjd5sq1RF4SNg5gy6Y3LBmK7zizXh2PZWdc4J4o2varcmJuR7hU7M76k+LPsOh
oWiNn4LceyX4wrai08uiwQ1bgFx7QeoRzefmW0baQ5etFyd+Nhv0Mt8WEVfbjFB/Foz84QyNKoRk
LQFTPPabtcU1FlAl8JhikiNtBuO19HF++D5jfGx4l3QsTxQhYl6R0SUAj94W7T7uu3c3GOcNTu37
OdfqDYu3HKM6BwiyxGPU4zrvx/K5yquj0OjW8Prlpa+DZMunzuY9gBrPrlMLm6r7bIPgkQf0Vpf5
dVYkqurG2luieqwHtJvUm8Ih1g/1aN0MXL4Cp/pIOeiI8etnW++u6EKOQoKCEVsEoyEQ3sDlHjgS
ujFeofdS25tlh8CZ/dUQlyEdLvWuddIxTO32kqX9DZPItjS7p6HgvpEBhLB7kzdgb0+bTKe+HXNU
vQ4y0J+4spPQg+q+drOBIljN2Llwhg4dP9CwTfIL/T5i5Xvdke6VhpR7cCQ895gjh23mikOQR9ZW
S5d4p40GZNXADamQ4lbKJ+0qNkwcO+BstZa1R1fqxWExMRQP+HcJ+tURDG+sfXZ6k/QCmBMVPuwe
CDqlEQ84Z9wvhclHwvFvzGZYuGVyMXCr6UtZxc8ACTGWeF8W2/oyufpWtoQOsvgFS4a77qz0EBXy
Ra/8vWU39yMoHUvQO2LOWajnyZXZjO9xke96z/wMsuUY9+ktCXGuFZ1+X9rqIa453MShwf87dv8Y
u5mS/2bsrvL3vxItbL7ql7Eb1KdBxMn9fY/3c+w2/0Muw7fY/Fl0vasV33+3f2rlp1QEIHTsDn8R
LTD5WXxkVP8CdgzVEPEPXBWGz3f649jt4fJTNj/LdCCTKvfxr64K2y9Ew+dovvhd3Nx4glkHL4L3
QsumeZzHLHudDfpc/G7QT+PM4pw1eLJmrF2evGDs7hO9yndkPNMrl0z3xtO6hp1JnVAypJ/zPAlO
g7L/OMoIZE0dXz/4ur3GsgQMu5LTXmNonEwMEW2X0IworYybtl7uRDlGoKUJODYYC9+KJImPgLWo
BNA6sTaVUan1fclAPT8FJvT23Hqfo8Ijoou9qaNR9qpUlqemGqcQdk1EBF2/QFqrGJyyjLpWGmah
ebEVMFWogzprbHaLeqYK8SnBPti3XVmsCXrGanv2mkxxxPpsQD+WR1HxJKEVKjuYS0AAGk/NTWzE
L3o2A2Owmq0ty1sH6XCT6p2269x4IRHZW8ck0b1NbuVXBm3UB6hiwVpPIHNkeWlvBlg2e9cARMKZ
nR3rgpapqBpul4b+KZm3hDA1oria44B2ZhVixsFZWAz0w8xPR+u15C4daV3H2WdcWoJP69kb5aFO
2iNbzDec3VjMcnZBSGliY8QopnG9dKqCK9nwqGvWuZbp28g19sLWAOM0MfLxsCu6jF6wpZfvQCzF
aersT7afLD50WlELhzYkKv5omIjvyZXfEvy3Vtk07cwhfzK/B4+pskpXjYmPrTZuKhPWdtwCPuGB
JjV9N5nwdOAnbyL2SVRXZShPgx0TiGcI9MriqrWMT8ep+m3rjvdDgjDScqIpCoq9Kgr94sXBviyq
3WA512IKTnLUdwmNgpsljwl8Re7NHIntEqeXYkm7ldsR4Ke8g7bB+eQwgslMe/QtB/j4ZGNXQX1Z
+uitMJsPi8j0Okj8LyB3dnBOHuklVdsbSehXgiSg2G0uznXmUKQF6qn/YvtLExqWgxklqqbrYCwl
nwqyS9cGDnDahWaOWhlQe+KRv7mOgWwf/n0Y/3gYs5f4m4dx916mbf7et3+xB+Erfz6QqcP2eRrb
wLR+04N/PpAViMMFb/ubvvwH17WOTGxSysPd2eVJ+XMPYnmo0qwuCGjgdvMgdP2TB7KlQJh/fCD7
OlI2axiQmDwJ9T+5rjVfs7JmyqtLz9V1OSHzOuJs2LowN11XEMxL66ELi9w5O7K+6Xlr2jGu6MYs
HgYDqy7+tOvabF6h7R3ztrxLi3TdaWa1sgS4Dcc5yYmtRemNO8JWAMHb7DrRx2dqtz5RLibg/2ZL
9tOtbult2RoFxt9k4cETwaIxbWBzeSdOHdjIiZURHt+hND5MeAY4i+KczNrgU/7rWU16NDO3i3c0
idnLSscyDZRRWuSjIo1ND0QLefAITe1qj7Q7XQD2gxV1mKyiYhQ9PblxYl83Im1fxRixZBiswtwO
VOHR3NzTCEaWERdg4LRMw42DIfi7SpCV3rBs6u/qQfFdSYAp/tG7KjaYl8+ekhswke/87wIESoSM
oG94SpwQSqbgeDhx/MBhajt7JdEy6gWoUcIOqIpwvqF2aM1y6FA/BobtchixsJRrAAPX0+hcAnIZ
Kx/dpMlNthnpu9SqK+QTbVV1/alXUouH5uIr8aUJjLuh1w4uqgx4xrOPSmNadHdr4x430ZF9zj5G
zYmD8lyg7vQVFTqoPQELbBP1h/s3Tc3ePjLii4uxbVXn8j5HL/JKmoulvhvRkZqOu8M0HgT6UuFR
0YPeFPjtMVcCFItiE337W4m3ykahslCquE7vbInaUbXUHLQ3wIheARNwMfDXEqWrRAkkaXzxUcDA
QpxLOKUtytiC4XpAKbMxVfG75P7J/RolTYBialHWFsvZ9ihtwhE7CJJvpiO2PkqctLqPuEKaU7/6
2GN/h2aXFsbOR8MzlJTRo+r1JrGbWpwbF7sgql+3aI8OKmBOWBp5iuKmrDi06IR+6q8CdMMAl/9Q
5s8s8B4rPcHepG0j6Vxb6I3wA9ikDCwfZuN6RJEkZNOFARplhlYJ8uPImjJsEgQvtEwtna5GtM2q
xXjkz81n45l3QzDdNUoGjeLBufVQRlN3RCKN7NPsmOCLc10ciixHSU3NCvWdE3peOVN90V0HDAdv
qV7lc4dWC2l24gRqg69zPJ3JO8NYsK69NL6d6s5dT8Sy6V/y1lZdv3Vi5u1nuWspgcDVw7zVrOiN
PcppDKBj+0X/kLHbtDSLBj+7Q0epFnQvulhWVmF7oZZwBYeGUSKwGKfItu9sSvLQUCluERO/8UEE
N0Jqu9bGJsv9aS+TTMPkAX6/nowTzaU7ssihEyDDsNmiuoFVQ2oyQJFnvqGEEJqK3dL1yyGYzC2k
TwxaUXZt1dC8WFgWLn2FpgLp1MUXaRf8MhYN9GWLLTCa+WF1uCJz/wCuwlo3lQD3mtFQHS3IwRqE
vko3g9BM6AoXqbwu0pzlWqeFhVm9dJ4NetAshlArlnOvpL4s/UpSVKAFmjB5AGFNKhVSiuHOLc0n
WDNHzYn3vtbnW/RlyepvPDmBMSOH8QQotFyGgSz7tVlH/YpNWL0V/Xxd1ThEXSu9ZFn9OLg9Imky
PcSuw/vdQOxQrDg/u0Q5P5qkLlDoGvEYDEUZEkoJiJ1o4zX59/wqcdzs34vYb0oGx+TfnP08Of4K
wGXzVT/PfQ53PFKm9cM7BiPzv/oHzXrs0QLXNgwDGucvFzEF4DLReV3Q8BSM/AnARWqS5CGmMjVR
mP/k3Ifx+edzH+gmKC/c7abuYAnh9f16ERtMVhu1FswXTq12q2t5uWmJX2a4mDFCXCE5Tw47QYf2
FScq5WkcAfOQWXH8DPdig+6XJrpzPZWs5zCHlase2J5NXjDMZ6vdmkYXnMEWV3vyVPLWtBuOYLvT
rvCXOoScq5cAMFWoOfqXsmavZyTLbZFWfPbGKicpw+PSir3Lghc6LKtBrea8LEyrER6vz7zfp+xs
ysK8zSwtPwwF6J4CWrTeJM5e86ZpxfanPRhZX/KAdkuHMqnsjkbyzzGr7xECMdoj6zbAnw6Cndsx
DqiOW7pAXvTefSMieRfUfJfIyE6MTSM7c3TsqczX0RicdBRKVNx8RVnzrZ4tT0UvHwNRXwHkeIPj
uxOy4MUuoxniArm2HfJd/eicFul/XQJIX9Ah6tA3BxqkKlWFOtah1ne4WbHuB8jzWWJhDPArZnqS
alp9Kk35IlJOBI+KVVXsRouoM38sqXk20oZ/YAOWQtEMdWHV/k1r+dq8I5ePAp8ospiOtF+DYfaN
Bo94tTNpGNWDcWeyKOuNYEtT0Ofi++nG8QZKTxyQPI2nSp95SJZ9K0OM4JQs+aPEi8bTeDTtZwrV
Tr0GAKS25WaYTDTz+TPy3A3eCsVwjd+pOECVj6nrzZxy3dlLtTX0jurq3LyJmhn0mQtgSgqJnrO8
+zVwEwPpi7t1xUhjA6xCBTgM7OCEqG57vcCi6HJHVbXAS711oBGEiVXuesPFthg/w7IKABG0AL+6
nCGJJZ3PRg7SK7SmNIu7tTfTBuzlZUpddcudKo66TVoHT1jdbrIirtHi3ato9BuOf9pvOid9ZycQ
Qxyr3r2J/Ww70VrVatGyj7rKhgiXZRsZ07NRoMOvoJVJNJLYXpF8v/cij/dUZZl7syiIlNEh2Jfq
EKfEDeoUbmvWLRRMj7ew46istaJVORX+hoTZdeGaewLUPNvj4DKVbctV2UQaS5h2MVJj0jG6lTMi
7VOcdalIQbMyRY8fsy+96J9FYX3IebwRNmKbERefGFxxBMWF0vjPmPL1jfBx60ctLc7B3N5Y0vpK
uSUCpkz2Vj5/jCI4T2Z5T4eSCAtnAQzW6Rj9nHjrO0JspVoad5H72lY1eGzS20Jkn2IZ6v1sRrul
Hz1FkXZXrc0eIYgVFi3G6R6n+UaT2XM5Vs+km2kVG+z3Rhdvpdvjfu4qOBUUh6/Sikx35T+JRqMm
bjj6QaFv9MnZuAnAMiAjqDpUbAMZXIlAe+1qKslEdV01oKNGj5LZJPZeuoVRIYutYD9IAsttEcCs
MXjj1W1gX8ys8rV1rUJ+/16Jv1+JHU6R//ex+PCZvBd/YQtQX/XLscgiEeIjJxwH2R8oTMoWwNbS
xgOIEVHlg3/bT6L9c33miso1lZuvowgJv7sTg/9gccSErQff15P/DEzgGCrV9Qd7orImGurPooXB
VafsH45FQJKWTkOcfxkASLdrYZHCcnQMWqUGRTXeGDzFQkfpCNHQH0juGqsK8/DGGIJj52RuKBH4
t7GYH3ytqne94O1YGinEaLfYiF5+ic2Jt+zSwWXfkQnrtbWl9U8td5i7GZvezm1c0ov27HIueWu3
Numx9YbmxEHer5zYTEjSGB8d1CMdfNpejiWfa6GaRRUdCGHobjamW8QI97YmTIbte/TXel4SCvEh
zeb0xa7iHqfCHPCwLHhV/pQRA+u1vSGgSgtFu/H79KuBxY8zTwH+OmbYvasgRbFcCORYRKezqDQu
kSlg6vYl/x+hlr2H5W0l+eMXxVppMGLzp+ASWhSJBcQBqy3gLGDULgJYywS0pWs401hqvXc5PBdX
kV2qbnAQN8QdxbFqL3A1aDpN3y4IUA7AebeoqbcBFuP3qC7Nd36Mrz1KgDIBYBl8G/7BqZebZszm
NX6SZ6v2vlTAaCA4e5g7k6MBpgaT+kM8wK0ZGQMGfJINQBsdsA0XfCiOinUDs8jbybx6EWN+xGv4
OikuzgwgZ1KknL4LtinoHKcMPqVi6RiQuUHWEPBhVVCpFnCuQQrAk6Y4LjMF5TGh8/hQejIdXM+o
wD0QJSbC6sB8CoX1Wdr22YXzw200rIBAbrI4xQwfk8HFrPJUKTxQoUBBk+/G6xZ2EF1jISVjaMLp
oHcbXPJEfulooG+sv5FKRNaVnMzA9gUG0AvbzK8gJ+1tZBlfpZKgEyVGl5HJngR5OmahsXWVZL3U
lHRmvF13PbVbK9qX0bZTJXNL2zpoSviO2eaHll/xQUAVn1HHbVRyS8nlAS7TjSHabN27EL9K9CQw
S0XIZ1+GUknuKXwiN6GR18PJguTJZyQCz0wtHWJ9ZIBBVfL9iI4f0x5Mr/h0sVD4TZT+BMXfzXyi
wum2Nw/Y7aLxFPA9W7u7l8os4OIayAr32QuKC3YOjgRLzOsIh0FGVkxXjoOye/GUBaGaODcrIYNN
6wVNWGH1X3Wi3FaZPJkmQB6teKRQ9ZDV8XVXAM40cDuk5nxj4n6weyDPnjJENNN0KXKTy7yevyaY
JxwX94arj95B1N61GRTnFKNFrhwXvvJeVFmG11b5MWISERAwjfTQY9YwMW0YmDdy5eLwlZ/Dxdhh
e85z37QXUzk+qI4O1pNygVCU6awb5QzhuMtWDJG7mJUII+8yheAQ70Y3esaDW8KuwuFEJI9HD1+H
bDcxo/wPe+e1G8eSpetX2Zj7FNKbA8wAU57eS5RuEkWylN77fPrzBc3eNCWdUReBqQN0NtDoFsms
rMiIFSvW+k0MOTU6cMdyUwiUijqiIQe9CjNsECx4DUYgBKN42gJvUYG51B0KQJpAvrRhpc+itjRX
EbAYA3iMDkwm8NErh7ClMa2LGQpa30cgNa7QOCgFyqaoYwn7E+XSAICDKawAOKQXqsDmKIB0TKfB
1hTUTpHaLtqr6J0A6HEB9rR+dSI/In2wRAkE9se1kosYMFBvBdKhDzwoEDghue4PTYBDWI+ClSEl
FdT4eGqmXTSPBdJolP2TUWCPYLT2Mxxsf3qjew37hbO8onJ2Fpil3g8fytw48zLQTLLANdFuIZUX
WKcOi8RVDfzJEg3asRgvBoGMQuQzB6HiXfXYcTQCPAWIynGSlsZMeYidEGm04nvTQmCutM5scBfA
nQTbk1tU8Ra1J6/JNwNaE2C2bMBbJEM3KmCuEeYlymfBXG/1RQncC4j3UQD8K0REcoUJG64aI6VO
lJuXg6Xco356YnjE7F4ApIGTFUq5AQN0UgMzG4GjWAJ3Vg3NFNbz98xOZ24EtqKnjONGpMZA1mQP
gb+WSSATjwSmzQpABBgC59YP1jUeOCejbmyimkAZaGaGBqe1YnH3kxq4HGWXctJXzlmJ0eRSBVIX
M29J2SnsWqIV3KrShIV2URoogproviEO763ZO8t5FvgNgnQD1EvUSM5sW0LenDL5sqzK2yBSrgwE
16a0wm7wd/2OzJQ7KYkLtPIAgYEWVYggCmA4+05z7X5ZOuWC57srwwKFHjt7qFwqy06ITzkaf9QS
o9CYuVS12fNOOp2fdbl/VGM6OcGbYKpRTAU73Dy4okMkW8WDBj8hDB2Y15IbcSZwT5TcbNDsH/yF
k1Ef9WhVIccPHpxVVkxd2zj1LZlVlgfg4oJskTXeasAEYW4RJyWy905Kr4Zs9JeBFP5AefreIG/W
/CRZum60JI/gHbjtlWKgXFG0hYX4hXWAuDpbcapHaIFQZgMyDhdUUqozIYTgDcnPSI4yyq1IqViI
OVeSdyyjqQqLKf9pSyloEt353gkigVQkBncy15FvGJPck27lonEvSjiiRPPKcU/01l/6AVWkaUzx
/0BG67o4zeI4881JGcgexgx0CEbQEE7hH/87j37Ko0krf5NHN/G63HxsKxn81UseDQPRsdE50Oij
K08Z8UtbSUGYFB6PDfpUaCeQEb/k0Zr5BZ8Xmu8yJmAksQJ5+5JHG18EJAB9Hzg5iMDrym7lJT4Y
e0CUmvlvUADvy0s0EuSCFmlzio42wShofsCewWE3glkmt/FsKGMBWIQ3nLknAYWFmaF0iPyl7XlS
ZQeW40qTysB62WkLztvBEeCWk8GiPZ/hxSXL0UMLyAtEeAtJQsJRyO1UrOkLGI6y6U2TCifoXv5G
bPyhVvqtU6B6afsOeY9AwTvSuMBmV5oXnQ8hAHQ+Cn5kNxgCG3b6Ix+ym9YPEDCoKX24pvm1RMsq
7dNvtSN9c9PhyDetM5yXTtrIP66z4EeV2QlUOOsc5BxK4p6NkUNGDzsOzKWq4nqvZN+TQR5g+eGZ
nNUgaIq4W5H33QxqXs6RJ1voOvZMaoiYs96RDEWS/YAjODYXsXlc1fE1HtbR1IYqb0T2Jf4sDxxi
zwNE2qEWwJKQvbCeu113auctuID0ngLFd7dQz6osvdfRHZ42UenNm7QjWlvJOayLlRCQxZf+R6zC
8chjO591yMoTBrP7TnHAJUERTwaUTXNK7LMBXvaCxV5OIaAd4zaNpYp7nHr0sdmRFgMmZXLZUUpz
Vp5qXMII/xno4cZKymst8MCYjreJN0JLsHhIXpIjo+bYdShnqHKIe3hfmIjWVie+0/+k05LN6Nwt
M0w+pk0ZohMkq990z7jUa1Q07CC61j31Z6Oa7cEQiD83mmYBzfI2kZpVlfnUGw2THlATzDgohRy2
4u94wUULNW9OqenjGBxRn8Eu3JjIoA/MMVrIVh5OTFteFrWfCetsOOU5bw3pp24KoAWOCBlUMdoL
EwWPpVvlR4GbFIdjEtHapKVASWa8tGJj2aX0nwq9QLnXRXk/4hREcqJM7LEKZ+yIZCBWJ03tkUk8
VLzDRM29eVeOV5lX8qmpvfDcduHKzdVoa4dBB4LaUjlVVYXrzbwYge+2ie7rrL+1kWKhkpbfyUqG
1mXmInZN6bKTgxUQAHj+kr+SkYCfSRZmY7KcLc1BXioy2nXoqjor+pN4brf2JgmLYyB/mLtUeFrj
KHBgetiDqw3+7l6CjVFhYPhWgvWrOVaYdNIqDpJTuVTwrRnz8TzpTfVITyPSMvBG3kGsOr42i6Lu
G87qZTsvpcoPvjIMbn2m1sJC3QwMbWHit5JeW02Maope56OGwkRc+VN4wtY5m2QAnqII/HOt6L3v
QZPPq5gpNNF93T3NcdUOa/Ipu+sBuXkr3yIL8wtZQnXL6C/kWELpuAgQVbKAa0yweB1nHJ6q4gC+
kEslKOjrYAosKkaze8AkqYsvMALuiyWlVPU26jj8nMRpLshYsa/MetO6lz30KzibDiVKxJ2bOUKj
XDeKOdKZlnct11ZcfVcxKgdlqY30Egs5Md0fkRH4+omMsIXEObxv8n93Y566MYb2++0yi5sk3bZh
8nd/b5iOkAdSAL/R9HhilrxsmDBmIYEAmQOK8W7DtFHR1ADFKajU8iuii/OyYSKjyT+wadKocRya
Nn+yYZqG6Lf8U3iyxYZMawf0sOrouuj+vC08Ka3BtMiS5Gw0/EMAfhO9RV+5Zy2NaZihKAE+FiXw
Ez2PowWiSiu5UZZBXp/59PSp0eKToELOkKaNphx2Vb6OGv27WwGTSuuTflTo6+ur0TdLNpZsmPqW
9x3jywtQpNHcTJI1QqHmVEeieuLGzMyRdUCvBvfyOGKTsJMa1K7mHzXUZI9TLTm3fTYKkl55Mlrg
dZ3ozgTsqbkKp3Okc0p6prkT3nZKKyD2JPMGTEC1gVARwZ48gxrxgOE2zBvKDzAHLZP6RaQcAMc9
rmvrQHOTa23oN4M+nsAfvIvd6ppaQIbMjbfMzObINIgTWWueGZl1GNcxmYJv3GiSNENQ4Efnm4uq
JZCW4N4mnWOf605JexgKbRedhh31a0lxp43RUbKxOJUqpfTNSWhSZVTwZSM8piOBa1c+HFFyYe83
MDtJolFZ+KaTLKTQ+dGzhxptc6zDRznNiws50xZJFMw5hZ1hmr1otJ5SHHLlIfagWqmsNcWfBrF0
2+ruN46SC7NpyESoxVNvT+6CobkBnAaYboRlqfTh6YDS6ARVpgu5d/tZFZnJ10I/MIfKrie1DRKO
wlZ76skwmjvqZsBPuunQtFc+EsH8b0QLTdgmdZF+bXgMF2DhNAokXF66bGkEMmNjK3S4h6Oi5T2E
IQYvoWzHs2ywgTkP2mVgA/bv3Ae9YFcMTPNaz8xLidLtFAG/YwcfGeiBlg9phwILp/JLyXAPjLDW
sWQFr9wX4bXtpvc2WPjUTS4SSk9hWn71HDIwUzU6yCCRucpdpYNUyC7JkdybctJeaLqw5bBcVLeC
CM/JZjZSuDfGaCnr7SpSETNOmx6YOawaIEb5TDdhQ7J532boojsKgHFkeJCUjqsAOxqSxrRXMLis
yp7mvEX5tR8yyipOfoJb100xRpdu3thTUE+UggJJgUqBxUjSUDWNy+xIxhOUmky0aOzqNjCtY6x1
L9M2C6ZW4GB6rozjMknR3UlRgV84Q8rM1NQfeVpc2S0v3ui82QB4RW5cLF4kZaa1BnRn+7Lp3FWn
UZFVXPfAIuOjbck5Gnbcoqf1OS2pQYK6jKpJ3pGFhQXcYmkc1p42otDNuW4aM6KTGo+JupVmckQh
egDrowggBIeDJfTXZD5ElwCm8BGCPOmNayka1nVrXnt9ex3FSA729jnseQoJHkCaToUFqwXS14GT
Ip6l1lw4b/hDax7ikUImKPKlxoAGkErDmvc6HNKom2c5EEV0SLSZKukbta8w5JNOerlO5xCQ0zld
tDXgkNWQ18aUWvjA66LbBMwdTd8yw36p6K4Sq8vowNXK0gVqKgCOPE+LY1PXMAP5959qTKo0GLEL
3kTUqWPpsmjkTZUwJXQzCQ4zy7rJy+K0itEDQkNuk+fgNRE6q8LehAEW63MSYHVhKlQ+5bE8dhUA
oanO22bEj7AwSGGbMJuaOv2uo/24yCRisBfY6Lu1pY4ygLdy4TOtMgVTQBPDYIfQqEeQpGDggs3Q
T8baP6uEawttd3s2BNoVcqXdxNOz86KSlwCgr/ORWJkpV4pXUAkc6cTJmbX2QMjmpg+STQ9mXSDj
1Cg3N2hSKVM0eYXdAKyY0mBSR5X7vTXH72VdXPqV7q28WKKRqjSC6o9bQ91c5Tbac2XE+9UkGr9a
2U07y4XYlZR3YRkTKqCM+84ZgW4JfyGZqHp1DUv6a6TW38oCgngcNd90h4aponbKTJZV/4jstUWS
0Tem6DUL++YCur6iHZRVeJWa2nLMAUe5kfK9i6DTOPRpDXyVprYTqRMtN0ns1K+tedFVh6N72wVH
uq9dpCTvtmF+DSm0BlrCq0nrJVJheD2Bcs1jpVrJoblRCPRzpXfO28BkaeuSu5LwDyDzHYN5bFEm
D3R9hlr+cZXHIKbUlYVsDUdPRNQH5Qqe/5GfUU6Baf3NqmH8yEV9WNSnAkJXG+jKeZZ3jnszYDb8
M5cqFk9Towy+KcO4jOMyPE5xHF2gPXriDJa0aHGCWWh1H05GRdNom2KVYLjJvMu9Q0P4Y1X4BwFW
yDyngDRCE5j648YOEv+kS2v0+PF5MKxvYQZDEcFQ0Gh1MQ6nii8HU7/iPdOqNmGO05+GrZYRvw7d
enTOFK2EGDdShXSBDB6ge3UaUwSz15C7aI70aM35OZ5obB7hgmPvIjGUE0CdB0SjQ5MDd2TruDXU
GNZIpY7rkpUTIdrCm+iVtPIL/VTXK2+V+vJGG+QNqrp3bDmwUZHbHGRpltjWTAW0rdU8I0DpbIaT
4X0fYJ1oeD6AglClLUydOPXMW79P2iWA/nDeUfMqsOyeqCpGRq1Eym2ZR55ADt7B6FN09xImzUqS
OhWtAA7XOcymoEmUKRSpG4afXVyJN3kfHraqZy1yEJRlZS5Dm9a4oVmYpfYyRyn8fFCthQSuFN1t
WuP+1MdXhj7MzNi4Qf6QkwQycJz1DjrdXJRBDHlISWBO9QulztG50+8Jruc1QOop8rX0nMziElnE
BQEOuXtdMKWUCq4koDJrVFapCYIf4d8zSpro57k+sgNONMzLHvMp4n6MhPmIpYSJUl2P+EBuongb
ZOp6RNQVy6NuaQUhwdk2T0lyb8syP+6t2JpmiTRX0Jg1Ovs7W8ui7dTLsmiPWLkrQMEyama+6HkJ
aiBwPIWtNlKOA7c+cuPsG9XC286NhIuD9a1S+5OM0w/SJA7GFRLoQMfwvlKOSBG8iw/G4LDUy5Pe
8xZ5p9KwCewL38jZoyXzpsnbk7FHETgN7mIdE9VIoaCoDcdtbzeroRxoOfXmSaLggWsmBELJX8pG
gEu1oa+iTD3u5PGoKTUN829Aeia24mGXJOeaK4/IWtrSROpg8mHMgbySOE12uqpNjCQdpnll6fCt
y1VFIwyoTnhndeQwdt+cW3mlLZ0SgxvPqarjpMDevdC6ozgEtAKoA3qDKy2dR2Sv+ojyBeUH4tes
pUNTgIBNPztwHnHB8SNGeHzEC/+7evlUvfytxNpXVAGachsM4LW2ms3pSVURSpMVxIpewwAey5eO
AWcB4TWZutQ/5Uv9CzqaWEbqOgpC+M68ggFoX9jMVY5wmmzRvudHf0BTensWM+RHXyfcLrGnVAyH
Yvjbs1gvI5pVlinFS1GnY8l7QJECKnyvjqnnT4e7v9ImOc9wVamESMIHtIFD9wLeqqKBe8CeWzzI
K41ZJa7bwgz1nMzQcG4iH4NqpM7jYVwBUACEpdVpox9U9C2uUFCEa26iMhnanN3yLLQPsfJxjhRc
yLARKo3+3Cdp14aMU5I5eLjMtFFYaT9a6mr2eecWbbsIFUBLLdKCExOZ17MO+VRlHuR5ps6zLm7a
qS15qLcFlZvScBlQcGYByrMqvTdivcPeMY/PcCeA6a7kUTwsMrfXUNSmaxNXiNbSXMq0M7lVjOi4
jcOzso6wtszTfuo755oib4wqf0jZlNxKvraACuFdtzQkE0AafPUJnlBzBxd6J4E1nRy4AyI3WgSh
oCqVWTwUP308YMZcP1XU/GejtVfIrLPj6mX43YowX3S8qDmRrLxEz8YwD+MAag7iL3gCqhXpqqT9
1MMqXekuaiVpXeTCOhAFs1gycDixT2DUn1Yp2GA6SPRyyJ2XdWrdDIp0G6to1WShjxpKXXuqNWFD
95kWbPhAL3G90sUtanQ5I7O8KfUaMwfTTv1LfO+QIoB7M3d6ub/V42BgFFVQTlWEposulfDdjfGy
MGv70JfQevr9HFNZZK/qCo9zWehsgGmg8C+aBW+nWDGUhechzHrKBrSmNadcjVeIu02Kab1KAfNP
/Jk3T5bWHB7dxDjUF9oc9PI0+n/M9Uf1/lf1DZ2lDvOPjgSWszItgXfEP6MvuwZtn+yU1P4Q26d+
GnmFy7mGbMS2ImdeYFG+KFWT+iIquCeeVbqHCu/IjAqkGazh1HHh4Nnq+KPuM2dRqdii1nW+cO3x
B/bIBtURXJyAbn+DmID1UVkg+V2B66a3CSvYp9uMeeIclY4lIj/T0EWJB98PSFnOatRAqqjqUtcN
FKUQB6WWj6NYkq5CtB4y2K8TRMfmXecdqy6ErAiZphm67rDBwmrGIj7t6LcuCy+M2By9Gw/cKzzb
E45WspCGWsoRE81yCoj+cnj1+1f8NoggT+lgZydbJvGS+pHmvAsizqh2+Hm65ancJuGSQIBvZMne
jj3cHLtNjK4Kj3D9dz9qS+RSKaS9mlUfP/Pd25T61ipbTExOC0/7brhkWQ0wz7GyVnrSnGQFhAPP
pJpiFWhWx7AqDD0djscSHwRbMo6zwL6VgwrkcCX9pHRKOlecqJl5IbvjveEVP5IuKNA5KvKjxwf/
t3igqCf+/QZn63r9LM5zijPIf/7Hdwj1W/qJ/M1LeRRzENYlLh6KQ7tOFxXXv8uj8IbZnNDqgVNM
bKIL+YzL0+wvDlA+NAEVm+hNhPmnPGqDZEfgz6aUCZSOvuKfbMhA795MOMIYwCCTWqwQeMch7b1c
T112YRqrYX+W13QG0SLAOqO8rlWMw0JhUzBifHaNKXtMYyFJriphZyDJSrNqRleZKmiOAVvG9aDQ
tVMY0vKcFgbyEFa40ZBBndbCLsEv2jun6bA6GITbsjBVcDiST5MEGxGncbNrHe+FUqYVUOPG0KJ/
eQZmmJOJsGpQPAskMuZJcw9D2lmlKDeJsHaIYxRcQqIDXLADDfcHr8AGoheGEHDSgrNYmESQBv2Q
sBRdOYhsIxAc3BTCUsIX5hKc+popRYgeRFqsngUKZkUUVpwVuhmAVDrVBPMsgK0C4oqMsLNCmBuH
BvCvGUKgHDWxRCZNOW5Az0VgZTsBmq1BzzoCRmuAp5UbHRF0T56rIG0jELegTLBSVk4yAcWVBSiX
mivWiJH/wwCv25sOzD0QvF4RfRMqBXOk1OAOg/KtBdxXE8BfLVVwX/G8VTSy00smIGQBE+5T89As
OT7VI+U11FGxdBWoYt/F2SgFaMyLDqFL51eZ5J7qQJFt6kaasLfUASm7gJXRp2mPUTVBa63Gl6QA
0ozSAqALdzw1Ml5pnfczeFtAwLQ7VSthi0X3kpsTxX1M4gBMmwI5DWAE+2SBpubUeWDgmgPGAZNM
vDXPkKgCw57owB7N40ygsjOBz6aq+D33xgvs1REEAsEtCSx3K1DdzI9+amLYaZ9xcA61O1k1jeHA
ok86Rz7uSHL1ERwUqiiz2AARgwD9RqqiBcJn+kSRhsWjqq6LCzVQp/iwDWkZWqjeIcmtHON6gIKg
EEVxZYUd27CD5WBEsN4hoVXSyOEQt4Jpa5fpVPei+0KlHIem7oBW39DMsbta0DOntxnhrA2v1T2Q
hqrgTIZVescCn8rMVNTtL+M07ZnZ+kFvIy4HzU2+Tn0XLUhdXylZihIW1s7sZGYyU91uOupyOtEG
dzMM6irAdOcgMozrsnaBOqb11Iq0qWU5p1QIYw7chonkYiNPrNg8kOxSP6MOA34UvcIpNiPmAtWj
qzYSjIjaOIYdBR8qHZypLBmHZdwEh8qQHRV6rBwUGfUxr3agdN9Winsmdd6iG+E00DlHvasM4Nsn
5bIaAO4AzpnZRXznx8bCznKWOsskF9R0UPk/crjqvSCtR5Jlz2JBZPc7KO2uILdTc/MOqQ3icmK7
p20h4UzjwG/AWxGEm6CokCIgqddfDAqI86HIaYkPoz1pBLGe+hLn1yrTl4PnQrsXBPy8SI88Qckf
BDkf+ajxsAgVaakL6n4GUcaUAC2NsPol2bvNpUQ7V0PKAEQ/xKMC3Zn6qAFIYAQ8IQ9gohNQWKH3
s0I5wPFZxhcWagLjo65A6giNgX/vn09nWjac3+yfzd22Ay1/82r/ZPvUwQaAoFEgdb3aPxXOuqaM
5C6dROA1r/ZPh5+w2YLIUfkV67VYOFur2FQdfiQ0yP8M146W74f900LYwxToH2ESJYhlr0+acV3W
cp/18lkN9Qo8KM6xMKeOVKmhGoSpEuIR5Kw4V8D6iNxqkWWBMq2hdJWZgdqXYHkx+4zjUjC/WBHC
I8JctpDCYrvPT8pRgugJTru275UWIw289lC6QH51xCfbwS+bOqM8y4GBNBWQtNQRWOBOv+lw2dYD
P73mlIIya57fozJ9lMGnKhVd0I7Q0jJx646FbXdWYeCN4+yqF5beHvKb6YWs2Usl1PVzSYO5Y3bO
vO5kd5p0kotRfAnQMqbo59Zrq/Hu3cTuFuypKGIPeXGASBeGeZl0WeO5ce7UpQIgHs5krAFMcfFD
mLkI5U6BfGIY4g50NnXoU472UAUmJTI41DUOunBWbwNVu64zJ59JobrJ8RKau6N3UwKcCFj1DWJj
E5KBlVs4D8ThdBL6/ipyUNOTw5PKVCnxeUfh6FwrCL5OjLHOUK+Qr3OLYurIS6h9GFUYdqZTtTbW
Q1NhPmVVtzbewFSehQou2JROl8+BWSoz3w0uAqdVEDrr7O5wGORyCt/0p1yy05uCLx0ctUPmHWhh
ddmYDnhNg3bgWCbV1DIh8oAfZ3OMcQmM0AWTpAatPegXJcI+cRWtbEg28yCt7DNHzYdlnNp4FZrh
gZIWzolXlRu1gLDnjJZ3ITURDeLAwBm9RWV2UH/GqFqAHDSR8/BD1TmlyIpHaIp5mRsZHowr2mwp
eItDD71jeG7gS2L7rJMyQN0m3WZvyH6CgabirgCrKtXTPMtTmt4jJ/OAc5rSZCkyiNIy7FuOcErz
w8z9r1EUNdOyAWeu+nTUVZ9xQ5CeKA5S364QlwkGmnDZXULxEDIvVMZUulDs/Cct8XnjA4Ivenua
crqfynWJyH5cHORmctjXxlz3tLNBic4AH/VTJ3agvWfhN7lzb4wEEw4Qk9nUl6ybsvYMHls9dnPq
EZJN+xc8sFBIlS+ToT6U2byKKLwMAuzcmvh7J5d36NhkUyVCdHKo2lO7jJpZaXKMz+T0BCqmzMFK
OoRqoC9NmQNxg/HZLEXgWi6Ue87K2qyqh2+5pjaTVsnRdxJN8xrP3qFvDyJ3lGGty6dd3N35glNo
CnZhagYFKLv8VoP26ZAJmxARQ8FItKEm1nK3sEpwdpJgLSJTkiHE0hz1gtE4CG5jOhgPNWTHrkA3
M4H+WLilCv0SRiRdxmUIRdKGKklSfaNAnVSk6oLnI3nTjYkDubIULEseeOaNbYfvWnRiCyYmBnSX
laP9GARH09P9eIqAfn9IM1M6oIeCzw+kzhZyp95IGx+ypy1YnzkGapgfCy6oK1iho+CHJtSVSxc4
Qii4owkk0lCmGG9DvwUOViF4k8E1TQTrdLDhn9JvgLAiWGyCm+pCqIT4iYCDKssIH8v3aIKG0/9f
9tnno7Q4Qs4f5V0vmk05XG4q4FfVS01V/PSxqnmd/Wu/9PsbPZ9dr4ecs+v6IQlSDLHqMriv2Tsp
L78RnRWKJW927scHe3zq394nXnOf5oFPELBY4D8Gxx7n6fqPvzDR9p5/TNENkpkNSN9Wnk7Zr8bo
V6Pw+y/4NJy//53fPvyHQWBgdhwEUMOw1XVO8U9jwLC+GQRRIYC2pyjCiITP2r9BEOnTjoMAqtoi
HzPI1h6vD4OgfgEGRhLnPM26fRsE8e4+YRDouwAOJzd9vKjqvJ0J6hcVqJwlVIn+9yfC64iArNu/
8vX5fv8EA+sLJS1SCQVTQnEx2998e4IBMEI6Q5TKHq99GIQtcVF/z9X987iIhziaokz2X8dF9Lg1
0b7a66EQp6EdAwP9SgezJeVX0VFsEVwoaTw1R/ctMFBBfd+1/VfmA80sCNDYWz1e76Mjg0BLF+uZ
5z15/wZB3n0Q+I5wzQHqUi8XF0vvTXxQ1S8yg4RA294mC08b+H3/f7xN9ncq90cZE9V90Q2gd/3+
28usA9HYR+lFXPuaK2jv6z1/vhoskkKZcg9SAS/R7/1EIHyCIhCae//7++SWLUKmy7NzXARVrwLK
gFQmrg+rAWy9LdaL/jTg+xcShATEjoOgf5ENVdVo8v8iLtpfVHpXuiWEdLn2dVHI75uIf74okAum
f+ggMLx9KIiOVE9sA8zPni4KhSm843wwhTukodIs3R4ZFBsuimOi37OvgyDvHB6xcrEE5EQV00Fc
H04ROhuprnGKeBrw/YsMws5mt5mAcA0JIVI34Nwerw/hUUUdVpGh4u5reBSYtd0GAZSApYL7UZ+P
k+KI9najJGcQbGFA3o+DtK/h8QMN7c/Do2BtC4KX/ovDJVQ0zVYVXJOe5t7+LQqhDb/jfKDSBJxE
ccScfzsR2BxoNlmaYLrzIfv37Z9fyw6pM3GRly948c9n5g+DQMwAsYdh7b5OAWXn4zRxUbRJdRC7
76eA/gUQK+oFYHgfrz2dCM/p7A4TgbAIGhNsBZDll7D3fjUAPYYZur+p8+4HSZXQj68bkhNPg8Cc
fzMIivHFoDKPUNt+7w3qzmsCYXf6/ICMICdvnQ9UV5CMtQClo60hrj1dGs9xa5elYXzREACkZPX0
0rfVYMUxA5zFU3ayfxuFtnPuSFfKNogQqvZ8qvyQNrGTyOASlf2ND7tX28wvvGOaDS9H6/eDIKrx
/Iym1L7OhOee4S7LwfnCQYnaAVW1x2vLKQLpHgU7y309RQgRoh2zRgP/TxVONnLLW8OjUHEgXNCf
3NvA+PR2dpgJQgiVFgSA6qcxEAW8N9ulGAR+LGxF9nV32H0mmOyDREW2yl/OBJQ02EyfG8L7tzs8
lzx2mAlkC6DrHRMpgKdkgGF9PxOExjwlR3RFuPb1UP2MJthlKFB2EYU2y3rOIfmqb4cCciD8GA0E
5p4uCsHa2jE8itOEUG97ng4fym2iN4esMXjSfQ2PQlxnx0Ewv+C09MgBfYoMH8IjUFyEcsDa7m2B
Yec9Qpwr8YXCeuIXRypK8Byuya7tvR2Ep3W6W0xQsRekV/28R2yZCShS6pRZ9jVl0p/ezi6DwEZp
YUKCjcgv9gha1cQEgOv7OggCR79jTNCoMFBmsc1f4NpQ0sR/jSHY2y3yuRq620zQNKjzvOmnwPh+
i3xEbtCOUp5r3HuYMj1tW7sMgv2F7U/MhedB2BYThPgppk5P155mC9rutSZKSfBNaMk8I7sIuG9T
JllYFFGl1vYVxCI8IHaODAhMGHBKn9bExyoTObag5ijWvqZM2u57hE2HEmgbp+qnOf9hJoh+hfgP
9Thx7es5Qts9hab1AHAL1tVzmeV9fGCnoHcnE0P2NTDsnkFTj0cE2qAm/y4i8OUVGtmMznM5ck/H
QAhc7BYXRHOKoiOj8Jw2fVgSKsGRBiYYwD0dBG33BJpONSOgC3u4x+v9YoAOoDrUZR3nKcPe26HY
PW94bMzAm3yZ+VvmA0drahD6vg7C84PtkjyxFwJgowL9q3qT8kXkj5yo9jVjMHY/WotKk0IzkirK
48X2+zZtgiNDEd6mwrCnkUG4au0WHjXgG7CZadA/JQTbatD8EN6AEDXm2ttFsfNuKTBumpAJe2HK
EGvezgcVgjf9a8rR+zofdt8phEb2oxX586L4sFM85hRQzwVYnLm3f2dLffcqA2rgOjbjhvmrFp0C
K0CAgBHC2c9B+KAg9OfoNkgyuMqK3Oj9OmCh4ESD7MDeBoPd0wQ2ByQNwcI/n6nfZ9BkTKhaA3ra
22rbB3vHP54C5M4gdUzg8L+gjIniM4QxeKRPeeUfzIf/Qdz4m6A89YP44ZGajJPbNgbzr37hhZP7
8eeviMePNMM3vymoyk8f/sTMFf//v94ylx/j3qufvsTBx096/vvnr/jxw9982Mv3evnHVbAp1+U9
QgSP1OjnB31S/vrvGAGwh/VrkiRtAU3UQl/+bTvN+u8k4fd3x7hq83KjgwehcSlrYtt/+bddbp6s
H7Ly5Uavbs6c+WccPxLE/0dPPhEW3i/3eXVvMrqd7z1dx+uWV1K93OvV/dkcd78/fhfVh1fKqLO/
fsLN07pc/zXNqnrbRxDZd/6I2Sb+6zQrt44/OfrO95/Hf82yksnzcq9X40+6s/P9FyXukNtuTsTf
+ebLeJOmL/d59eCfsVxXTXKXxQ/1x9sLSO/Oj36Q5JsyWMcvt/rn6ZXPWLIH6bBl0AVdZ+cnP9qU
W8ZcABl3v3WQelsCgfIZa/V4HW2JYQJwtvNjH6+rarNtTD5jgR5n1V//nXqbeLNtZD5jiZ6sHwjA
L+PwaiJ+xhI9WZfBtqH5jCUq7o2twZZHFwjjnV/rySZ9yO6DbdFLAHE+4f7l/ebh5Ub/jLsAPO1+
84xnf7nPq3t/xjI9ybaOyWesUm5db8rNsOXJP2Olnq7zbbPlM9bp6aZdf8wdDdzZX77LDundWbkm
BLzc6NXr/Iwleh6v7zdbckeBDd15Hp7jxLAtuRN92Z1vfhmQOlbBw5aRES3Pne9/tb4vORKk9Za9
VLQTP+ED0r8mGzwHt33AZyzVq7X4gDJdlw9bA5noBH7Kt5gFG2/bl/iMVSu+xIIVcB9U99s+4zOW
r/iMw2xdNNt2K9Ei+pRROm6C6q+zu6DKt32Pz1jM4nucrOvNtvt/xnrm/uhlT9bl3XpbziCEdD5j
pPiMKca+W4K1aM981ieUzfhys39iqsCS7f4B/nrrmVDQpHe/OTWMrUPzKYs5qKJgyJqX53w1MJ+y
lrN4vS17ELyc3QeGxCTZNmc+Zf3Wa8Se43VTvTzpq6H5lKUryixb9mFhqbLz0Fxv/PW2oRFlzN1v
To6PzuDLnf4ZFwEw2P3uv7P4fqzi7ZBZXTe/NUTd9fa/N/jZ9e6/sSrY+da/VnH+/a23lWX/7mN9
LNa+qDtu+7O3tWjxG/fxZl3+1/8FAAD//w==</cx:binary>
              </cx:geoCache>
            </cx:geography>
          </cx:layoutPr>
          <cx:valueColors>
            <cx:minColor>
              <a:schemeClr val="accent6">
                <a:lumMod val="60000"/>
                <a:lumOff val="40000"/>
              </a:schemeClr>
            </cx:minColor>
            <cx:maxColor>
              <a:schemeClr val="accent6">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microsoft.com/office/2014/relationships/chartEx" Target="../charts/chartEx1.xml"/><Relationship Id="rId4"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1.emf"/><Relationship Id="rId1" Type="http://schemas.openxmlformats.org/officeDocument/2006/relationships/chart" Target="../charts/chart4.xml"/><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 Id="rId9" Type="http://schemas.microsoft.com/office/2014/relationships/chartEx" Target="../charts/chartEx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7</xdr:col>
      <xdr:colOff>85725</xdr:colOff>
      <xdr:row>10</xdr:row>
      <xdr:rowOff>100012</xdr:rowOff>
    </xdr:from>
    <xdr:to>
      <xdr:col>14</xdr:col>
      <xdr:colOff>390525</xdr:colOff>
      <xdr:row>24</xdr:row>
      <xdr:rowOff>176212</xdr:rowOff>
    </xdr:to>
    <xdr:graphicFrame macro="">
      <xdr:nvGraphicFramePr>
        <xdr:cNvPr id="2" name="Chart 1">
          <a:extLst>
            <a:ext uri="{FF2B5EF4-FFF2-40B4-BE49-F238E27FC236}">
              <a16:creationId xmlns:a16="http://schemas.microsoft.com/office/drawing/2014/main" id="{D763C0BA-423C-E4BB-AEA2-64CCCF56F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47625</xdr:colOff>
      <xdr:row>120</xdr:row>
      <xdr:rowOff>52387</xdr:rowOff>
    </xdr:from>
    <xdr:to>
      <xdr:col>10</xdr:col>
      <xdr:colOff>1047750</xdr:colOff>
      <xdr:row>134</xdr:row>
      <xdr:rowOff>128587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A6846A3C-58F0-55A8-4331-690D7F6BF0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38950" y="231028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790575</xdr:colOff>
      <xdr:row>11</xdr:row>
      <xdr:rowOff>52387</xdr:rowOff>
    </xdr:from>
    <xdr:to>
      <xdr:col>9</xdr:col>
      <xdr:colOff>76200</xdr:colOff>
      <xdr:row>25</xdr:row>
      <xdr:rowOff>128587</xdr:rowOff>
    </xdr:to>
    <xdr:graphicFrame macro="">
      <xdr:nvGraphicFramePr>
        <xdr:cNvPr id="6" name="Chart 5">
          <a:extLst>
            <a:ext uri="{FF2B5EF4-FFF2-40B4-BE49-F238E27FC236}">
              <a16:creationId xmlns:a16="http://schemas.microsoft.com/office/drawing/2014/main" id="{6730109C-880A-3DA2-969D-F2DC028BC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1460499</xdr:colOff>
      <xdr:row>178</xdr:row>
      <xdr:rowOff>114300</xdr:rowOff>
    </xdr:from>
    <xdr:to>
      <xdr:col>9</xdr:col>
      <xdr:colOff>740833</xdr:colOff>
      <xdr:row>193</xdr:row>
      <xdr:rowOff>0</xdr:rowOff>
    </xdr:to>
    <xdr:graphicFrame macro="">
      <xdr:nvGraphicFramePr>
        <xdr:cNvPr id="8" name="Chart 7">
          <a:extLst>
            <a:ext uri="{FF2B5EF4-FFF2-40B4-BE49-F238E27FC236}">
              <a16:creationId xmlns:a16="http://schemas.microsoft.com/office/drawing/2014/main" id="{9B904E3B-7316-E525-A137-4AF257F77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455083</xdr:colOff>
      <xdr:row>121</xdr:row>
      <xdr:rowOff>189440</xdr:rowOff>
    </xdr:from>
    <xdr:to>
      <xdr:col>15</xdr:col>
      <xdr:colOff>645583</xdr:colOff>
      <xdr:row>136</xdr:row>
      <xdr:rowOff>75140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2F2D5DAC-9E33-2F8A-E7C7-63177D4E64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818283" y="23430440"/>
              <a:ext cx="463867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160535</xdr:rowOff>
    </xdr:from>
    <xdr:to>
      <xdr:col>24</xdr:col>
      <xdr:colOff>0</xdr:colOff>
      <xdr:row>42</xdr:row>
      <xdr:rowOff>186083</xdr:rowOff>
    </xdr:to>
    <xdr:grpSp>
      <xdr:nvGrpSpPr>
        <xdr:cNvPr id="6" name="Group 5">
          <a:extLst>
            <a:ext uri="{FF2B5EF4-FFF2-40B4-BE49-F238E27FC236}">
              <a16:creationId xmlns:a16="http://schemas.microsoft.com/office/drawing/2014/main" id="{A890C127-E38F-AB3E-2B18-E5251173FE6C}"/>
            </a:ext>
          </a:extLst>
        </xdr:cNvPr>
        <xdr:cNvGrpSpPr/>
      </xdr:nvGrpSpPr>
      <xdr:grpSpPr>
        <a:xfrm>
          <a:off x="0" y="353175"/>
          <a:ext cx="14640674" cy="7966616"/>
          <a:chOff x="0" y="353175"/>
          <a:chExt cx="14640674" cy="7966616"/>
        </a:xfrm>
      </xdr:grpSpPr>
      <xdr:grpSp>
        <xdr:nvGrpSpPr>
          <xdr:cNvPr id="44" name="Group 43">
            <a:extLst>
              <a:ext uri="{FF2B5EF4-FFF2-40B4-BE49-F238E27FC236}">
                <a16:creationId xmlns:a16="http://schemas.microsoft.com/office/drawing/2014/main" id="{841E7178-BCD7-B4F8-1115-2819DB223222}"/>
              </a:ext>
            </a:extLst>
          </xdr:cNvPr>
          <xdr:cNvGrpSpPr/>
        </xdr:nvGrpSpPr>
        <xdr:grpSpPr>
          <a:xfrm>
            <a:off x="0" y="353175"/>
            <a:ext cx="14640674" cy="7966616"/>
            <a:chOff x="0" y="353390"/>
            <a:chExt cx="14981251" cy="7945902"/>
          </a:xfrm>
        </xdr:grpSpPr>
        <xdr:grpSp>
          <xdr:nvGrpSpPr>
            <xdr:cNvPr id="43" name="Group 42">
              <a:extLst>
                <a:ext uri="{FF2B5EF4-FFF2-40B4-BE49-F238E27FC236}">
                  <a16:creationId xmlns:a16="http://schemas.microsoft.com/office/drawing/2014/main" id="{ECE8F9FF-47DB-D3BC-6049-CFFF1102C7DA}"/>
                </a:ext>
              </a:extLst>
            </xdr:cNvPr>
            <xdr:cNvGrpSpPr/>
          </xdr:nvGrpSpPr>
          <xdr:grpSpPr>
            <a:xfrm>
              <a:off x="0" y="353390"/>
              <a:ext cx="14981251" cy="7945902"/>
              <a:chOff x="14400" y="-30069"/>
              <a:chExt cx="14897415" cy="7491865"/>
            </a:xfrm>
          </xdr:grpSpPr>
          <xdr:sp macro="" textlink="">
            <xdr:nvSpPr>
              <xdr:cNvPr id="2" name="Rectangle: Rounded Corners 1">
                <a:extLst>
                  <a:ext uri="{FF2B5EF4-FFF2-40B4-BE49-F238E27FC236}">
                    <a16:creationId xmlns:a16="http://schemas.microsoft.com/office/drawing/2014/main" id="{AA6E552B-01CC-9DBE-98FB-9EBB1B08EEA7}"/>
                  </a:ext>
                </a:extLst>
              </xdr:cNvPr>
              <xdr:cNvSpPr/>
            </xdr:nvSpPr>
            <xdr:spPr>
              <a:xfrm>
                <a:off x="14400" y="-30069"/>
                <a:ext cx="14897415" cy="7491865"/>
              </a:xfrm>
              <a:prstGeom prst="roundRect">
                <a:avLst>
                  <a:gd name="adj" fmla="val 3967"/>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33</a:t>
                </a:r>
              </a:p>
            </xdr:txBody>
          </xdr:sp>
          <xdr:sp macro="" textlink="">
            <xdr:nvSpPr>
              <xdr:cNvPr id="3" name="Rectangle: Rounded Corners 2">
                <a:extLst>
                  <a:ext uri="{FF2B5EF4-FFF2-40B4-BE49-F238E27FC236}">
                    <a16:creationId xmlns:a16="http://schemas.microsoft.com/office/drawing/2014/main" id="{5F121D9A-4D5C-CDFC-1EEF-6704C14148DF}"/>
                  </a:ext>
                </a:extLst>
              </xdr:cNvPr>
              <xdr:cNvSpPr/>
            </xdr:nvSpPr>
            <xdr:spPr>
              <a:xfrm>
                <a:off x="76201" y="66675"/>
                <a:ext cx="2192414" cy="7239000"/>
              </a:xfrm>
              <a:prstGeom prst="roundRect">
                <a:avLst/>
              </a:prstGeom>
              <a:solidFill>
                <a:schemeClr val="accent6">
                  <a:lumMod val="75000"/>
                </a:schemeClr>
              </a:solidFill>
              <a:ln>
                <a:solidFill>
                  <a:schemeClr val="accent2">
                    <a:lumMod val="75000"/>
                  </a:schemeClr>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es!H4">
            <xdr:nvSpPr>
              <xdr:cNvPr id="4" name="TextBox 3">
                <a:extLst>
                  <a:ext uri="{FF2B5EF4-FFF2-40B4-BE49-F238E27FC236}">
                    <a16:creationId xmlns:a16="http://schemas.microsoft.com/office/drawing/2014/main" id="{F17A6131-1FDF-8F82-88F2-34168D2A432F}"/>
                  </a:ext>
                </a:extLst>
              </xdr:cNvPr>
              <xdr:cNvSpPr txBox="1"/>
            </xdr:nvSpPr>
            <xdr:spPr>
              <a:xfrm>
                <a:off x="76200" y="561974"/>
                <a:ext cx="1771650"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4F8D8B-FB80-4CA0-B3B0-4694496A1F6C}" type="TxLink">
                  <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pPr marL="0" indent="0"/>
                  <a:t>2,400</a:t>
                </a:fld>
                <a:endPar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Pivotes!I4">
            <xdr:nvSpPr>
              <xdr:cNvPr id="12" name="TextBox 11">
                <a:extLst>
                  <a:ext uri="{FF2B5EF4-FFF2-40B4-BE49-F238E27FC236}">
                    <a16:creationId xmlns:a16="http://schemas.microsoft.com/office/drawing/2014/main" id="{41B1B8B0-5125-426F-99A2-5B70E2BAD792}"/>
                  </a:ext>
                </a:extLst>
              </xdr:cNvPr>
              <xdr:cNvSpPr txBox="1"/>
            </xdr:nvSpPr>
            <xdr:spPr>
              <a:xfrm>
                <a:off x="76200" y="1219199"/>
                <a:ext cx="1771650"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D7CA89-E21D-4770-A88D-3892146129C2}" type="TxLink">
                  <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pPr marL="0" indent="0"/>
                  <a:t>11,997</a:t>
                </a:fld>
                <a:endPar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Pivotes!K4">
            <xdr:nvSpPr>
              <xdr:cNvPr id="13" name="TextBox 12">
                <a:extLst>
                  <a:ext uri="{FF2B5EF4-FFF2-40B4-BE49-F238E27FC236}">
                    <a16:creationId xmlns:a16="http://schemas.microsoft.com/office/drawing/2014/main" id="{C8F3DB32-D426-47C3-8BF9-39CD16A19905}"/>
                  </a:ext>
                </a:extLst>
              </xdr:cNvPr>
              <xdr:cNvSpPr txBox="1"/>
            </xdr:nvSpPr>
            <xdr:spPr>
              <a:xfrm>
                <a:off x="76200" y="2314574"/>
                <a:ext cx="1771650"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1F4BC3-F32E-48CA-B714-16F83A96F4E4}" type="TxLink">
                  <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pPr marL="0" indent="0"/>
                  <a:t>4.0</a:t>
                </a:fld>
                <a:endPar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Pivotes!L4">
            <xdr:nvSpPr>
              <xdr:cNvPr id="14" name="TextBox 13">
                <a:extLst>
                  <a:ext uri="{FF2B5EF4-FFF2-40B4-BE49-F238E27FC236}">
                    <a16:creationId xmlns:a16="http://schemas.microsoft.com/office/drawing/2014/main" id="{97BED4A2-B31B-47D0-84FE-95B0C2FE6427}"/>
                  </a:ext>
                </a:extLst>
              </xdr:cNvPr>
              <xdr:cNvSpPr txBox="1"/>
            </xdr:nvSpPr>
            <xdr:spPr>
              <a:xfrm>
                <a:off x="76200" y="2952749"/>
                <a:ext cx="1771650"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26EE2-97DE-4DB4-95E8-EEDA2AB74F02}" type="TxLink">
                  <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pPr marL="0" indent="0"/>
                  <a:t>2.3</a:t>
                </a:fld>
                <a:endPar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Pivotes!J4">
            <xdr:nvSpPr>
              <xdr:cNvPr id="15" name="TextBox 14">
                <a:extLst>
                  <a:ext uri="{FF2B5EF4-FFF2-40B4-BE49-F238E27FC236}">
                    <a16:creationId xmlns:a16="http://schemas.microsoft.com/office/drawing/2014/main" id="{90CD22F2-3265-449B-9E0D-CD2128D372FA}"/>
                  </a:ext>
                </a:extLst>
              </xdr:cNvPr>
              <xdr:cNvSpPr txBox="1"/>
            </xdr:nvSpPr>
            <xdr:spPr>
              <a:xfrm>
                <a:off x="76200" y="1704974"/>
                <a:ext cx="1771650"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4B5A04-6DAF-41F2-911A-C6A54E69C810}" type="TxLink">
                  <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pPr marL="0" indent="0"/>
                  <a:t>$649.0k</a:t>
                </a:fld>
                <a:endParaRPr lang="en-US"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
            <xdr:nvSpPr>
              <xdr:cNvPr id="16" name="TextBox 15">
                <a:extLst>
                  <a:ext uri="{FF2B5EF4-FFF2-40B4-BE49-F238E27FC236}">
                    <a16:creationId xmlns:a16="http://schemas.microsoft.com/office/drawing/2014/main" id="{DCCFD705-BA1E-F8B9-7D7D-754B667B9FF2}"/>
                  </a:ext>
                </a:extLst>
              </xdr:cNvPr>
              <xdr:cNvSpPr txBox="1"/>
            </xdr:nvSpPr>
            <xdr:spPr>
              <a:xfrm>
                <a:off x="76200" y="276225"/>
                <a:ext cx="1590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t>Orders</a:t>
                </a:r>
              </a:p>
              <a:p>
                <a:pPr marL="0" indent="0"/>
                <a:endParaRPr lang="en-IN"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
            <xdr:nvSpPr>
              <xdr:cNvPr id="18" name="TextBox 17">
                <a:extLst>
                  <a:ext uri="{FF2B5EF4-FFF2-40B4-BE49-F238E27FC236}">
                    <a16:creationId xmlns:a16="http://schemas.microsoft.com/office/drawing/2014/main" id="{D2651C02-499D-44DF-B2C9-A8823654D1CA}"/>
                  </a:ext>
                </a:extLst>
              </xdr:cNvPr>
              <xdr:cNvSpPr txBox="1"/>
            </xdr:nvSpPr>
            <xdr:spPr>
              <a:xfrm>
                <a:off x="76200" y="2124075"/>
                <a:ext cx="1590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t>Avg Rating</a:t>
                </a:r>
              </a:p>
              <a:p>
                <a:pPr marL="0" indent="0"/>
                <a:endParaRPr lang="en-IN" sz="16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a:p>
                <a:pPr marL="0" indent="0"/>
                <a:endParaRPr lang="en-IN"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
            <xdr:nvSpPr>
              <xdr:cNvPr id="19" name="TextBox 18">
                <a:extLst>
                  <a:ext uri="{FF2B5EF4-FFF2-40B4-BE49-F238E27FC236}">
                    <a16:creationId xmlns:a16="http://schemas.microsoft.com/office/drawing/2014/main" id="{3E82BCDB-9ED0-4E08-925C-35658C6D4ADE}"/>
                  </a:ext>
                </a:extLst>
              </xdr:cNvPr>
              <xdr:cNvSpPr txBox="1"/>
            </xdr:nvSpPr>
            <xdr:spPr>
              <a:xfrm>
                <a:off x="76200" y="962025"/>
                <a:ext cx="1590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t>Quantity</a:t>
                </a:r>
              </a:p>
              <a:p>
                <a:pPr marL="0" indent="0"/>
                <a:endParaRPr lang="en-IN" sz="16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a:p>
                <a:pPr marL="0" indent="0"/>
                <a:endParaRPr lang="en-IN"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
            <xdr:nvSpPr>
              <xdr:cNvPr id="20" name="TextBox 19">
                <a:extLst>
                  <a:ext uri="{FF2B5EF4-FFF2-40B4-BE49-F238E27FC236}">
                    <a16:creationId xmlns:a16="http://schemas.microsoft.com/office/drawing/2014/main" id="{BBC2694E-2360-42C7-8EB3-4E3883BD1B25}"/>
                  </a:ext>
                </a:extLst>
              </xdr:cNvPr>
              <xdr:cNvSpPr txBox="1"/>
            </xdr:nvSpPr>
            <xdr:spPr>
              <a:xfrm>
                <a:off x="76200" y="1524000"/>
                <a:ext cx="1590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t>Amount</a:t>
                </a:r>
              </a:p>
              <a:p>
                <a:pPr marL="0" indent="0"/>
                <a:endParaRPr lang="en-IN"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sp macro="" textlink="">
            <xdr:nvSpPr>
              <xdr:cNvPr id="21" name="TextBox 20">
                <a:extLst>
                  <a:ext uri="{FF2B5EF4-FFF2-40B4-BE49-F238E27FC236}">
                    <a16:creationId xmlns:a16="http://schemas.microsoft.com/office/drawing/2014/main" id="{E1FED3A3-3B98-423D-8FD7-63610FCF6A4A}"/>
                  </a:ext>
                </a:extLst>
              </xdr:cNvPr>
              <xdr:cNvSpPr txBox="1"/>
            </xdr:nvSpPr>
            <xdr:spPr>
              <a:xfrm>
                <a:off x="76200" y="2676525"/>
                <a:ext cx="1811267"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rPr>
                  <a:t>Days to deliver</a:t>
                </a:r>
              </a:p>
              <a:p>
                <a:pPr marL="0" indent="0"/>
                <a:endParaRPr lang="en-IN" sz="2000">
                  <a:gradFill>
                    <a:gsLst>
                      <a:gs pos="0">
                        <a:schemeClr val="bg1">
                          <a:lumMod val="95000"/>
                        </a:schemeClr>
                      </a:gs>
                      <a:gs pos="100000">
                        <a:schemeClr val="bg1">
                          <a:lumMod val="65000"/>
                        </a:schemeClr>
                      </a:gs>
                      <a:gs pos="42000">
                        <a:schemeClr val="accent2">
                          <a:lumMod val="40000"/>
                          <a:lumOff val="60000"/>
                        </a:schemeClr>
                      </a:gs>
                    </a:gsLst>
                    <a:lin ang="0" scaled="0"/>
                  </a:gradFill>
                  <a:latin typeface="Amasis MT Pro Medium" panose="02040604050005020304" pitchFamily="18" charset="0"/>
                  <a:ea typeface="+mn-ea"/>
                  <a:cs typeface="+mn-cs"/>
                </a:endParaRPr>
              </a:p>
            </xdr:txBody>
          </xdr:sp>
          <xdr:graphicFrame macro="">
            <xdr:nvGraphicFramePr>
              <xdr:cNvPr id="22" name="Chart 21">
                <a:extLst>
                  <a:ext uri="{FF2B5EF4-FFF2-40B4-BE49-F238E27FC236}">
                    <a16:creationId xmlns:a16="http://schemas.microsoft.com/office/drawing/2014/main" id="{373BECBB-448B-49B6-9261-4BC0E7DA5281}"/>
                  </a:ext>
                </a:extLst>
              </xdr:cNvPr>
              <xdr:cNvGraphicFramePr>
                <a:graphicFrameLocks/>
              </xdr:cNvGraphicFramePr>
            </xdr:nvGraphicFramePr>
            <xdr:xfrm>
              <a:off x="2438283" y="67754"/>
              <a:ext cx="4785247" cy="2247199"/>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E775017D-D5D4-CCEA-5BA6-D2314B94DCAC}"/>
                      </a:ext>
                    </a:extLst>
                  </xdr:cNvPr>
                  <xdr:cNvPicPr>
                    <a:picLocks noChangeAspect="1" noChangeArrowheads="1"/>
                    <a:extLst>
                      <a:ext uri="{84589F7E-364E-4C9E-8A38-B11213B215E9}">
                        <a14:cameraTool cellRange="Pivotes!$J$30:$N$35" spid="_x0000_s1143"/>
                      </a:ext>
                    </a:extLst>
                  </xdr:cNvPicPr>
                </xdr:nvPicPr>
                <xdr:blipFill>
                  <a:blip xmlns:r="http://schemas.openxmlformats.org/officeDocument/2006/relationships" r:embed="rId2"/>
                  <a:srcRect/>
                  <a:stretch>
                    <a:fillRect/>
                  </a:stretch>
                </xdr:blipFill>
                <xdr:spPr bwMode="auto">
                  <a:xfrm>
                    <a:off x="7419549" y="178172"/>
                    <a:ext cx="3876813" cy="1958784"/>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32" name="Chart 31">
                <a:extLst>
                  <a:ext uri="{FF2B5EF4-FFF2-40B4-BE49-F238E27FC236}">
                    <a16:creationId xmlns:a16="http://schemas.microsoft.com/office/drawing/2014/main" id="{FF9E37F9-7DEC-4BEF-8ADD-E41AB682EC76}"/>
                  </a:ext>
                </a:extLst>
              </xdr:cNvPr>
              <xdr:cNvGraphicFramePr>
                <a:graphicFrameLocks/>
              </xdr:cNvGraphicFramePr>
            </xdr:nvGraphicFramePr>
            <xdr:xfrm>
              <a:off x="2438281" y="2371292"/>
              <a:ext cx="4970377" cy="2613605"/>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0F7A07F-A5A7-4B4B-A5D0-B1934B7821F0}"/>
                      </a:ext>
                    </a:extLst>
                  </xdr:cNvPr>
                  <xdr:cNvGraphicFramePr/>
                </xdr:nvGraphicFramePr>
                <xdr:xfrm>
                  <a:off x="7503752" y="2399760"/>
                  <a:ext cx="3727269" cy="468630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503752" y="2399760"/>
                    <a:ext cx="3727269" cy="4686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36" name="Chart 35">
                <a:extLst>
                  <a:ext uri="{FF2B5EF4-FFF2-40B4-BE49-F238E27FC236}">
                    <a16:creationId xmlns:a16="http://schemas.microsoft.com/office/drawing/2014/main" id="{47CF4DAA-2066-4FFD-BD3E-C66D2CE31AED}"/>
                  </a:ext>
                </a:extLst>
              </xdr:cNvPr>
              <xdr:cNvGraphicFramePr>
                <a:graphicFrameLocks/>
              </xdr:cNvGraphicFramePr>
            </xdr:nvGraphicFramePr>
            <xdr:xfrm>
              <a:off x="2466887" y="5022297"/>
              <a:ext cx="4919991" cy="220412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7" name="Chart 36">
                <a:extLst>
                  <a:ext uri="{FF2B5EF4-FFF2-40B4-BE49-F238E27FC236}">
                    <a16:creationId xmlns:a16="http://schemas.microsoft.com/office/drawing/2014/main" id="{03F2EBA1-C8A2-497E-B829-4C8152ED8564}"/>
                  </a:ext>
                </a:extLst>
              </xdr:cNvPr>
              <xdr:cNvGraphicFramePr>
                <a:graphicFrameLocks/>
              </xdr:cNvGraphicFramePr>
            </xdr:nvGraphicFramePr>
            <xdr:xfrm>
              <a:off x="11312910" y="2405509"/>
              <a:ext cx="3522675" cy="4659876"/>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38" name="Gender Value 1">
                    <a:extLst>
                      <a:ext uri="{FF2B5EF4-FFF2-40B4-BE49-F238E27FC236}">
                        <a16:creationId xmlns:a16="http://schemas.microsoft.com/office/drawing/2014/main" id="{66E6E584-38B4-48DF-94B3-339926439EC7}"/>
                      </a:ext>
                    </a:extLst>
                  </xdr:cNvPr>
                  <xdr:cNvGraphicFramePr/>
                </xdr:nvGraphicFramePr>
                <xdr:xfrm>
                  <a:off x="238125" y="3381374"/>
                  <a:ext cx="1692902" cy="1809751"/>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219869" y="3980797"/>
                    <a:ext cx="1663727" cy="1924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9" name="Order Mode">
                    <a:extLst>
                      <a:ext uri="{FF2B5EF4-FFF2-40B4-BE49-F238E27FC236}">
                        <a16:creationId xmlns:a16="http://schemas.microsoft.com/office/drawing/2014/main" id="{1F6B7459-C8DD-4A0A-AEFE-95A3168360CC}"/>
                      </a:ext>
                    </a:extLst>
                  </xdr:cNvPr>
                  <xdr:cNvGraphicFramePr/>
                </xdr:nvGraphicFramePr>
                <xdr:xfrm>
                  <a:off x="257175" y="5229225"/>
                  <a:ext cx="1597622" cy="1971675"/>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38591" y="5945745"/>
                    <a:ext cx="1570089" cy="2096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33" name="Chart 32">
              <a:extLst>
                <a:ext uri="{FF2B5EF4-FFF2-40B4-BE49-F238E27FC236}">
                  <a16:creationId xmlns:a16="http://schemas.microsoft.com/office/drawing/2014/main" id="{A269C510-C4E9-4EC5-A9D3-6CAC69A6AFFE}"/>
                </a:ext>
              </a:extLst>
            </xdr:cNvPr>
            <xdr:cNvGraphicFramePr>
              <a:graphicFrameLocks/>
            </xdr:cNvGraphicFramePr>
          </xdr:nvGraphicFramePr>
          <xdr:xfrm>
            <a:off x="6017897" y="3041826"/>
            <a:ext cx="1100377" cy="865773"/>
          </xdr:xfrm>
          <a:graphic>
            <a:graphicData uri="http://schemas.openxmlformats.org/drawingml/2006/chart">
              <c:chart xmlns:c="http://schemas.openxmlformats.org/drawingml/2006/chart" xmlns:r="http://schemas.openxmlformats.org/officeDocument/2006/relationships" r:id="rId7"/>
            </a:graphicData>
          </a:graphic>
        </xdr:graphicFrame>
      </xdr:grpSp>
      <xdr:graphicFrame macro="">
        <xdr:nvGraphicFramePr>
          <xdr:cNvPr id="5" name="Chart 4">
            <a:extLst>
              <a:ext uri="{FF2B5EF4-FFF2-40B4-BE49-F238E27FC236}">
                <a16:creationId xmlns:a16="http://schemas.microsoft.com/office/drawing/2014/main" id="{1BC4D5BA-F7AB-46D7-954C-800A9F12138C}"/>
              </a:ext>
            </a:extLst>
          </xdr:cNvPr>
          <xdr:cNvGraphicFramePr>
            <a:graphicFrameLocks/>
          </xdr:cNvGraphicFramePr>
        </xdr:nvGraphicFramePr>
        <xdr:xfrm>
          <a:off x="11183848" y="574922"/>
          <a:ext cx="3414017" cy="214344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15</xdr:col>
      <xdr:colOff>128426</xdr:colOff>
      <xdr:row>19</xdr:row>
      <xdr:rowOff>1</xdr:rowOff>
    </xdr:from>
    <xdr:to>
      <xdr:col>17</xdr:col>
      <xdr:colOff>535112</xdr:colOff>
      <xdr:row>27</xdr:row>
      <xdr:rowOff>160534</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648005D4-C5D0-4C69-9243-4A44390A2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272426" y="3667126"/>
              <a:ext cx="1625886" cy="16845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ae19668c4688cff/Desktop/class91/class94/ecommerce-blank.xlsx" TargetMode="External"/><Relationship Id="rId1" Type="http://schemas.openxmlformats.org/officeDocument/2006/relationships/externalLinkPath" Target="ecommerce-blan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1"/>
      <sheetName val="Detail2"/>
      <sheetName val="Detail3"/>
      <sheetName val="Sheet2"/>
      <sheetName val="Data"/>
      <sheetName val="Sheet1"/>
      <sheetName val="Questions &amp; KPIs"/>
      <sheetName val="Dashboard"/>
      <sheetName val="Logo &amp; Colors"/>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i G" refreshedDate="46035.46990196759" createdVersion="8" refreshedVersion="8" minRefreshableVersion="3" recordCount="2400" xr:uid="{85F6FB42-6786-49A2-AC9E-726F15F2047C}">
  <cacheSource type="worksheet">
    <worksheetSource name="Table1"/>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00644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E39E0E-5177-4BAB-9C83-5D16EABB289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1:B3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4" count="1" selected="0">
            <x v="0"/>
          </reference>
        </references>
      </pivotArea>
    </chartFormat>
    <chartFormat chart="13" format="8">
      <pivotArea type="data" outline="0" fieldPosition="0">
        <references count="2">
          <reference field="4294967294" count="1" selected="0">
            <x v="0"/>
          </reference>
          <reference field="14" count="1" selected="0">
            <x v="1"/>
          </reference>
        </references>
      </pivotArea>
    </chartFormat>
    <chartFormat chart="13" format="9">
      <pivotArea type="data" outline="0" fieldPosition="0">
        <references count="2">
          <reference field="4294967294" count="1" selected="0">
            <x v="0"/>
          </reference>
          <reference field="14" count="1" selected="0">
            <x v="2"/>
          </reference>
        </references>
      </pivotArea>
    </chartFormat>
    <chartFormat chart="13"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153E2D-0887-4740-A4AF-7D649AF68F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C13FAA-F7EA-4415-B480-E23631F6A400}" name="dURATION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50:C66"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7" format="96"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BFC3A9-A20F-4D91-8706-7C4FB6FCEFF2}"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41:H46"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6">
    <chartFormat chart="20" format="102" series="1">
      <pivotArea type="data" outline="0" fieldPosition="0">
        <references count="2">
          <reference field="4294967294" count="1" selected="0">
            <x v="0"/>
          </reference>
          <reference field="9" count="1" selected="0">
            <x v="0"/>
          </reference>
        </references>
      </pivotArea>
    </chartFormat>
    <chartFormat chart="20" format="103" series="1">
      <pivotArea type="data" outline="0" fieldPosition="0">
        <references count="2">
          <reference field="4294967294" count="1" selected="0">
            <x v="0"/>
          </reference>
          <reference field="9" count="1" selected="0">
            <x v="1"/>
          </reference>
        </references>
      </pivotArea>
    </chartFormat>
    <chartFormat chart="20" format="104" series="1">
      <pivotArea type="data" outline="0" fieldPosition="0">
        <references count="2">
          <reference field="4294967294" count="1" selected="0">
            <x v="0"/>
          </reference>
          <reference field="9" count="1" selected="0">
            <x v="2"/>
          </reference>
        </references>
      </pivotArea>
    </chartFormat>
    <chartFormat chart="20" format="105" series="1">
      <pivotArea type="data" outline="0" fieldPosition="0">
        <references count="2">
          <reference field="4294967294" count="1" selected="0">
            <x v="0"/>
          </reference>
          <reference field="9" count="1" selected="0">
            <x v="3"/>
          </reference>
        </references>
      </pivotArea>
    </chartFormat>
    <chartFormat chart="20" format="106" series="1">
      <pivotArea type="data" outline="0" fieldPosition="0">
        <references count="2">
          <reference field="4294967294" count="1" selected="0">
            <x v="0"/>
          </reference>
          <reference field="9" count="1" selected="0">
            <x v="4"/>
          </reference>
        </references>
      </pivotArea>
    </chartFormat>
    <chartFormat chart="20" format="107">
      <pivotArea type="data" outline="0" fieldPosition="0">
        <references count="3">
          <reference field="4294967294" count="1" selected="0">
            <x v="0"/>
          </reference>
          <reference field="9" count="1" selected="0">
            <x v="4"/>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BEFF34-D11B-42F7-A872-87BC0127ED57}" name="how they bu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8">
        <item x="0"/>
        <item x="1"/>
        <item x="2"/>
        <item x="4"/>
        <item x="3"/>
        <item n="6-10" x="5"/>
        <item n="More than 10" sd="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4CED90-94F7-4053-B95B-5C4DD48E8A4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8"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8">
        <item x="0"/>
        <item x="1"/>
        <item x="2"/>
        <item x="4"/>
        <item x="3"/>
        <item x="5"/>
        <item x="6"/>
        <item t="default"/>
      </items>
    </pivotField>
  </pivotFields>
  <rowFields count="2">
    <field x="14"/>
    <field x="8"/>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367527-3A0D-493E-8AAB-0AF72D60AF2F}" name="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0:G37"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chartFormats count="2">
    <chartFormat chart="3"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BDEEFC-7B18-4803-81A4-1FAA5594C071}" name="Product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42" firstHeaderRow="0" firstDataRow="0" firstDataCol="0"/>
  <pivotFields count="18">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8">
        <item x="0"/>
        <item x="1"/>
        <item x="2"/>
        <item x="4"/>
        <item x="3"/>
        <item x="5"/>
        <item x="6"/>
        <item t="default"/>
      </items>
    </pivotField>
  </pivotFields>
  <rowFields count="2">
    <field x="17"/>
    <field x="2"/>
  </rowFields>
  <rowItems count="56">
    <i>
      <x/>
    </i>
    <i r="1">
      <x/>
    </i>
    <i>
      <x v="1"/>
    </i>
    <i r="1">
      <x v="1"/>
    </i>
    <i>
      <x v="2"/>
    </i>
    <i r="1">
      <x v="2"/>
    </i>
    <i>
      <x v="3"/>
    </i>
    <i r="1">
      <x v="3"/>
    </i>
    <i>
      <x v="4"/>
    </i>
    <i r="1">
      <x v="4"/>
    </i>
    <i>
      <x v="5"/>
    </i>
    <i r="1">
      <x v="5"/>
    </i>
    <i r="1">
      <x v="6"/>
    </i>
    <i r="1">
      <x v="7"/>
    </i>
    <i r="1">
      <x v="8"/>
    </i>
    <i r="1">
      <x v="9"/>
    </i>
    <i>
      <x v="6"/>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t="grand">
      <x/>
    </i>
  </rowItems>
  <colItems count="1">
    <i/>
  </colItems>
  <dataFields count="1">
    <dataField name="Count of TX ID" fld="0" subtotal="count"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A51C6B-01AE-4B00-A637-606DFDD7BC5C}"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K172:L228"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8">
        <item x="0"/>
        <item x="1"/>
        <item x="2"/>
        <item x="4"/>
        <item x="3"/>
        <item x="5"/>
        <item x="6"/>
        <item t="default"/>
      </items>
    </pivotField>
  </pivotFields>
  <rowFields count="2">
    <field x="17"/>
    <field x="2"/>
  </rowFields>
  <rowItems count="56">
    <i>
      <x/>
    </i>
    <i r="1">
      <x/>
    </i>
    <i>
      <x v="1"/>
    </i>
    <i r="1">
      <x v="1"/>
    </i>
    <i>
      <x v="2"/>
    </i>
    <i r="1">
      <x v="2"/>
    </i>
    <i>
      <x v="3"/>
    </i>
    <i r="1">
      <x v="3"/>
    </i>
    <i>
      <x v="4"/>
    </i>
    <i r="1">
      <x v="4"/>
    </i>
    <i>
      <x v="5"/>
    </i>
    <i r="1">
      <x v="5"/>
    </i>
    <i r="1">
      <x v="6"/>
    </i>
    <i r="1">
      <x v="7"/>
    </i>
    <i r="1">
      <x v="8"/>
    </i>
    <i r="1">
      <x v="9"/>
    </i>
    <i>
      <x v="6"/>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t="grand">
      <x/>
    </i>
  </rowItems>
  <colItems count="1">
    <i/>
  </colItems>
  <dataFields count="1">
    <dataField name="Count of TX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387E9B-1134-4C2B-BCDE-C383BA14E9B8}" nam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4">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466EA0-8FDC-4D1C-BEEF-54A048DBF38E}" name="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B78:E138"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0"/>
        <item x="1"/>
        <item x="2"/>
        <item x="3"/>
        <item x="4"/>
        <item x="5"/>
        <item x="6"/>
        <item x="7"/>
        <item x="8"/>
        <item x="9"/>
        <item x="10"/>
        <item x="11"/>
        <item x="12"/>
        <item t="default"/>
      </items>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8">
        <item x="0"/>
        <item x="1"/>
        <item x="2"/>
        <item x="4"/>
        <item x="3"/>
        <item x="5"/>
        <item x="6"/>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D8FAE6-1619-4A7B-8FEC-7A80C6D927A6}" name="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C3C635-AA7B-47A2-81D7-52E895CBC1A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B65" firstHeaderRow="0" firstDataRow="0" firstDataCol="0"/>
  <pivotFields count="18">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8">
        <item x="0"/>
        <item x="1"/>
        <item x="2"/>
        <item x="4"/>
        <item x="3"/>
        <item x="5"/>
        <item x="6"/>
        <item t="default"/>
      </items>
    </pivotField>
  </pivotFields>
  <rowFields count="2">
    <field x="17"/>
    <field x="2"/>
  </rowFields>
  <rowItems count="56">
    <i>
      <x/>
    </i>
    <i r="1">
      <x/>
    </i>
    <i>
      <x v="1"/>
    </i>
    <i r="1">
      <x v="1"/>
    </i>
    <i>
      <x v="2"/>
    </i>
    <i r="1">
      <x v="2"/>
    </i>
    <i>
      <x v="3"/>
    </i>
    <i r="1">
      <x v="3"/>
    </i>
    <i>
      <x v="4"/>
    </i>
    <i r="1">
      <x v="4"/>
    </i>
    <i>
      <x v="5"/>
    </i>
    <i r="1">
      <x v="5"/>
    </i>
    <i r="1">
      <x v="6"/>
    </i>
    <i r="1">
      <x v="7"/>
    </i>
    <i r="1">
      <x v="8"/>
    </i>
    <i r="1">
      <x v="9"/>
    </i>
    <i>
      <x v="6"/>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t="grand">
      <x/>
    </i>
  </rowItems>
  <colItems count="1">
    <i/>
  </colItems>
  <dataFields count="1">
    <dataField name="Count of TX ID" fld="0" subtotal="count"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56</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1" xr10:uid="{D86A76AA-2DCC-46CE-AE39-6D002B0A1D4E}" sourceName="Gender Value">
  <pivotTables>
    <pivotTable tabId="2" name="PivotTable13"/>
    <pivotTable tabId="7" name="RATING"/>
    <pivotTable tabId="7" name="PivotTable8"/>
    <pivotTable tabId="7" name="PivotTable7"/>
    <pivotTable tabId="7" name="dURATION ANALYSIS"/>
    <pivotTable tabId="2" name="Trend"/>
    <pivotTable tabId="2" name="Summary"/>
    <pivotTable tabId="2" name="qTY"/>
    <pivotTable tabId="2" name="Products"/>
    <pivotTable tabId="2" name="PivotTable6"/>
    <pivotTable tabId="2" name="Map"/>
    <pivotTable tabId="8" name="PivotTable12"/>
    <pivotTable tabId="9" name="how they buy"/>
  </pivotTables>
  <data>
    <tabular pivotCacheId="10064484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1" xr10:uid="{C8071A8C-D07B-4BC9-A140-C4C9B83A0E88}" sourceName="Order Mode">
  <pivotTables>
    <pivotTable tabId="2" name="PivotTable13"/>
    <pivotTable tabId="7" name="RATING"/>
    <pivotTable tabId="7" name="PivotTable8"/>
    <pivotTable tabId="7" name="PivotTable7"/>
    <pivotTable tabId="7" name="dURATION ANALYSIS"/>
    <pivotTable tabId="2" name="Trend"/>
    <pivotTable tabId="2" name="Summary"/>
    <pivotTable tabId="2" name="qTY"/>
    <pivotTable tabId="2" name="Products"/>
    <pivotTable tabId="2" name="PivotTable6"/>
    <pivotTable tabId="2" name="Map"/>
    <pivotTable tabId="8" name="PivotTable12"/>
    <pivotTable tabId="9" name="how they buy"/>
  </pivotTables>
  <data>
    <tabular pivotCacheId="100644847">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1" xr10:uid="{FFCED2E7-1003-4FBD-A7C4-B8DA9E938FC1}" cache="Slicer_Gender_Value1" caption="Gender Value" rowHeight="257175"/>
  <slicer name="Order Mode" xr10:uid="{AC9653FB-0B09-4D6D-BD90-1704952E3A9D}" cache="Slicer_Order_Mode1" caption="Order Mod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1DCA68-DFBA-4D9F-917C-F529BD8AD57B}" name="Table1" displayName="Table1" ref="A1:O2401" totalsRowShown="0" headerRowDxfId="2">
  <autoFilter ref="A1:O2401" xr:uid="{891DCA68-DFBA-4D9F-917C-F529BD8AD57B}"/>
  <tableColumns count="15">
    <tableColumn id="1" xr3:uid="{A2446B87-1C02-448E-8133-BC80F3E87293}" name="TX ID"/>
    <tableColumn id="2" xr3:uid="{9772CEE5-6D67-4908-AFF3-4F26D0B09725}" name="Product"/>
    <tableColumn id="3" xr3:uid="{7AEEE4BA-6D72-479C-95AA-6ABAD4C7D2BE}" name="Quantity"/>
    <tableColumn id="4" xr3:uid="{A4D7D9BE-DCE2-483F-A8C5-701030A08ED7}" name="Unit Price"/>
    <tableColumn id="5" xr3:uid="{A6D79504-9043-427E-B85B-6558F18E7691}" name="Amount"/>
    <tableColumn id="6" xr3:uid="{FDACA741-9555-4BCA-B031-F5BA67E35168}" name="Order Date" dataDxfId="1"/>
    <tableColumn id="7" xr3:uid="{5317D3EB-DAF2-4B92-BC75-AF314951A583}" name="Ship Date" dataDxfId="0"/>
    <tableColumn id="8" xr3:uid="{90A20831-0C93-4013-8B13-8F85FF625FB7}" name="Customer Gender"/>
    <tableColumn id="9" xr3:uid="{20EAB224-2DC0-4A8A-AB53-AC5003C5648E}" name="Order Mode"/>
    <tableColumn id="10" xr3:uid="{235B2BC3-800D-493D-BF07-0568375F1E74}" name="Rating C"/>
    <tableColumn id="11" xr3:uid="{47184A99-1194-46FB-8586-56BD3B6E77CF}" name="State"/>
    <tableColumn id="12" xr3:uid="{B14FFCF9-B745-48D1-9CB0-BD118FF46672}" name="County"/>
    <tableColumn id="13" xr3:uid="{6C64A596-481F-4B46-BA39-C862B6820208}" name="Days to Deliver">
      <calculatedColumnFormula>[1]!orders[[#This Row],[Ship Date]]-[1]!orders[[#This Row],[Order Date]]</calculatedColumnFormula>
    </tableColumn>
    <tableColumn id="14" xr3:uid="{F47737CA-DD0A-42F9-8983-D6310DA73009}" name="Weeknum">
      <calculatedColumnFormula>WEEKNUM([1]!orders[[#This Row],[Order Date]])</calculatedColumnFormula>
    </tableColumn>
    <tableColumn id="15" xr3:uid="{264C825C-F571-4937-9E07-C0A35FC66D78}" name="Gender Value">
      <calculatedColumnFormula array="1">_xlfn.IFS([1]!orders[[#This Row],[Customer Gender]]="M","Male", [1]!orders[[#This Row],[Customer Gender]]="F","Female", [1]!orders[[#This Row],[Customer Gender]]="O","Other", TRUE,"Unknown")</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4013-AFCF-419A-A8A6-502C818B187C}">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32BB-D6B5-4113-90A4-6CEE5C6276C8}">
  <dimension ref="A1:O2401"/>
  <sheetViews>
    <sheetView workbookViewId="0">
      <selection activeCell="Q14" sqref="Q14"/>
    </sheetView>
  </sheetViews>
  <sheetFormatPr defaultRowHeight="15" x14ac:dyDescent="0.25"/>
  <cols>
    <col min="2" max="2" width="20.85546875" bestFit="1" customWidth="1"/>
    <col min="3" max="3" width="10.85546875" customWidth="1"/>
    <col min="4" max="4" width="11.85546875" customWidth="1"/>
    <col min="5" max="5" width="10.140625" customWidth="1"/>
    <col min="6" max="6" width="13" customWidth="1"/>
    <col min="7" max="7" width="12" bestFit="1" customWidth="1"/>
    <col min="8" max="8" width="19.28515625" customWidth="1"/>
    <col min="9" max="9" width="13.7109375" customWidth="1"/>
    <col min="10" max="10" width="10.7109375" customWidth="1"/>
    <col min="12" max="12" width="9.7109375" customWidth="1"/>
    <col min="13" max="13" width="16.85546875" customWidth="1"/>
    <col min="14" max="14" width="12.28515625" customWidth="1"/>
    <col min="15" max="15" width="15.28515625" customWidth="1"/>
    <col min="21" max="21" width="11" customWidth="1"/>
  </cols>
  <sheetData>
    <row r="1" spans="1:15" x14ac:dyDescent="0.25">
      <c r="A1" t="s">
        <v>2488</v>
      </c>
      <c r="B1" t="s">
        <v>2489</v>
      </c>
      <c r="C1" t="s">
        <v>2490</v>
      </c>
      <c r="D1" t="s">
        <v>2491</v>
      </c>
      <c r="E1" t="s">
        <v>2492</v>
      </c>
      <c r="F1" t="s">
        <v>2493</v>
      </c>
      <c r="G1" t="s">
        <v>2494</v>
      </c>
      <c r="H1" t="s">
        <v>2495</v>
      </c>
      <c r="I1" t="s">
        <v>2496</v>
      </c>
      <c r="J1" t="s">
        <v>2497</v>
      </c>
      <c r="K1" t="s">
        <v>2498</v>
      </c>
      <c r="L1" t="s">
        <v>2499</v>
      </c>
      <c r="M1" s="6" t="s">
        <v>2500</v>
      </c>
      <c r="N1" s="6" t="s">
        <v>2501</v>
      </c>
      <c r="O1" s="6" t="s">
        <v>2502</v>
      </c>
    </row>
    <row r="2" spans="1:15" x14ac:dyDescent="0.25">
      <c r="A2" s="1" t="s">
        <v>0</v>
      </c>
      <c r="B2" s="1" t="s">
        <v>1</v>
      </c>
      <c r="C2" s="1">
        <v>1</v>
      </c>
      <c r="D2" s="1">
        <v>10.9</v>
      </c>
      <c r="E2" s="1">
        <v>10.9</v>
      </c>
      <c r="F2" s="2">
        <v>45658</v>
      </c>
      <c r="G2" s="2">
        <v>45663</v>
      </c>
      <c r="H2" s="1" t="s">
        <v>2</v>
      </c>
      <c r="I2" s="1" t="s">
        <v>3</v>
      </c>
      <c r="J2" s="1">
        <v>4</v>
      </c>
      <c r="K2" s="1" t="s">
        <v>4</v>
      </c>
      <c r="L2" s="1" t="s">
        <v>5</v>
      </c>
      <c r="M2" s="1">
        <f>[1]!orders[[#This Row],[Ship Date]]-[1]!orders[[#This Row],[Order Date]]</f>
        <v>5</v>
      </c>
      <c r="N2" s="1">
        <f>WEEKNUM([1]!orders[[#This Row],[Order Date]])</f>
        <v>1</v>
      </c>
      <c r="O2" t="str" cm="1">
        <f t="array" ref="O2">_xlfn.IFS([1]!orders[[#This Row],[Customer Gender]]="M","Male", [1]!orders[[#This Row],[Customer Gender]]="F","Female", [1]!orders[[#This Row],[Customer Gender]]="O","Other", TRUE,"Unknown")</f>
        <v>Unknown</v>
      </c>
    </row>
    <row r="3" spans="1:15" x14ac:dyDescent="0.25">
      <c r="A3" t="s">
        <v>6</v>
      </c>
      <c r="B3" t="s">
        <v>7</v>
      </c>
      <c r="C3">
        <v>2</v>
      </c>
      <c r="D3">
        <v>30.6</v>
      </c>
      <c r="E3">
        <v>61.2</v>
      </c>
      <c r="F3" s="3">
        <v>45658</v>
      </c>
      <c r="G3" s="3">
        <v>45660</v>
      </c>
      <c r="H3" t="s">
        <v>8</v>
      </c>
      <c r="I3" t="s">
        <v>3</v>
      </c>
      <c r="J3">
        <v>4</v>
      </c>
      <c r="K3" t="s">
        <v>4</v>
      </c>
      <c r="L3" t="s">
        <v>9</v>
      </c>
      <c r="M3">
        <f>[1]!orders[[#This Row],[Ship Date]]-[1]!orders[[#This Row],[Order Date]]</f>
        <v>2</v>
      </c>
      <c r="N3">
        <f>WEEKNUM([1]!orders[[#This Row],[Order Date]])</f>
        <v>1</v>
      </c>
      <c r="O3" t="str" cm="1">
        <f t="array" ref="O3">_xlfn.IFS([1]!orders[[#This Row],[Customer Gender]]="M","Male", [1]!orders[[#This Row],[Customer Gender]]="F","Female", [1]!orders[[#This Row],[Customer Gender]]="O","Other", TRUE,"Unknown")</f>
        <v>Male</v>
      </c>
    </row>
    <row r="4" spans="1:15" x14ac:dyDescent="0.25">
      <c r="A4" s="1" t="s">
        <v>10</v>
      </c>
      <c r="B4" s="1" t="s">
        <v>11</v>
      </c>
      <c r="C4" s="1">
        <v>3</v>
      </c>
      <c r="D4" s="1">
        <v>109.4</v>
      </c>
      <c r="E4" s="1">
        <v>328.20000000000005</v>
      </c>
      <c r="F4" s="2">
        <v>45658</v>
      </c>
      <c r="G4" s="2">
        <v>45661</v>
      </c>
      <c r="H4" s="1" t="s">
        <v>12</v>
      </c>
      <c r="I4" s="1" t="s">
        <v>3</v>
      </c>
      <c r="J4" s="1">
        <v>3</v>
      </c>
      <c r="K4" s="1" t="s">
        <v>4</v>
      </c>
      <c r="L4" s="1" t="s">
        <v>13</v>
      </c>
      <c r="M4" s="1">
        <f>[1]!orders[[#This Row],[Ship Date]]-[1]!orders[[#This Row],[Order Date]]</f>
        <v>3</v>
      </c>
      <c r="N4" s="1">
        <f>WEEKNUM([1]!orders[[#This Row],[Order Date]])</f>
        <v>1</v>
      </c>
      <c r="O4" t="str" cm="1">
        <f t="array" ref="O4">_xlfn.IFS([1]!orders[[#This Row],[Customer Gender]]="M","Male", [1]!orders[[#This Row],[Customer Gender]]="F","Female", [1]!orders[[#This Row],[Customer Gender]]="O","Other", TRUE,"Unknown")</f>
        <v>Female</v>
      </c>
    </row>
    <row r="5" spans="1:15" x14ac:dyDescent="0.25">
      <c r="A5" t="s">
        <v>14</v>
      </c>
      <c r="B5" t="s">
        <v>15</v>
      </c>
      <c r="C5">
        <v>7</v>
      </c>
      <c r="D5">
        <v>37.700000000000003</v>
      </c>
      <c r="E5">
        <v>263.90000000000003</v>
      </c>
      <c r="F5" s="3">
        <v>45658</v>
      </c>
      <c r="G5" s="3">
        <v>45659</v>
      </c>
      <c r="H5" t="s">
        <v>12</v>
      </c>
      <c r="I5" t="s">
        <v>3</v>
      </c>
      <c r="J5">
        <v>4</v>
      </c>
      <c r="K5" t="s">
        <v>4</v>
      </c>
      <c r="L5" t="s">
        <v>13</v>
      </c>
      <c r="M5">
        <f>[1]!orders[[#This Row],[Ship Date]]-[1]!orders[[#This Row],[Order Date]]</f>
        <v>1</v>
      </c>
      <c r="N5">
        <f>WEEKNUM([1]!orders[[#This Row],[Order Date]])</f>
        <v>1</v>
      </c>
      <c r="O5" t="str" cm="1">
        <f t="array" ref="O5">_xlfn.IFS([1]!orders[[#This Row],[Customer Gender]]="M","Male", [1]!orders[[#This Row],[Customer Gender]]="F","Female", [1]!orders[[#This Row],[Customer Gender]]="O","Other", TRUE,"Unknown")</f>
        <v>Female</v>
      </c>
    </row>
    <row r="6" spans="1:15" x14ac:dyDescent="0.25">
      <c r="A6" s="1" t="s">
        <v>16</v>
      </c>
      <c r="B6" s="1" t="s">
        <v>17</v>
      </c>
      <c r="C6" s="1">
        <v>3</v>
      </c>
      <c r="D6" s="1">
        <v>56.7</v>
      </c>
      <c r="E6" s="1">
        <v>170.10000000000002</v>
      </c>
      <c r="F6" s="2">
        <v>45658</v>
      </c>
      <c r="G6" s="2">
        <v>45661</v>
      </c>
      <c r="H6" s="1" t="s">
        <v>12</v>
      </c>
      <c r="I6" s="1" t="s">
        <v>3</v>
      </c>
      <c r="J6" s="1">
        <v>5</v>
      </c>
      <c r="K6" s="1" t="s">
        <v>4</v>
      </c>
      <c r="L6" s="1" t="s">
        <v>18</v>
      </c>
      <c r="M6" s="1">
        <f>[1]!orders[[#This Row],[Ship Date]]-[1]!orders[[#This Row],[Order Date]]</f>
        <v>3</v>
      </c>
      <c r="N6" s="1">
        <f>WEEKNUM([1]!orders[[#This Row],[Order Date]])</f>
        <v>1</v>
      </c>
      <c r="O6" t="str" cm="1">
        <f t="array" ref="O6">_xlfn.IFS([1]!orders[[#This Row],[Customer Gender]]="M","Male", [1]!orders[[#This Row],[Customer Gender]]="F","Female", [1]!orders[[#This Row],[Customer Gender]]="O","Other", TRUE,"Unknown")</f>
        <v>Female</v>
      </c>
    </row>
    <row r="7" spans="1:15" x14ac:dyDescent="0.25">
      <c r="A7" t="s">
        <v>19</v>
      </c>
      <c r="B7" t="s">
        <v>7</v>
      </c>
      <c r="C7">
        <v>12</v>
      </c>
      <c r="D7">
        <v>83.5</v>
      </c>
      <c r="E7">
        <v>1002</v>
      </c>
      <c r="F7" s="3">
        <v>45658</v>
      </c>
      <c r="G7" s="3">
        <v>45661</v>
      </c>
      <c r="H7" t="s">
        <v>8</v>
      </c>
      <c r="I7" t="s">
        <v>20</v>
      </c>
      <c r="J7">
        <v>4</v>
      </c>
      <c r="K7" t="s">
        <v>4</v>
      </c>
      <c r="L7" t="s">
        <v>18</v>
      </c>
      <c r="M7">
        <f>[1]!orders[[#This Row],[Ship Date]]-[1]!orders[[#This Row],[Order Date]]</f>
        <v>3</v>
      </c>
      <c r="N7">
        <f>WEEKNUM([1]!orders[[#This Row],[Order Date]])</f>
        <v>1</v>
      </c>
      <c r="O7" t="str" cm="1">
        <f t="array" ref="O7">_xlfn.IFS([1]!orders[[#This Row],[Customer Gender]]="M","Male", [1]!orders[[#This Row],[Customer Gender]]="F","Female", [1]!orders[[#This Row],[Customer Gender]]="O","Other", TRUE,"Unknown")</f>
        <v>Male</v>
      </c>
    </row>
    <row r="8" spans="1:15" x14ac:dyDescent="0.25">
      <c r="A8" s="1" t="s">
        <v>21</v>
      </c>
      <c r="B8" s="1" t="s">
        <v>22</v>
      </c>
      <c r="C8" s="1">
        <v>1</v>
      </c>
      <c r="D8" s="1">
        <v>55.3</v>
      </c>
      <c r="E8" s="1">
        <v>55.3</v>
      </c>
      <c r="F8" s="2">
        <v>45658</v>
      </c>
      <c r="G8" s="2">
        <v>45659</v>
      </c>
      <c r="H8" s="1" t="s">
        <v>12</v>
      </c>
      <c r="I8" s="1" t="s">
        <v>3</v>
      </c>
      <c r="J8" s="1">
        <v>4</v>
      </c>
      <c r="K8" s="1" t="s">
        <v>4</v>
      </c>
      <c r="L8" s="1" t="s">
        <v>18</v>
      </c>
      <c r="M8" s="1">
        <f>[1]!orders[[#This Row],[Ship Date]]-[1]!orders[[#This Row],[Order Date]]</f>
        <v>1</v>
      </c>
      <c r="N8" s="1">
        <f>WEEKNUM([1]!orders[[#This Row],[Order Date]])</f>
        <v>1</v>
      </c>
      <c r="O8" t="str" cm="1">
        <f t="array" ref="O8">_xlfn.IFS([1]!orders[[#This Row],[Customer Gender]]="M","Male", [1]!orders[[#This Row],[Customer Gender]]="F","Female", [1]!orders[[#This Row],[Customer Gender]]="O","Other", TRUE,"Unknown")</f>
        <v>Female</v>
      </c>
    </row>
    <row r="9" spans="1:15" x14ac:dyDescent="0.25">
      <c r="A9" t="s">
        <v>23</v>
      </c>
      <c r="B9" t="s">
        <v>24</v>
      </c>
      <c r="C9">
        <v>2</v>
      </c>
      <c r="D9">
        <v>40.299999999999997</v>
      </c>
      <c r="E9">
        <v>80.599999999999994</v>
      </c>
      <c r="F9" s="3">
        <v>45658</v>
      </c>
      <c r="G9" s="3">
        <v>45659</v>
      </c>
      <c r="H9" t="s">
        <v>8</v>
      </c>
      <c r="I9" t="s">
        <v>25</v>
      </c>
      <c r="J9">
        <v>5</v>
      </c>
      <c r="K9" t="s">
        <v>4</v>
      </c>
      <c r="L9" t="s">
        <v>18</v>
      </c>
      <c r="M9">
        <f>[1]!orders[[#This Row],[Ship Date]]-[1]!orders[[#This Row],[Order Date]]</f>
        <v>1</v>
      </c>
      <c r="N9">
        <f>WEEKNUM([1]!orders[[#This Row],[Order Date]])</f>
        <v>1</v>
      </c>
      <c r="O9" t="str" cm="1">
        <f t="array" ref="O9">_xlfn.IFS([1]!orders[[#This Row],[Customer Gender]]="M","Male", [1]!orders[[#This Row],[Customer Gender]]="F","Female", [1]!orders[[#This Row],[Customer Gender]]="O","Other", TRUE,"Unknown")</f>
        <v>Male</v>
      </c>
    </row>
    <row r="10" spans="1:15" x14ac:dyDescent="0.25">
      <c r="A10" s="1" t="s">
        <v>26</v>
      </c>
      <c r="B10" s="1" t="s">
        <v>27</v>
      </c>
      <c r="C10" s="1">
        <v>11</v>
      </c>
      <c r="D10" s="1">
        <v>35.700000000000003</v>
      </c>
      <c r="E10" s="1">
        <v>392.70000000000005</v>
      </c>
      <c r="F10" s="2">
        <v>45658</v>
      </c>
      <c r="G10" s="2">
        <v>45659</v>
      </c>
      <c r="H10" s="1" t="s">
        <v>12</v>
      </c>
      <c r="I10" s="1" t="s">
        <v>3</v>
      </c>
      <c r="J10" s="1">
        <v>4</v>
      </c>
      <c r="K10" s="1" t="s">
        <v>4</v>
      </c>
      <c r="L10" s="1" t="s">
        <v>18</v>
      </c>
      <c r="M10" s="1">
        <f>[1]!orders[[#This Row],[Ship Date]]-[1]!orders[[#This Row],[Order Date]]</f>
        <v>1</v>
      </c>
      <c r="N10" s="1">
        <f>WEEKNUM([1]!orders[[#This Row],[Order Date]])</f>
        <v>1</v>
      </c>
      <c r="O10" t="str" cm="1">
        <f t="array" ref="O10">_xlfn.IFS([1]!orders[[#This Row],[Customer Gender]]="M","Male", [1]!orders[[#This Row],[Customer Gender]]="F","Female", [1]!orders[[#This Row],[Customer Gender]]="O","Other", TRUE,"Unknown")</f>
        <v>Female</v>
      </c>
    </row>
    <row r="11" spans="1:15" x14ac:dyDescent="0.25">
      <c r="A11" t="s">
        <v>28</v>
      </c>
      <c r="B11" t="s">
        <v>29</v>
      </c>
      <c r="C11">
        <v>7</v>
      </c>
      <c r="D11">
        <v>22.4</v>
      </c>
      <c r="E11">
        <v>156.79999999999998</v>
      </c>
      <c r="F11" s="3">
        <v>45658</v>
      </c>
      <c r="G11" s="3">
        <v>45661</v>
      </c>
      <c r="H11" t="s">
        <v>8</v>
      </c>
      <c r="I11" t="s">
        <v>3</v>
      </c>
      <c r="J11">
        <v>3</v>
      </c>
      <c r="K11" t="s">
        <v>4</v>
      </c>
      <c r="L11" t="s">
        <v>18</v>
      </c>
      <c r="M11">
        <f>[1]!orders[[#This Row],[Ship Date]]-[1]!orders[[#This Row],[Order Date]]</f>
        <v>3</v>
      </c>
      <c r="N11">
        <f>WEEKNUM([1]!orders[[#This Row],[Order Date]])</f>
        <v>1</v>
      </c>
      <c r="O11" t="str" cm="1">
        <f t="array" ref="O11">_xlfn.IFS([1]!orders[[#This Row],[Customer Gender]]="M","Male", [1]!orders[[#This Row],[Customer Gender]]="F","Female", [1]!orders[[#This Row],[Customer Gender]]="O","Other", TRUE,"Unknown")</f>
        <v>Male</v>
      </c>
    </row>
    <row r="12" spans="1:15" x14ac:dyDescent="0.25">
      <c r="A12" s="1" t="s">
        <v>30</v>
      </c>
      <c r="B12" s="1" t="s">
        <v>31</v>
      </c>
      <c r="C12" s="1">
        <v>2</v>
      </c>
      <c r="D12" s="1">
        <v>54.4</v>
      </c>
      <c r="E12" s="1">
        <v>108.8</v>
      </c>
      <c r="F12" s="2">
        <v>45658</v>
      </c>
      <c r="G12" s="2">
        <v>45664</v>
      </c>
      <c r="H12" s="1" t="s">
        <v>12</v>
      </c>
      <c r="I12" s="1" t="s">
        <v>3</v>
      </c>
      <c r="J12" s="1">
        <v>4</v>
      </c>
      <c r="K12" s="1" t="s">
        <v>4</v>
      </c>
      <c r="L12" s="1" t="s">
        <v>18</v>
      </c>
      <c r="M12" s="1">
        <f>[1]!orders[[#This Row],[Ship Date]]-[1]!orders[[#This Row],[Order Date]]</f>
        <v>6</v>
      </c>
      <c r="N12" s="1">
        <f>WEEKNUM([1]!orders[[#This Row],[Order Date]])</f>
        <v>1</v>
      </c>
      <c r="O12" t="str" cm="1">
        <f t="array" ref="O12">_xlfn.IFS([1]!orders[[#This Row],[Customer Gender]]="M","Male", [1]!orders[[#This Row],[Customer Gender]]="F","Female", [1]!orders[[#This Row],[Customer Gender]]="O","Other", TRUE,"Unknown")</f>
        <v>Female</v>
      </c>
    </row>
    <row r="13" spans="1:15" x14ac:dyDescent="0.25">
      <c r="A13" t="s">
        <v>32</v>
      </c>
      <c r="B13" t="s">
        <v>31</v>
      </c>
      <c r="C13">
        <v>2</v>
      </c>
      <c r="D13">
        <v>49</v>
      </c>
      <c r="E13">
        <v>98</v>
      </c>
      <c r="F13" s="3">
        <v>45658</v>
      </c>
      <c r="G13" s="3">
        <v>45660</v>
      </c>
      <c r="H13" t="s">
        <v>12</v>
      </c>
      <c r="I13" t="s">
        <v>25</v>
      </c>
      <c r="J13">
        <v>3</v>
      </c>
      <c r="K13" t="s">
        <v>4</v>
      </c>
      <c r="L13" t="s">
        <v>18</v>
      </c>
      <c r="M13">
        <f>[1]!orders[[#This Row],[Ship Date]]-[1]!orders[[#This Row],[Order Date]]</f>
        <v>2</v>
      </c>
      <c r="N13">
        <f>WEEKNUM([1]!orders[[#This Row],[Order Date]])</f>
        <v>1</v>
      </c>
      <c r="O13" t="str" cm="1">
        <f t="array" ref="O13">_xlfn.IFS([1]!orders[[#This Row],[Customer Gender]]="M","Male", [1]!orders[[#This Row],[Customer Gender]]="F","Female", [1]!orders[[#This Row],[Customer Gender]]="O","Other", TRUE,"Unknown")</f>
        <v>Female</v>
      </c>
    </row>
    <row r="14" spans="1:15" x14ac:dyDescent="0.25">
      <c r="A14" s="1" t="s">
        <v>33</v>
      </c>
      <c r="B14" s="1" t="s">
        <v>22</v>
      </c>
      <c r="C14" s="1">
        <v>7</v>
      </c>
      <c r="D14" s="1">
        <v>118.6</v>
      </c>
      <c r="E14" s="1">
        <v>830.19999999999993</v>
      </c>
      <c r="F14" s="2">
        <v>45658</v>
      </c>
      <c r="G14" s="2">
        <v>45662</v>
      </c>
      <c r="H14" s="1" t="s">
        <v>12</v>
      </c>
      <c r="I14" s="1" t="s">
        <v>20</v>
      </c>
      <c r="J14" s="1">
        <v>4</v>
      </c>
      <c r="K14" s="1" t="s">
        <v>4</v>
      </c>
      <c r="L14" s="1" t="s">
        <v>34</v>
      </c>
      <c r="M14" s="1">
        <f>[1]!orders[[#This Row],[Ship Date]]-[1]!orders[[#This Row],[Order Date]]</f>
        <v>4</v>
      </c>
      <c r="N14" s="1">
        <f>WEEKNUM([1]!orders[[#This Row],[Order Date]])</f>
        <v>1</v>
      </c>
      <c r="O14" t="str" cm="1">
        <f t="array" ref="O14">_xlfn.IFS([1]!orders[[#This Row],[Customer Gender]]="M","Male", [1]!orders[[#This Row],[Customer Gender]]="F","Female", [1]!orders[[#This Row],[Customer Gender]]="O","Other", TRUE,"Unknown")</f>
        <v>Female</v>
      </c>
    </row>
    <row r="15" spans="1:15" x14ac:dyDescent="0.25">
      <c r="A15" t="s">
        <v>35</v>
      </c>
      <c r="B15" t="s">
        <v>24</v>
      </c>
      <c r="C15">
        <v>27</v>
      </c>
      <c r="D15">
        <v>88.4</v>
      </c>
      <c r="E15">
        <v>2386.8000000000002</v>
      </c>
      <c r="F15" s="3">
        <v>45658</v>
      </c>
      <c r="G15" s="3">
        <v>45665</v>
      </c>
      <c r="H15" t="s">
        <v>8</v>
      </c>
      <c r="I15" t="s">
        <v>36</v>
      </c>
      <c r="J15">
        <v>4</v>
      </c>
      <c r="K15" t="s">
        <v>4</v>
      </c>
      <c r="L15" t="s">
        <v>37</v>
      </c>
      <c r="M15">
        <f>[1]!orders[[#This Row],[Ship Date]]-[1]!orders[[#This Row],[Order Date]]</f>
        <v>7</v>
      </c>
      <c r="N15">
        <f>WEEKNUM([1]!orders[[#This Row],[Order Date]])</f>
        <v>1</v>
      </c>
      <c r="O15" t="str" cm="1">
        <f t="array" ref="O15">_xlfn.IFS([1]!orders[[#This Row],[Customer Gender]]="M","Male", [1]!orders[[#This Row],[Customer Gender]]="F","Female", [1]!orders[[#This Row],[Customer Gender]]="O","Other", TRUE,"Unknown")</f>
        <v>Male</v>
      </c>
    </row>
    <row r="16" spans="1:15" x14ac:dyDescent="0.25">
      <c r="A16" s="1" t="s">
        <v>38</v>
      </c>
      <c r="B16" s="1" t="s">
        <v>39</v>
      </c>
      <c r="C16" s="1">
        <v>1</v>
      </c>
      <c r="D16" s="1">
        <v>66.7</v>
      </c>
      <c r="E16" s="1">
        <v>66.7</v>
      </c>
      <c r="F16" s="2">
        <v>45658</v>
      </c>
      <c r="G16" s="2">
        <v>45661</v>
      </c>
      <c r="H16" s="1" t="s">
        <v>8</v>
      </c>
      <c r="I16" s="1" t="s">
        <v>3</v>
      </c>
      <c r="J16" s="1">
        <v>4</v>
      </c>
      <c r="K16" s="1" t="s">
        <v>4</v>
      </c>
      <c r="L16" s="1" t="s">
        <v>40</v>
      </c>
      <c r="M16" s="1">
        <f>[1]!orders[[#This Row],[Ship Date]]-[1]!orders[[#This Row],[Order Date]]</f>
        <v>3</v>
      </c>
      <c r="N16" s="1">
        <f>WEEKNUM([1]!orders[[#This Row],[Order Date]])</f>
        <v>1</v>
      </c>
      <c r="O16" t="str" cm="1">
        <f t="array" ref="O16">_xlfn.IFS([1]!orders[[#This Row],[Customer Gender]]="M","Male", [1]!orders[[#This Row],[Customer Gender]]="F","Female", [1]!orders[[#This Row],[Customer Gender]]="O","Other", TRUE,"Unknown")</f>
        <v>Male</v>
      </c>
    </row>
    <row r="17" spans="1:15" x14ac:dyDescent="0.25">
      <c r="A17" t="s">
        <v>41</v>
      </c>
      <c r="B17" t="s">
        <v>31</v>
      </c>
      <c r="C17">
        <v>10</v>
      </c>
      <c r="D17">
        <v>30.9</v>
      </c>
      <c r="E17">
        <v>309</v>
      </c>
      <c r="F17" s="3">
        <v>45658</v>
      </c>
      <c r="G17" s="3">
        <v>45659</v>
      </c>
      <c r="H17" t="s">
        <v>8</v>
      </c>
      <c r="I17" t="s">
        <v>20</v>
      </c>
      <c r="J17">
        <v>5</v>
      </c>
      <c r="K17" t="s">
        <v>4</v>
      </c>
      <c r="L17" t="s">
        <v>40</v>
      </c>
      <c r="M17">
        <f>[1]!orders[[#This Row],[Ship Date]]-[1]!orders[[#This Row],[Order Date]]</f>
        <v>1</v>
      </c>
      <c r="N17">
        <f>WEEKNUM([1]!orders[[#This Row],[Order Date]])</f>
        <v>1</v>
      </c>
      <c r="O17" t="str" cm="1">
        <f t="array" ref="O17">_xlfn.IFS([1]!orders[[#This Row],[Customer Gender]]="M","Male", [1]!orders[[#This Row],[Customer Gender]]="F","Female", [1]!orders[[#This Row],[Customer Gender]]="O","Other", TRUE,"Unknown")</f>
        <v>Male</v>
      </c>
    </row>
    <row r="18" spans="1:15" x14ac:dyDescent="0.25">
      <c r="A18" s="1" t="s">
        <v>42</v>
      </c>
      <c r="B18" s="1" t="s">
        <v>17</v>
      </c>
      <c r="C18" s="1">
        <v>3</v>
      </c>
      <c r="D18" s="1">
        <v>31.1</v>
      </c>
      <c r="E18" s="1">
        <v>93.300000000000011</v>
      </c>
      <c r="F18" s="2">
        <v>45658</v>
      </c>
      <c r="G18" s="2">
        <v>45659</v>
      </c>
      <c r="H18" s="1" t="s">
        <v>12</v>
      </c>
      <c r="I18" s="1" t="s">
        <v>3</v>
      </c>
      <c r="J18" s="1">
        <v>3</v>
      </c>
      <c r="K18" s="1" t="s">
        <v>4</v>
      </c>
      <c r="L18" s="1" t="s">
        <v>40</v>
      </c>
      <c r="M18" s="1">
        <f>[1]!orders[[#This Row],[Ship Date]]-[1]!orders[[#This Row],[Order Date]]</f>
        <v>1</v>
      </c>
      <c r="N18" s="1">
        <f>WEEKNUM([1]!orders[[#This Row],[Order Date]])</f>
        <v>1</v>
      </c>
      <c r="O18" t="str" cm="1">
        <f t="array" ref="O18">_xlfn.IFS([1]!orders[[#This Row],[Customer Gender]]="M","Male", [1]!orders[[#This Row],[Customer Gender]]="F","Female", [1]!orders[[#This Row],[Customer Gender]]="O","Other", TRUE,"Unknown")</f>
        <v>Female</v>
      </c>
    </row>
    <row r="19" spans="1:15" x14ac:dyDescent="0.25">
      <c r="A19" t="s">
        <v>43</v>
      </c>
      <c r="B19" t="s">
        <v>27</v>
      </c>
      <c r="C19">
        <v>3</v>
      </c>
      <c r="D19">
        <v>36.6</v>
      </c>
      <c r="E19">
        <v>109.80000000000001</v>
      </c>
      <c r="F19" s="3">
        <v>45658</v>
      </c>
      <c r="G19" s="3">
        <v>45661</v>
      </c>
      <c r="H19" t="s">
        <v>12</v>
      </c>
      <c r="I19" t="s">
        <v>3</v>
      </c>
      <c r="J19">
        <v>4</v>
      </c>
      <c r="K19" t="s">
        <v>4</v>
      </c>
      <c r="L19" t="s">
        <v>44</v>
      </c>
      <c r="M19">
        <f>[1]!orders[[#This Row],[Ship Date]]-[1]!orders[[#This Row],[Order Date]]</f>
        <v>3</v>
      </c>
      <c r="N19">
        <f>WEEKNUM([1]!orders[[#This Row],[Order Date]])</f>
        <v>1</v>
      </c>
      <c r="O19" t="str" cm="1">
        <f t="array" ref="O19">_xlfn.IFS([1]!orders[[#This Row],[Customer Gender]]="M","Male", [1]!orders[[#This Row],[Customer Gender]]="F","Female", [1]!orders[[#This Row],[Customer Gender]]="O","Other", TRUE,"Unknown")</f>
        <v>Female</v>
      </c>
    </row>
    <row r="20" spans="1:15" x14ac:dyDescent="0.25">
      <c r="A20" s="1" t="s">
        <v>45</v>
      </c>
      <c r="B20" s="1" t="s">
        <v>24</v>
      </c>
      <c r="C20" s="1">
        <v>8</v>
      </c>
      <c r="D20" s="1">
        <v>51.1</v>
      </c>
      <c r="E20" s="1">
        <v>408.8</v>
      </c>
      <c r="F20" s="2">
        <v>45658</v>
      </c>
      <c r="G20" s="2">
        <v>45661</v>
      </c>
      <c r="H20" s="1" t="s">
        <v>12</v>
      </c>
      <c r="I20" s="1" t="s">
        <v>25</v>
      </c>
      <c r="J20" s="1">
        <v>1</v>
      </c>
      <c r="K20" s="1" t="s">
        <v>4</v>
      </c>
      <c r="L20" s="1" t="s">
        <v>44</v>
      </c>
      <c r="M20" s="1">
        <f>[1]!orders[[#This Row],[Ship Date]]-[1]!orders[[#This Row],[Order Date]]</f>
        <v>3</v>
      </c>
      <c r="N20" s="1">
        <f>WEEKNUM([1]!orders[[#This Row],[Order Date]])</f>
        <v>1</v>
      </c>
      <c r="O20" t="str" cm="1">
        <f t="array" ref="O20">_xlfn.IFS([1]!orders[[#This Row],[Customer Gender]]="M","Male", [1]!orders[[#This Row],[Customer Gender]]="F","Female", [1]!orders[[#This Row],[Customer Gender]]="O","Other", TRUE,"Unknown")</f>
        <v>Female</v>
      </c>
    </row>
    <row r="21" spans="1:15" x14ac:dyDescent="0.25">
      <c r="A21" t="s">
        <v>46</v>
      </c>
      <c r="B21" t="s">
        <v>31</v>
      </c>
      <c r="C21">
        <v>1</v>
      </c>
      <c r="D21">
        <v>25.2</v>
      </c>
      <c r="E21">
        <v>25.2</v>
      </c>
      <c r="F21" s="3">
        <v>45658</v>
      </c>
      <c r="G21" s="3">
        <v>45659</v>
      </c>
      <c r="H21" t="s">
        <v>12</v>
      </c>
      <c r="I21" t="s">
        <v>20</v>
      </c>
      <c r="J21">
        <v>5</v>
      </c>
      <c r="K21" t="s">
        <v>4</v>
      </c>
      <c r="L21" t="s">
        <v>47</v>
      </c>
      <c r="M21">
        <f>[1]!orders[[#This Row],[Ship Date]]-[1]!orders[[#This Row],[Order Date]]</f>
        <v>1</v>
      </c>
      <c r="N21">
        <f>WEEKNUM([1]!orders[[#This Row],[Order Date]])</f>
        <v>1</v>
      </c>
      <c r="O21" t="str" cm="1">
        <f t="array" ref="O21">_xlfn.IFS([1]!orders[[#This Row],[Customer Gender]]="M","Male", [1]!orders[[#This Row],[Customer Gender]]="F","Female", [1]!orders[[#This Row],[Customer Gender]]="O","Other", TRUE,"Unknown")</f>
        <v>Female</v>
      </c>
    </row>
    <row r="22" spans="1:15" x14ac:dyDescent="0.25">
      <c r="A22" s="1" t="s">
        <v>48</v>
      </c>
      <c r="B22" s="1" t="s">
        <v>31</v>
      </c>
      <c r="C22" s="1">
        <v>5</v>
      </c>
      <c r="D22" s="1">
        <v>43.8</v>
      </c>
      <c r="E22" s="1">
        <v>219</v>
      </c>
      <c r="F22" s="2">
        <v>45658</v>
      </c>
      <c r="G22" s="2">
        <v>45661</v>
      </c>
      <c r="H22" s="1" t="s">
        <v>12</v>
      </c>
      <c r="I22" s="1" t="s">
        <v>25</v>
      </c>
      <c r="J22" s="1">
        <v>4</v>
      </c>
      <c r="K22" s="1" t="s">
        <v>4</v>
      </c>
      <c r="L22" s="1" t="s">
        <v>47</v>
      </c>
      <c r="M22" s="1">
        <f>[1]!orders[[#This Row],[Ship Date]]-[1]!orders[[#This Row],[Order Date]]</f>
        <v>3</v>
      </c>
      <c r="N22" s="1">
        <f>WEEKNUM([1]!orders[[#This Row],[Order Date]])</f>
        <v>1</v>
      </c>
      <c r="O22" t="str" cm="1">
        <f t="array" ref="O22">_xlfn.IFS([1]!orders[[#This Row],[Customer Gender]]="M","Male", [1]!orders[[#This Row],[Customer Gender]]="F","Female", [1]!orders[[#This Row],[Customer Gender]]="O","Other", TRUE,"Unknown")</f>
        <v>Female</v>
      </c>
    </row>
    <row r="23" spans="1:15" x14ac:dyDescent="0.25">
      <c r="A23" t="s">
        <v>49</v>
      </c>
      <c r="B23" t="s">
        <v>29</v>
      </c>
      <c r="C23">
        <v>12</v>
      </c>
      <c r="D23">
        <v>46.7</v>
      </c>
      <c r="E23">
        <v>560.40000000000009</v>
      </c>
      <c r="F23" s="3">
        <v>45658</v>
      </c>
      <c r="G23" s="3">
        <v>45659</v>
      </c>
      <c r="H23" t="s">
        <v>12</v>
      </c>
      <c r="I23" t="s">
        <v>20</v>
      </c>
      <c r="J23">
        <v>3</v>
      </c>
      <c r="K23" t="s">
        <v>4</v>
      </c>
      <c r="L23" t="s">
        <v>47</v>
      </c>
      <c r="M23">
        <f>[1]!orders[[#This Row],[Ship Date]]-[1]!orders[[#This Row],[Order Date]]</f>
        <v>1</v>
      </c>
      <c r="N23">
        <f>WEEKNUM([1]!orders[[#This Row],[Order Date]])</f>
        <v>1</v>
      </c>
      <c r="O23" t="str" cm="1">
        <f t="array" ref="O23">_xlfn.IFS([1]!orders[[#This Row],[Customer Gender]]="M","Male", [1]!orders[[#This Row],[Customer Gender]]="F","Female", [1]!orders[[#This Row],[Customer Gender]]="O","Other", TRUE,"Unknown")</f>
        <v>Female</v>
      </c>
    </row>
    <row r="24" spans="1:15" x14ac:dyDescent="0.25">
      <c r="A24" s="1" t="s">
        <v>50</v>
      </c>
      <c r="B24" s="1" t="s">
        <v>15</v>
      </c>
      <c r="C24" s="1">
        <v>19</v>
      </c>
      <c r="D24" s="1">
        <v>79.900000000000006</v>
      </c>
      <c r="E24" s="1">
        <v>1518.1000000000001</v>
      </c>
      <c r="F24" s="2">
        <v>45658</v>
      </c>
      <c r="G24" s="2">
        <v>45659</v>
      </c>
      <c r="H24" s="1" t="s">
        <v>8</v>
      </c>
      <c r="I24" s="1" t="s">
        <v>3</v>
      </c>
      <c r="J24" s="1">
        <v>5</v>
      </c>
      <c r="K24" s="1" t="s">
        <v>4</v>
      </c>
      <c r="L24" s="1" t="s">
        <v>47</v>
      </c>
      <c r="M24" s="1">
        <f>[1]!orders[[#This Row],[Ship Date]]-[1]!orders[[#This Row],[Order Date]]</f>
        <v>1</v>
      </c>
      <c r="N24" s="1">
        <f>WEEKNUM([1]!orders[[#This Row],[Order Date]])</f>
        <v>1</v>
      </c>
      <c r="O24" t="str" cm="1">
        <f t="array" ref="O24">_xlfn.IFS([1]!orders[[#This Row],[Customer Gender]]="M","Male", [1]!orders[[#This Row],[Customer Gender]]="F","Female", [1]!orders[[#This Row],[Customer Gender]]="O","Other", TRUE,"Unknown")</f>
        <v>Male</v>
      </c>
    </row>
    <row r="25" spans="1:15" x14ac:dyDescent="0.25">
      <c r="A25" t="s">
        <v>51</v>
      </c>
      <c r="B25" t="s">
        <v>52</v>
      </c>
      <c r="C25">
        <v>8</v>
      </c>
      <c r="D25">
        <v>26.4</v>
      </c>
      <c r="E25">
        <v>211.2</v>
      </c>
      <c r="F25" s="3">
        <v>45658</v>
      </c>
      <c r="G25" s="3">
        <v>45659</v>
      </c>
      <c r="H25" t="s">
        <v>12</v>
      </c>
      <c r="I25" t="s">
        <v>36</v>
      </c>
      <c r="J25">
        <v>4</v>
      </c>
      <c r="K25" t="s">
        <v>4</v>
      </c>
      <c r="L25" t="s">
        <v>47</v>
      </c>
      <c r="M25">
        <f>[1]!orders[[#This Row],[Ship Date]]-[1]!orders[[#This Row],[Order Date]]</f>
        <v>1</v>
      </c>
      <c r="N25">
        <f>WEEKNUM([1]!orders[[#This Row],[Order Date]])</f>
        <v>1</v>
      </c>
      <c r="O25" t="str" cm="1">
        <f t="array" ref="O25">_xlfn.IFS([1]!orders[[#This Row],[Customer Gender]]="M","Male", [1]!orders[[#This Row],[Customer Gender]]="F","Female", [1]!orders[[#This Row],[Customer Gender]]="O","Other", TRUE,"Unknown")</f>
        <v>Female</v>
      </c>
    </row>
    <row r="26" spans="1:15" x14ac:dyDescent="0.25">
      <c r="A26" s="1" t="s">
        <v>53</v>
      </c>
      <c r="B26" s="1" t="s">
        <v>54</v>
      </c>
      <c r="C26" s="1">
        <v>8</v>
      </c>
      <c r="D26" s="1">
        <v>88.8</v>
      </c>
      <c r="E26" s="1">
        <v>710.4</v>
      </c>
      <c r="F26" s="2">
        <v>45658</v>
      </c>
      <c r="G26" s="2">
        <v>45659</v>
      </c>
      <c r="H26" s="1" t="s">
        <v>12</v>
      </c>
      <c r="I26" s="1" t="s">
        <v>55</v>
      </c>
      <c r="J26" s="1">
        <v>4</v>
      </c>
      <c r="K26" s="1" t="s">
        <v>4</v>
      </c>
      <c r="L26" s="1" t="s">
        <v>47</v>
      </c>
      <c r="M26" s="1">
        <f>[1]!orders[[#This Row],[Ship Date]]-[1]!orders[[#This Row],[Order Date]]</f>
        <v>1</v>
      </c>
      <c r="N26" s="1">
        <f>WEEKNUM([1]!orders[[#This Row],[Order Date]])</f>
        <v>1</v>
      </c>
      <c r="O26" t="str" cm="1">
        <f t="array" ref="O26">_xlfn.IFS([1]!orders[[#This Row],[Customer Gender]]="M","Male", [1]!orders[[#This Row],[Customer Gender]]="F","Female", [1]!orders[[#This Row],[Customer Gender]]="O","Other", TRUE,"Unknown")</f>
        <v>Female</v>
      </c>
    </row>
    <row r="27" spans="1:15" x14ac:dyDescent="0.25">
      <c r="A27" t="s">
        <v>56</v>
      </c>
      <c r="B27" t="s">
        <v>1</v>
      </c>
      <c r="C27">
        <v>10</v>
      </c>
      <c r="D27">
        <v>17.5</v>
      </c>
      <c r="E27">
        <v>175</v>
      </c>
      <c r="F27" s="3">
        <v>45658</v>
      </c>
      <c r="G27" s="3">
        <v>45659</v>
      </c>
      <c r="H27" t="s">
        <v>12</v>
      </c>
      <c r="I27" t="s">
        <v>25</v>
      </c>
      <c r="J27">
        <v>4</v>
      </c>
      <c r="K27" t="s">
        <v>4</v>
      </c>
      <c r="L27" t="s">
        <v>57</v>
      </c>
      <c r="M27">
        <f>[1]!orders[[#This Row],[Ship Date]]-[1]!orders[[#This Row],[Order Date]]</f>
        <v>1</v>
      </c>
      <c r="N27">
        <f>WEEKNUM([1]!orders[[#This Row],[Order Date]])</f>
        <v>1</v>
      </c>
      <c r="O27" t="str" cm="1">
        <f t="array" ref="O27">_xlfn.IFS([1]!orders[[#This Row],[Customer Gender]]="M","Male", [1]!orders[[#This Row],[Customer Gender]]="F","Female", [1]!orders[[#This Row],[Customer Gender]]="O","Other", TRUE,"Unknown")</f>
        <v>Female</v>
      </c>
    </row>
    <row r="28" spans="1:15" x14ac:dyDescent="0.25">
      <c r="A28" s="1" t="s">
        <v>58</v>
      </c>
      <c r="B28" s="1" t="s">
        <v>7</v>
      </c>
      <c r="C28" s="1">
        <v>9</v>
      </c>
      <c r="D28" s="1">
        <v>38.700000000000003</v>
      </c>
      <c r="E28" s="1">
        <v>348.3</v>
      </c>
      <c r="F28" s="2">
        <v>45658</v>
      </c>
      <c r="G28" s="2">
        <v>45661</v>
      </c>
      <c r="H28" s="1" t="s">
        <v>8</v>
      </c>
      <c r="I28" s="1" t="s">
        <v>20</v>
      </c>
      <c r="J28" s="1">
        <v>4</v>
      </c>
      <c r="K28" s="1" t="s">
        <v>4</v>
      </c>
      <c r="L28" s="1" t="s">
        <v>59</v>
      </c>
      <c r="M28" s="1">
        <f>[1]!orders[[#This Row],[Ship Date]]-[1]!orders[[#This Row],[Order Date]]</f>
        <v>3</v>
      </c>
      <c r="N28" s="1">
        <f>WEEKNUM([1]!orders[[#This Row],[Order Date]])</f>
        <v>1</v>
      </c>
      <c r="O28" t="str" cm="1">
        <f t="array" ref="O28">_xlfn.IFS([1]!orders[[#This Row],[Customer Gender]]="M","Male", [1]!orders[[#This Row],[Customer Gender]]="F","Female", [1]!orders[[#This Row],[Customer Gender]]="O","Other", TRUE,"Unknown")</f>
        <v>Male</v>
      </c>
    </row>
    <row r="29" spans="1:15" x14ac:dyDescent="0.25">
      <c r="A29" t="s">
        <v>60</v>
      </c>
      <c r="B29" t="s">
        <v>61</v>
      </c>
      <c r="C29">
        <v>4</v>
      </c>
      <c r="D29">
        <v>57.2</v>
      </c>
      <c r="E29">
        <v>228.8</v>
      </c>
      <c r="F29" s="3">
        <v>45658</v>
      </c>
      <c r="G29" s="3">
        <v>45660</v>
      </c>
      <c r="H29" t="s">
        <v>2</v>
      </c>
      <c r="I29" t="s">
        <v>20</v>
      </c>
      <c r="J29">
        <v>5</v>
      </c>
      <c r="K29" t="s">
        <v>4</v>
      </c>
      <c r="L29" t="s">
        <v>62</v>
      </c>
      <c r="M29">
        <f>[1]!orders[[#This Row],[Ship Date]]-[1]!orders[[#This Row],[Order Date]]</f>
        <v>2</v>
      </c>
      <c r="N29">
        <f>WEEKNUM([1]!orders[[#This Row],[Order Date]])</f>
        <v>1</v>
      </c>
      <c r="O29" t="str" cm="1">
        <f t="array" ref="O29">_xlfn.IFS([1]!orders[[#This Row],[Customer Gender]]="M","Male", [1]!orders[[#This Row],[Customer Gender]]="F","Female", [1]!orders[[#This Row],[Customer Gender]]="O","Other", TRUE,"Unknown")</f>
        <v>Unknown</v>
      </c>
    </row>
    <row r="30" spans="1:15" x14ac:dyDescent="0.25">
      <c r="A30" s="1" t="s">
        <v>63</v>
      </c>
      <c r="B30" s="1" t="s">
        <v>24</v>
      </c>
      <c r="C30" s="1">
        <v>5</v>
      </c>
      <c r="D30" s="1">
        <v>50.9</v>
      </c>
      <c r="E30" s="1">
        <v>254.5</v>
      </c>
      <c r="F30" s="2">
        <v>45658</v>
      </c>
      <c r="G30" s="2">
        <v>45664</v>
      </c>
      <c r="H30" s="1" t="s">
        <v>2</v>
      </c>
      <c r="I30" s="1" t="s">
        <v>20</v>
      </c>
      <c r="J30" s="1">
        <v>5</v>
      </c>
      <c r="K30" s="1" t="s">
        <v>4</v>
      </c>
      <c r="L30" s="1" t="s">
        <v>64</v>
      </c>
      <c r="M30" s="1">
        <f>[1]!orders[[#This Row],[Ship Date]]-[1]!orders[[#This Row],[Order Date]]</f>
        <v>6</v>
      </c>
      <c r="N30" s="1">
        <f>WEEKNUM([1]!orders[[#This Row],[Order Date]])</f>
        <v>1</v>
      </c>
      <c r="O30" t="str" cm="1">
        <f t="array" ref="O30">_xlfn.IFS([1]!orders[[#This Row],[Customer Gender]]="M","Male", [1]!orders[[#This Row],[Customer Gender]]="F","Female", [1]!orders[[#This Row],[Customer Gender]]="O","Other", TRUE,"Unknown")</f>
        <v>Unknown</v>
      </c>
    </row>
    <row r="31" spans="1:15" x14ac:dyDescent="0.25">
      <c r="A31" t="s">
        <v>65</v>
      </c>
      <c r="B31" t="s">
        <v>66</v>
      </c>
      <c r="C31">
        <v>7</v>
      </c>
      <c r="D31">
        <v>41</v>
      </c>
      <c r="E31">
        <v>287</v>
      </c>
      <c r="F31" s="3">
        <v>45658</v>
      </c>
      <c r="G31" s="3">
        <v>45662</v>
      </c>
      <c r="H31" t="s">
        <v>12</v>
      </c>
      <c r="I31" t="s">
        <v>20</v>
      </c>
      <c r="J31">
        <v>4</v>
      </c>
      <c r="K31" t="s">
        <v>4</v>
      </c>
      <c r="L31" t="s">
        <v>67</v>
      </c>
      <c r="M31">
        <f>[1]!orders[[#This Row],[Ship Date]]-[1]!orders[[#This Row],[Order Date]]</f>
        <v>4</v>
      </c>
      <c r="N31">
        <f>WEEKNUM([1]!orders[[#This Row],[Order Date]])</f>
        <v>1</v>
      </c>
      <c r="O31" t="str" cm="1">
        <f t="array" ref="O31">_xlfn.IFS([1]!orders[[#This Row],[Customer Gender]]="M","Male", [1]!orders[[#This Row],[Customer Gender]]="F","Female", [1]!orders[[#This Row],[Customer Gender]]="O","Other", TRUE,"Unknown")</f>
        <v>Female</v>
      </c>
    </row>
    <row r="32" spans="1:15" x14ac:dyDescent="0.25">
      <c r="A32" s="1" t="s">
        <v>68</v>
      </c>
      <c r="B32" s="1" t="s">
        <v>29</v>
      </c>
      <c r="C32" s="1">
        <v>7</v>
      </c>
      <c r="D32" s="1">
        <v>19.100000000000001</v>
      </c>
      <c r="E32" s="1">
        <v>133.70000000000002</v>
      </c>
      <c r="F32" s="2">
        <v>45658</v>
      </c>
      <c r="G32" s="2">
        <v>45662</v>
      </c>
      <c r="H32" s="1" t="s">
        <v>8</v>
      </c>
      <c r="I32" s="1" t="s">
        <v>3</v>
      </c>
      <c r="J32" s="1">
        <v>5</v>
      </c>
      <c r="K32" s="1" t="s">
        <v>4</v>
      </c>
      <c r="L32" s="1" t="s">
        <v>69</v>
      </c>
      <c r="M32" s="1">
        <f>[1]!orders[[#This Row],[Ship Date]]-[1]!orders[[#This Row],[Order Date]]</f>
        <v>4</v>
      </c>
      <c r="N32" s="1">
        <f>WEEKNUM([1]!orders[[#This Row],[Order Date]])</f>
        <v>1</v>
      </c>
      <c r="O32" t="str" cm="1">
        <f t="array" ref="O32">_xlfn.IFS([1]!orders[[#This Row],[Customer Gender]]="M","Male", [1]!orders[[#This Row],[Customer Gender]]="F","Female", [1]!orders[[#This Row],[Customer Gender]]="O","Other", TRUE,"Unknown")</f>
        <v>Male</v>
      </c>
    </row>
    <row r="33" spans="1:15" x14ac:dyDescent="0.25">
      <c r="A33" t="s">
        <v>70</v>
      </c>
      <c r="B33" t="s">
        <v>11</v>
      </c>
      <c r="C33">
        <v>5</v>
      </c>
      <c r="D33">
        <v>166.1</v>
      </c>
      <c r="E33">
        <v>830.5</v>
      </c>
      <c r="F33" s="3">
        <v>45658</v>
      </c>
      <c r="G33" s="3">
        <v>45661</v>
      </c>
      <c r="H33" t="s">
        <v>8</v>
      </c>
      <c r="I33" t="s">
        <v>3</v>
      </c>
      <c r="J33">
        <v>4</v>
      </c>
      <c r="K33" t="s">
        <v>4</v>
      </c>
      <c r="L33" t="s">
        <v>71</v>
      </c>
      <c r="M33">
        <f>[1]!orders[[#This Row],[Ship Date]]-[1]!orders[[#This Row],[Order Date]]</f>
        <v>3</v>
      </c>
      <c r="N33">
        <f>WEEKNUM([1]!orders[[#This Row],[Order Date]])</f>
        <v>1</v>
      </c>
      <c r="O33" t="str" cm="1">
        <f t="array" ref="O33">_xlfn.IFS([1]!orders[[#This Row],[Customer Gender]]="M","Male", [1]!orders[[#This Row],[Customer Gender]]="F","Female", [1]!orders[[#This Row],[Customer Gender]]="O","Other", TRUE,"Unknown")</f>
        <v>Male</v>
      </c>
    </row>
    <row r="34" spans="1:15" x14ac:dyDescent="0.25">
      <c r="A34" s="1" t="s">
        <v>72</v>
      </c>
      <c r="B34" s="1" t="s">
        <v>17</v>
      </c>
      <c r="C34" s="1">
        <v>3</v>
      </c>
      <c r="D34" s="1">
        <v>29.9</v>
      </c>
      <c r="E34" s="1">
        <v>89.699999999999989</v>
      </c>
      <c r="F34" s="2">
        <v>45658</v>
      </c>
      <c r="G34" s="2">
        <v>45659</v>
      </c>
      <c r="H34" s="1" t="s">
        <v>8</v>
      </c>
      <c r="I34" s="1" t="s">
        <v>36</v>
      </c>
      <c r="J34" s="1">
        <v>4</v>
      </c>
      <c r="K34" s="1" t="s">
        <v>4</v>
      </c>
      <c r="L34" s="1" t="s">
        <v>18</v>
      </c>
      <c r="M34" s="1">
        <f>[1]!orders[[#This Row],[Ship Date]]-[1]!orders[[#This Row],[Order Date]]</f>
        <v>1</v>
      </c>
      <c r="N34" s="1">
        <f>WEEKNUM([1]!orders[[#This Row],[Order Date]])</f>
        <v>1</v>
      </c>
      <c r="O34" t="str" cm="1">
        <f t="array" ref="O34">_xlfn.IFS([1]!orders[[#This Row],[Customer Gender]]="M","Male", [1]!orders[[#This Row],[Customer Gender]]="F","Female", [1]!orders[[#This Row],[Customer Gender]]="O","Other", TRUE,"Unknown")</f>
        <v>Male</v>
      </c>
    </row>
    <row r="35" spans="1:15" x14ac:dyDescent="0.25">
      <c r="A35" t="s">
        <v>73</v>
      </c>
      <c r="B35" t="s">
        <v>39</v>
      </c>
      <c r="C35">
        <v>6</v>
      </c>
      <c r="D35">
        <v>21.7</v>
      </c>
      <c r="E35">
        <v>130.19999999999999</v>
      </c>
      <c r="F35" s="3">
        <v>45658</v>
      </c>
      <c r="G35" s="3">
        <v>45660</v>
      </c>
      <c r="H35" t="s">
        <v>74</v>
      </c>
      <c r="I35" t="s">
        <v>25</v>
      </c>
      <c r="J35">
        <v>5</v>
      </c>
      <c r="K35" t="s">
        <v>4</v>
      </c>
      <c r="L35" t="s">
        <v>18</v>
      </c>
      <c r="M35">
        <f>[1]!orders[[#This Row],[Ship Date]]-[1]!orders[[#This Row],[Order Date]]</f>
        <v>2</v>
      </c>
      <c r="N35">
        <f>WEEKNUM([1]!orders[[#This Row],[Order Date]])</f>
        <v>1</v>
      </c>
      <c r="O35" t="str" cm="1">
        <f t="array" ref="O35">_xlfn.IFS([1]!orders[[#This Row],[Customer Gender]]="M","Male", [1]!orders[[#This Row],[Customer Gender]]="F","Female", [1]!orders[[#This Row],[Customer Gender]]="O","Other", TRUE,"Unknown")</f>
        <v>Other</v>
      </c>
    </row>
    <row r="36" spans="1:15" x14ac:dyDescent="0.25">
      <c r="A36" s="1" t="s">
        <v>75</v>
      </c>
      <c r="B36" s="1" t="s">
        <v>52</v>
      </c>
      <c r="C36" s="1">
        <v>2</v>
      </c>
      <c r="D36" s="1">
        <v>32</v>
      </c>
      <c r="E36" s="1">
        <v>64</v>
      </c>
      <c r="F36" s="2">
        <v>45658</v>
      </c>
      <c r="G36" s="2">
        <v>45661</v>
      </c>
      <c r="H36" s="1" t="s">
        <v>8</v>
      </c>
      <c r="I36" s="1" t="s">
        <v>3</v>
      </c>
      <c r="J36" s="1">
        <v>5</v>
      </c>
      <c r="K36" s="1" t="s">
        <v>4</v>
      </c>
      <c r="L36" s="1" t="s">
        <v>18</v>
      </c>
      <c r="M36" s="1">
        <f>[1]!orders[[#This Row],[Ship Date]]-[1]!orders[[#This Row],[Order Date]]</f>
        <v>3</v>
      </c>
      <c r="N36" s="1">
        <f>WEEKNUM([1]!orders[[#This Row],[Order Date]])</f>
        <v>1</v>
      </c>
      <c r="O36" t="str" cm="1">
        <f t="array" ref="O36">_xlfn.IFS([1]!orders[[#This Row],[Customer Gender]]="M","Male", [1]!orders[[#This Row],[Customer Gender]]="F","Female", [1]!orders[[#This Row],[Customer Gender]]="O","Other", TRUE,"Unknown")</f>
        <v>Male</v>
      </c>
    </row>
    <row r="37" spans="1:15" x14ac:dyDescent="0.25">
      <c r="A37" t="s">
        <v>76</v>
      </c>
      <c r="B37" t="s">
        <v>29</v>
      </c>
      <c r="C37">
        <v>2</v>
      </c>
      <c r="D37">
        <v>15.8</v>
      </c>
      <c r="E37">
        <v>31.6</v>
      </c>
      <c r="F37" s="3">
        <v>45658</v>
      </c>
      <c r="G37" s="3">
        <v>45659</v>
      </c>
      <c r="H37" t="s">
        <v>8</v>
      </c>
      <c r="I37" t="s">
        <v>55</v>
      </c>
      <c r="J37">
        <v>5</v>
      </c>
      <c r="K37" t="s">
        <v>4</v>
      </c>
      <c r="L37" t="s">
        <v>18</v>
      </c>
      <c r="M37">
        <f>[1]!orders[[#This Row],[Ship Date]]-[1]!orders[[#This Row],[Order Date]]</f>
        <v>1</v>
      </c>
      <c r="N37">
        <f>WEEKNUM([1]!orders[[#This Row],[Order Date]])</f>
        <v>1</v>
      </c>
      <c r="O37" t="str" cm="1">
        <f t="array" ref="O37">_xlfn.IFS([1]!orders[[#This Row],[Customer Gender]]="M","Male", [1]!orders[[#This Row],[Customer Gender]]="F","Female", [1]!orders[[#This Row],[Customer Gender]]="O","Other", TRUE,"Unknown")</f>
        <v>Male</v>
      </c>
    </row>
    <row r="38" spans="1:15" x14ac:dyDescent="0.25">
      <c r="A38" s="1" t="s">
        <v>77</v>
      </c>
      <c r="B38" s="1" t="s">
        <v>11</v>
      </c>
      <c r="C38" s="1">
        <v>17</v>
      </c>
      <c r="D38" s="1">
        <v>203.1</v>
      </c>
      <c r="E38" s="1">
        <v>3452.7</v>
      </c>
      <c r="F38" s="2">
        <v>45658</v>
      </c>
      <c r="G38" s="2">
        <v>45662</v>
      </c>
      <c r="H38" s="1" t="s">
        <v>8</v>
      </c>
      <c r="I38" s="1" t="s">
        <v>36</v>
      </c>
      <c r="J38" s="1">
        <v>3</v>
      </c>
      <c r="K38" s="1" t="s">
        <v>4</v>
      </c>
      <c r="L38" s="1" t="s">
        <v>18</v>
      </c>
      <c r="M38" s="1">
        <f>[1]!orders[[#This Row],[Ship Date]]-[1]!orders[[#This Row],[Order Date]]</f>
        <v>4</v>
      </c>
      <c r="N38" s="1">
        <f>WEEKNUM([1]!orders[[#This Row],[Order Date]])</f>
        <v>1</v>
      </c>
      <c r="O38" t="str" cm="1">
        <f t="array" ref="O38">_xlfn.IFS([1]!orders[[#This Row],[Customer Gender]]="M","Male", [1]!orders[[#This Row],[Customer Gender]]="F","Female", [1]!orders[[#This Row],[Customer Gender]]="O","Other", TRUE,"Unknown")</f>
        <v>Male</v>
      </c>
    </row>
    <row r="39" spans="1:15" x14ac:dyDescent="0.25">
      <c r="A39" t="s">
        <v>78</v>
      </c>
      <c r="B39" t="s">
        <v>27</v>
      </c>
      <c r="C39">
        <v>13</v>
      </c>
      <c r="D39">
        <v>39</v>
      </c>
      <c r="E39">
        <v>507</v>
      </c>
      <c r="F39" s="3">
        <v>45658</v>
      </c>
      <c r="G39" s="3">
        <v>45664</v>
      </c>
      <c r="H39" t="s">
        <v>8</v>
      </c>
      <c r="I39" t="s">
        <v>3</v>
      </c>
      <c r="J39">
        <v>5</v>
      </c>
      <c r="K39" t="s">
        <v>4</v>
      </c>
      <c r="L39" t="s">
        <v>18</v>
      </c>
      <c r="M39">
        <f>[1]!orders[[#This Row],[Ship Date]]-[1]!orders[[#This Row],[Order Date]]</f>
        <v>6</v>
      </c>
      <c r="N39">
        <f>WEEKNUM([1]!orders[[#This Row],[Order Date]])</f>
        <v>1</v>
      </c>
      <c r="O39" t="str" cm="1">
        <f t="array" ref="O39">_xlfn.IFS([1]!orders[[#This Row],[Customer Gender]]="M","Male", [1]!orders[[#This Row],[Customer Gender]]="F","Female", [1]!orders[[#This Row],[Customer Gender]]="O","Other", TRUE,"Unknown")</f>
        <v>Male</v>
      </c>
    </row>
    <row r="40" spans="1:15" x14ac:dyDescent="0.25">
      <c r="A40" s="1" t="s">
        <v>79</v>
      </c>
      <c r="B40" s="1" t="s">
        <v>39</v>
      </c>
      <c r="C40" s="1">
        <v>1</v>
      </c>
      <c r="D40" s="1">
        <v>26.5</v>
      </c>
      <c r="E40" s="1">
        <v>26.5</v>
      </c>
      <c r="F40" s="2">
        <v>45659</v>
      </c>
      <c r="G40" s="2">
        <v>45660</v>
      </c>
      <c r="H40" s="1" t="s">
        <v>8</v>
      </c>
      <c r="I40" s="1" t="s">
        <v>25</v>
      </c>
      <c r="J40" s="1">
        <v>4</v>
      </c>
      <c r="K40" s="1" t="s">
        <v>4</v>
      </c>
      <c r="L40" s="1" t="s">
        <v>18</v>
      </c>
      <c r="M40" s="1">
        <f>[1]!orders[[#This Row],[Ship Date]]-[1]!orders[[#This Row],[Order Date]]</f>
        <v>1</v>
      </c>
      <c r="N40" s="1">
        <f>WEEKNUM([1]!orders[[#This Row],[Order Date]])</f>
        <v>1</v>
      </c>
      <c r="O40" t="str" cm="1">
        <f t="array" ref="O40">_xlfn.IFS([1]!orders[[#This Row],[Customer Gender]]="M","Male", [1]!orders[[#This Row],[Customer Gender]]="F","Female", [1]!orders[[#This Row],[Customer Gender]]="O","Other", TRUE,"Unknown")</f>
        <v>Male</v>
      </c>
    </row>
    <row r="41" spans="1:15" x14ac:dyDescent="0.25">
      <c r="A41" t="s">
        <v>80</v>
      </c>
      <c r="B41" t="s">
        <v>22</v>
      </c>
      <c r="C41">
        <v>1</v>
      </c>
      <c r="D41">
        <v>43.1</v>
      </c>
      <c r="E41">
        <v>43.1</v>
      </c>
      <c r="F41" s="3">
        <v>45659</v>
      </c>
      <c r="G41" s="3">
        <v>45660</v>
      </c>
      <c r="H41" t="s">
        <v>12</v>
      </c>
      <c r="I41" t="s">
        <v>25</v>
      </c>
      <c r="J41">
        <v>3</v>
      </c>
      <c r="K41" t="s">
        <v>4</v>
      </c>
      <c r="L41" t="s">
        <v>18</v>
      </c>
      <c r="M41">
        <f>[1]!orders[[#This Row],[Ship Date]]-[1]!orders[[#This Row],[Order Date]]</f>
        <v>1</v>
      </c>
      <c r="N41">
        <f>WEEKNUM([1]!orders[[#This Row],[Order Date]])</f>
        <v>1</v>
      </c>
      <c r="O41" t="str" cm="1">
        <f t="array" ref="O41">_xlfn.IFS([1]!orders[[#This Row],[Customer Gender]]="M","Male", [1]!orders[[#This Row],[Customer Gender]]="F","Female", [1]!orders[[#This Row],[Customer Gender]]="O","Other", TRUE,"Unknown")</f>
        <v>Female</v>
      </c>
    </row>
    <row r="42" spans="1:15" x14ac:dyDescent="0.25">
      <c r="A42" s="1" t="s">
        <v>81</v>
      </c>
      <c r="B42" s="1" t="s">
        <v>7</v>
      </c>
      <c r="C42" s="1">
        <v>3</v>
      </c>
      <c r="D42" s="1">
        <v>139</v>
      </c>
      <c r="E42" s="1">
        <v>417</v>
      </c>
      <c r="F42" s="2">
        <v>45659</v>
      </c>
      <c r="G42" s="2">
        <v>45660</v>
      </c>
      <c r="H42" s="1" t="s">
        <v>12</v>
      </c>
      <c r="I42" s="1" t="s">
        <v>55</v>
      </c>
      <c r="J42" s="1">
        <v>5</v>
      </c>
      <c r="K42" s="1" t="s">
        <v>4</v>
      </c>
      <c r="L42" s="1" t="s">
        <v>18</v>
      </c>
      <c r="M42" s="1">
        <f>[1]!orders[[#This Row],[Ship Date]]-[1]!orders[[#This Row],[Order Date]]</f>
        <v>1</v>
      </c>
      <c r="N42" s="1">
        <f>WEEKNUM([1]!orders[[#This Row],[Order Date]])</f>
        <v>1</v>
      </c>
      <c r="O42" t="str" cm="1">
        <f t="array" ref="O42">_xlfn.IFS([1]!orders[[#This Row],[Customer Gender]]="M","Male", [1]!orders[[#This Row],[Customer Gender]]="F","Female", [1]!orders[[#This Row],[Customer Gender]]="O","Other", TRUE,"Unknown")</f>
        <v>Female</v>
      </c>
    </row>
    <row r="43" spans="1:15" x14ac:dyDescent="0.25">
      <c r="A43" t="s">
        <v>82</v>
      </c>
      <c r="B43" t="s">
        <v>54</v>
      </c>
      <c r="C43">
        <v>1</v>
      </c>
      <c r="D43">
        <v>80.7</v>
      </c>
      <c r="E43">
        <v>80.7</v>
      </c>
      <c r="F43" s="3">
        <v>45659</v>
      </c>
      <c r="G43" s="3">
        <v>45660</v>
      </c>
      <c r="H43" t="s">
        <v>8</v>
      </c>
      <c r="I43" t="s">
        <v>3</v>
      </c>
      <c r="J43">
        <v>5</v>
      </c>
      <c r="K43" t="s">
        <v>4</v>
      </c>
      <c r="L43" t="s">
        <v>83</v>
      </c>
      <c r="M43">
        <f>[1]!orders[[#This Row],[Ship Date]]-[1]!orders[[#This Row],[Order Date]]</f>
        <v>1</v>
      </c>
      <c r="N43">
        <f>WEEKNUM([1]!orders[[#This Row],[Order Date]])</f>
        <v>1</v>
      </c>
      <c r="O43" t="str" cm="1">
        <f t="array" ref="O43">_xlfn.IFS([1]!orders[[#This Row],[Customer Gender]]="M","Male", [1]!orders[[#This Row],[Customer Gender]]="F","Female", [1]!orders[[#This Row],[Customer Gender]]="O","Other", TRUE,"Unknown")</f>
        <v>Male</v>
      </c>
    </row>
    <row r="44" spans="1:15" x14ac:dyDescent="0.25">
      <c r="A44" s="1" t="s">
        <v>84</v>
      </c>
      <c r="B44" s="1" t="s">
        <v>17</v>
      </c>
      <c r="C44" s="1">
        <v>2</v>
      </c>
      <c r="D44" s="1">
        <v>54.5</v>
      </c>
      <c r="E44" s="1">
        <v>109</v>
      </c>
      <c r="F44" s="2">
        <v>45659</v>
      </c>
      <c r="G44" s="2">
        <v>45661</v>
      </c>
      <c r="H44" s="1" t="s">
        <v>8</v>
      </c>
      <c r="I44" s="1" t="s">
        <v>20</v>
      </c>
      <c r="J44" s="1">
        <v>3</v>
      </c>
      <c r="K44" s="1" t="s">
        <v>4</v>
      </c>
      <c r="L44" s="1" t="s">
        <v>40</v>
      </c>
      <c r="M44" s="1">
        <f>[1]!orders[[#This Row],[Ship Date]]-[1]!orders[[#This Row],[Order Date]]</f>
        <v>2</v>
      </c>
      <c r="N44" s="1">
        <f>WEEKNUM([1]!orders[[#This Row],[Order Date]])</f>
        <v>1</v>
      </c>
      <c r="O44" t="str" cm="1">
        <f t="array" ref="O44">_xlfn.IFS([1]!orders[[#This Row],[Customer Gender]]="M","Male", [1]!orders[[#This Row],[Customer Gender]]="F","Female", [1]!orders[[#This Row],[Customer Gender]]="O","Other", TRUE,"Unknown")</f>
        <v>Male</v>
      </c>
    </row>
    <row r="45" spans="1:15" x14ac:dyDescent="0.25">
      <c r="A45" t="s">
        <v>85</v>
      </c>
      <c r="B45" t="s">
        <v>24</v>
      </c>
      <c r="C45">
        <v>3</v>
      </c>
      <c r="D45">
        <v>68.599999999999994</v>
      </c>
      <c r="E45">
        <v>205.79999999999998</v>
      </c>
      <c r="F45" s="3">
        <v>45659</v>
      </c>
      <c r="G45" s="3">
        <v>45659</v>
      </c>
      <c r="H45" t="s">
        <v>12</v>
      </c>
      <c r="I45" t="s">
        <v>3</v>
      </c>
      <c r="J45">
        <v>3</v>
      </c>
      <c r="K45" t="s">
        <v>4</v>
      </c>
      <c r="L45" t="s">
        <v>47</v>
      </c>
      <c r="M45">
        <f>[1]!orders[[#This Row],[Ship Date]]-[1]!orders[[#This Row],[Order Date]]</f>
        <v>0</v>
      </c>
      <c r="N45">
        <f>WEEKNUM([1]!orders[[#This Row],[Order Date]])</f>
        <v>1</v>
      </c>
      <c r="O45" t="str" cm="1">
        <f t="array" ref="O45">_xlfn.IFS([1]!orders[[#This Row],[Customer Gender]]="M","Male", [1]!orders[[#This Row],[Customer Gender]]="F","Female", [1]!orders[[#This Row],[Customer Gender]]="O","Other", TRUE,"Unknown")</f>
        <v>Female</v>
      </c>
    </row>
    <row r="46" spans="1:15" x14ac:dyDescent="0.25">
      <c r="A46" s="1" t="s">
        <v>86</v>
      </c>
      <c r="B46" s="1" t="s">
        <v>11</v>
      </c>
      <c r="C46" s="1">
        <v>4</v>
      </c>
      <c r="D46" s="1">
        <v>135.9</v>
      </c>
      <c r="E46" s="1">
        <v>543.6</v>
      </c>
      <c r="F46" s="2">
        <v>45659</v>
      </c>
      <c r="G46" s="2">
        <v>45660</v>
      </c>
      <c r="H46" s="1" t="s">
        <v>12</v>
      </c>
      <c r="I46" s="1" t="s">
        <v>25</v>
      </c>
      <c r="J46" s="1">
        <v>5</v>
      </c>
      <c r="K46" s="1" t="s">
        <v>4</v>
      </c>
      <c r="L46" s="1" t="s">
        <v>47</v>
      </c>
      <c r="M46" s="1">
        <f>[1]!orders[[#This Row],[Ship Date]]-[1]!orders[[#This Row],[Order Date]]</f>
        <v>1</v>
      </c>
      <c r="N46" s="1">
        <f>WEEKNUM([1]!orders[[#This Row],[Order Date]])</f>
        <v>1</v>
      </c>
      <c r="O46" t="str" cm="1">
        <f t="array" ref="O46">_xlfn.IFS([1]!orders[[#This Row],[Customer Gender]]="M","Male", [1]!orders[[#This Row],[Customer Gender]]="F","Female", [1]!orders[[#This Row],[Customer Gender]]="O","Other", TRUE,"Unknown")</f>
        <v>Female</v>
      </c>
    </row>
    <row r="47" spans="1:15" x14ac:dyDescent="0.25">
      <c r="A47" t="s">
        <v>87</v>
      </c>
      <c r="B47" t="s">
        <v>11</v>
      </c>
      <c r="C47">
        <v>4</v>
      </c>
      <c r="D47">
        <v>70.900000000000006</v>
      </c>
      <c r="E47">
        <v>283.60000000000002</v>
      </c>
      <c r="F47" s="3">
        <v>45659</v>
      </c>
      <c r="G47" s="3">
        <v>45660</v>
      </c>
      <c r="H47" t="s">
        <v>12</v>
      </c>
      <c r="I47" t="s">
        <v>3</v>
      </c>
      <c r="J47">
        <v>4</v>
      </c>
      <c r="K47" t="s">
        <v>4</v>
      </c>
      <c r="L47" t="s">
        <v>88</v>
      </c>
      <c r="M47">
        <f>[1]!orders[[#This Row],[Ship Date]]-[1]!orders[[#This Row],[Order Date]]</f>
        <v>1</v>
      </c>
      <c r="N47">
        <f>WEEKNUM([1]!orders[[#This Row],[Order Date]])</f>
        <v>1</v>
      </c>
      <c r="O47" t="str" cm="1">
        <f t="array" ref="O47">_xlfn.IFS([1]!orders[[#This Row],[Customer Gender]]="M","Male", [1]!orders[[#This Row],[Customer Gender]]="F","Female", [1]!orders[[#This Row],[Customer Gender]]="O","Other", TRUE,"Unknown")</f>
        <v>Female</v>
      </c>
    </row>
    <row r="48" spans="1:15" x14ac:dyDescent="0.25">
      <c r="A48" s="1" t="s">
        <v>89</v>
      </c>
      <c r="B48" s="1" t="s">
        <v>7</v>
      </c>
      <c r="C48" s="1">
        <v>5</v>
      </c>
      <c r="D48" s="1">
        <v>63.7</v>
      </c>
      <c r="E48" s="1">
        <v>318.5</v>
      </c>
      <c r="F48" s="2">
        <v>45659</v>
      </c>
      <c r="G48" s="2">
        <v>45660</v>
      </c>
      <c r="H48" s="1" t="s">
        <v>8</v>
      </c>
      <c r="I48" s="1" t="s">
        <v>20</v>
      </c>
      <c r="J48" s="1">
        <v>3</v>
      </c>
      <c r="K48" s="1" t="s">
        <v>4</v>
      </c>
      <c r="L48" s="1" t="s">
        <v>57</v>
      </c>
      <c r="M48" s="1">
        <f>[1]!orders[[#This Row],[Ship Date]]-[1]!orders[[#This Row],[Order Date]]</f>
        <v>1</v>
      </c>
      <c r="N48" s="1">
        <f>WEEKNUM([1]!orders[[#This Row],[Order Date]])</f>
        <v>1</v>
      </c>
      <c r="O48" t="str" cm="1">
        <f t="array" ref="O48">_xlfn.IFS([1]!orders[[#This Row],[Customer Gender]]="M","Male", [1]!orders[[#This Row],[Customer Gender]]="F","Female", [1]!orders[[#This Row],[Customer Gender]]="O","Other", TRUE,"Unknown")</f>
        <v>Male</v>
      </c>
    </row>
    <row r="49" spans="1:15" x14ac:dyDescent="0.25">
      <c r="A49" t="s">
        <v>90</v>
      </c>
      <c r="B49" t="s">
        <v>61</v>
      </c>
      <c r="C49">
        <v>1</v>
      </c>
      <c r="D49">
        <v>29.7</v>
      </c>
      <c r="E49">
        <v>29.7</v>
      </c>
      <c r="F49" s="3">
        <v>45659</v>
      </c>
      <c r="G49" s="3">
        <v>45661</v>
      </c>
      <c r="H49" t="s">
        <v>12</v>
      </c>
      <c r="I49" t="s">
        <v>20</v>
      </c>
      <c r="J49">
        <v>4</v>
      </c>
      <c r="K49" t="s">
        <v>4</v>
      </c>
      <c r="L49" t="s">
        <v>62</v>
      </c>
      <c r="M49">
        <f>[1]!orders[[#This Row],[Ship Date]]-[1]!orders[[#This Row],[Order Date]]</f>
        <v>2</v>
      </c>
      <c r="N49">
        <f>WEEKNUM([1]!orders[[#This Row],[Order Date]])</f>
        <v>1</v>
      </c>
      <c r="O49" t="str" cm="1">
        <f t="array" ref="O49">_xlfn.IFS([1]!orders[[#This Row],[Customer Gender]]="M","Male", [1]!orders[[#This Row],[Customer Gender]]="F","Female", [1]!orders[[#This Row],[Customer Gender]]="O","Other", TRUE,"Unknown")</f>
        <v>Female</v>
      </c>
    </row>
    <row r="50" spans="1:15" x14ac:dyDescent="0.25">
      <c r="A50" s="1" t="s">
        <v>91</v>
      </c>
      <c r="B50" s="1" t="s">
        <v>17</v>
      </c>
      <c r="C50" s="1">
        <v>3</v>
      </c>
      <c r="D50" s="1">
        <v>26.8</v>
      </c>
      <c r="E50" s="1">
        <v>80.400000000000006</v>
      </c>
      <c r="F50" s="2">
        <v>45659</v>
      </c>
      <c r="G50" s="2">
        <v>45668</v>
      </c>
      <c r="H50" s="1" t="s">
        <v>12</v>
      </c>
      <c r="I50" s="1" t="s">
        <v>20</v>
      </c>
      <c r="J50" s="1">
        <v>5</v>
      </c>
      <c r="K50" s="1" t="s">
        <v>4</v>
      </c>
      <c r="L50" s="1" t="s">
        <v>62</v>
      </c>
      <c r="M50" s="1">
        <f>[1]!orders[[#This Row],[Ship Date]]-[1]!orders[[#This Row],[Order Date]]</f>
        <v>9</v>
      </c>
      <c r="N50" s="1">
        <f>WEEKNUM([1]!orders[[#This Row],[Order Date]])</f>
        <v>1</v>
      </c>
      <c r="O50" t="str" cm="1">
        <f t="array" ref="O50">_xlfn.IFS([1]!orders[[#This Row],[Customer Gender]]="M","Male", [1]!orders[[#This Row],[Customer Gender]]="F","Female", [1]!orders[[#This Row],[Customer Gender]]="O","Other", TRUE,"Unknown")</f>
        <v>Female</v>
      </c>
    </row>
    <row r="51" spans="1:15" x14ac:dyDescent="0.25">
      <c r="A51" t="s">
        <v>92</v>
      </c>
      <c r="B51" t="s">
        <v>66</v>
      </c>
      <c r="C51">
        <v>1</v>
      </c>
      <c r="D51">
        <v>27</v>
      </c>
      <c r="E51">
        <v>27</v>
      </c>
      <c r="F51" s="3">
        <v>45659</v>
      </c>
      <c r="G51" s="3">
        <v>45661</v>
      </c>
      <c r="H51" t="s">
        <v>12</v>
      </c>
      <c r="I51" t="s">
        <v>3</v>
      </c>
      <c r="J51">
        <v>4</v>
      </c>
      <c r="K51" t="s">
        <v>4</v>
      </c>
      <c r="L51" t="s">
        <v>93</v>
      </c>
      <c r="M51">
        <f>[1]!orders[[#This Row],[Ship Date]]-[1]!orders[[#This Row],[Order Date]]</f>
        <v>2</v>
      </c>
      <c r="N51">
        <f>WEEKNUM([1]!orders[[#This Row],[Order Date]])</f>
        <v>1</v>
      </c>
      <c r="O51" t="str" cm="1">
        <f t="array" ref="O51">_xlfn.IFS([1]!orders[[#This Row],[Customer Gender]]="M","Male", [1]!orders[[#This Row],[Customer Gender]]="F","Female", [1]!orders[[#This Row],[Customer Gender]]="O","Other", TRUE,"Unknown")</f>
        <v>Female</v>
      </c>
    </row>
    <row r="52" spans="1:15" x14ac:dyDescent="0.25">
      <c r="A52" s="1" t="s">
        <v>94</v>
      </c>
      <c r="B52" s="1" t="s">
        <v>29</v>
      </c>
      <c r="C52" s="1">
        <v>1</v>
      </c>
      <c r="D52" s="1">
        <v>41.4</v>
      </c>
      <c r="E52" s="1">
        <v>41.4</v>
      </c>
      <c r="F52" s="2">
        <v>45659</v>
      </c>
      <c r="G52" s="2">
        <v>45660</v>
      </c>
      <c r="H52" s="1" t="s">
        <v>8</v>
      </c>
      <c r="I52" s="1" t="s">
        <v>20</v>
      </c>
      <c r="J52" s="1">
        <v>5</v>
      </c>
      <c r="K52" s="1" t="s">
        <v>4</v>
      </c>
      <c r="L52" s="1" t="s">
        <v>95</v>
      </c>
      <c r="M52" s="1">
        <f>[1]!orders[[#This Row],[Ship Date]]-[1]!orders[[#This Row],[Order Date]]</f>
        <v>1</v>
      </c>
      <c r="N52" s="1">
        <f>WEEKNUM([1]!orders[[#This Row],[Order Date]])</f>
        <v>1</v>
      </c>
      <c r="O52" t="str" cm="1">
        <f t="array" ref="O52">_xlfn.IFS([1]!orders[[#This Row],[Customer Gender]]="M","Male", [1]!orders[[#This Row],[Customer Gender]]="F","Female", [1]!orders[[#This Row],[Customer Gender]]="O","Other", TRUE,"Unknown")</f>
        <v>Male</v>
      </c>
    </row>
    <row r="53" spans="1:15" x14ac:dyDescent="0.25">
      <c r="A53" t="s">
        <v>96</v>
      </c>
      <c r="B53" t="s">
        <v>29</v>
      </c>
      <c r="C53">
        <v>2</v>
      </c>
      <c r="D53">
        <v>24.3</v>
      </c>
      <c r="E53">
        <v>48.6</v>
      </c>
      <c r="F53" s="3">
        <v>45659</v>
      </c>
      <c r="G53" s="3">
        <v>45662</v>
      </c>
      <c r="H53" t="s">
        <v>12</v>
      </c>
      <c r="I53" t="s">
        <v>20</v>
      </c>
      <c r="J53">
        <v>4</v>
      </c>
      <c r="K53" t="s">
        <v>4</v>
      </c>
      <c r="L53" t="s">
        <v>95</v>
      </c>
      <c r="M53">
        <f>[1]!orders[[#This Row],[Ship Date]]-[1]!orders[[#This Row],[Order Date]]</f>
        <v>3</v>
      </c>
      <c r="N53">
        <f>WEEKNUM([1]!orders[[#This Row],[Order Date]])</f>
        <v>1</v>
      </c>
      <c r="O53" t="str" cm="1">
        <f t="array" ref="O53">_xlfn.IFS([1]!orders[[#This Row],[Customer Gender]]="M","Male", [1]!orders[[#This Row],[Customer Gender]]="F","Female", [1]!orders[[#This Row],[Customer Gender]]="O","Other", TRUE,"Unknown")</f>
        <v>Female</v>
      </c>
    </row>
    <row r="54" spans="1:15" x14ac:dyDescent="0.25">
      <c r="A54" s="1" t="s">
        <v>97</v>
      </c>
      <c r="B54" s="1" t="s">
        <v>29</v>
      </c>
      <c r="C54" s="1">
        <v>3</v>
      </c>
      <c r="D54" s="1">
        <v>41.7</v>
      </c>
      <c r="E54" s="1">
        <v>125.10000000000001</v>
      </c>
      <c r="F54" s="2">
        <v>45659</v>
      </c>
      <c r="G54" s="2">
        <v>45661</v>
      </c>
      <c r="H54" s="1" t="s">
        <v>8</v>
      </c>
      <c r="I54" s="1" t="s">
        <v>3</v>
      </c>
      <c r="J54" s="1">
        <v>5</v>
      </c>
      <c r="K54" s="1" t="s">
        <v>4</v>
      </c>
      <c r="L54" s="1" t="s">
        <v>98</v>
      </c>
      <c r="M54" s="1">
        <f>[1]!orders[[#This Row],[Ship Date]]-[1]!orders[[#This Row],[Order Date]]</f>
        <v>2</v>
      </c>
      <c r="N54" s="1">
        <f>WEEKNUM([1]!orders[[#This Row],[Order Date]])</f>
        <v>1</v>
      </c>
      <c r="O54" t="str" cm="1">
        <f t="array" ref="O54">_xlfn.IFS([1]!orders[[#This Row],[Customer Gender]]="M","Male", [1]!orders[[#This Row],[Customer Gender]]="F","Female", [1]!orders[[#This Row],[Customer Gender]]="O","Other", TRUE,"Unknown")</f>
        <v>Male</v>
      </c>
    </row>
    <row r="55" spans="1:15" x14ac:dyDescent="0.25">
      <c r="A55" t="s">
        <v>99</v>
      </c>
      <c r="B55" t="s">
        <v>1</v>
      </c>
      <c r="C55">
        <v>2</v>
      </c>
      <c r="D55">
        <v>18</v>
      </c>
      <c r="E55">
        <v>36</v>
      </c>
      <c r="F55" s="3">
        <v>45659</v>
      </c>
      <c r="G55" s="3">
        <v>45660</v>
      </c>
      <c r="H55" t="s">
        <v>12</v>
      </c>
      <c r="I55" t="s">
        <v>3</v>
      </c>
      <c r="J55">
        <v>5</v>
      </c>
      <c r="K55" t="s">
        <v>4</v>
      </c>
      <c r="L55" t="s">
        <v>100</v>
      </c>
      <c r="M55">
        <f>[1]!orders[[#This Row],[Ship Date]]-[1]!orders[[#This Row],[Order Date]]</f>
        <v>1</v>
      </c>
      <c r="N55">
        <f>WEEKNUM([1]!orders[[#This Row],[Order Date]])</f>
        <v>1</v>
      </c>
      <c r="O55" t="str" cm="1">
        <f t="array" ref="O55">_xlfn.IFS([1]!orders[[#This Row],[Customer Gender]]="M","Male", [1]!orders[[#This Row],[Customer Gender]]="F","Female", [1]!orders[[#This Row],[Customer Gender]]="O","Other", TRUE,"Unknown")</f>
        <v>Female</v>
      </c>
    </row>
    <row r="56" spans="1:15" x14ac:dyDescent="0.25">
      <c r="A56" s="1" t="s">
        <v>101</v>
      </c>
      <c r="B56" s="1" t="s">
        <v>27</v>
      </c>
      <c r="C56" s="1">
        <v>3</v>
      </c>
      <c r="D56" s="1">
        <v>91.3</v>
      </c>
      <c r="E56" s="1">
        <v>273.89999999999998</v>
      </c>
      <c r="F56" s="2">
        <v>45659</v>
      </c>
      <c r="G56" s="2">
        <v>45662</v>
      </c>
      <c r="H56" s="1" t="s">
        <v>8</v>
      </c>
      <c r="I56" s="1" t="s">
        <v>25</v>
      </c>
      <c r="J56" s="1">
        <v>5</v>
      </c>
      <c r="K56" s="1" t="s">
        <v>4</v>
      </c>
      <c r="L56" s="1" t="s">
        <v>18</v>
      </c>
      <c r="M56" s="1">
        <f>[1]!orders[[#This Row],[Ship Date]]-[1]!orders[[#This Row],[Order Date]]</f>
        <v>3</v>
      </c>
      <c r="N56" s="1">
        <f>WEEKNUM([1]!orders[[#This Row],[Order Date]])</f>
        <v>1</v>
      </c>
      <c r="O56" t="str" cm="1">
        <f t="array" ref="O56">_xlfn.IFS([1]!orders[[#This Row],[Customer Gender]]="M","Male", [1]!orders[[#This Row],[Customer Gender]]="F","Female", [1]!orders[[#This Row],[Customer Gender]]="O","Other", TRUE,"Unknown")</f>
        <v>Male</v>
      </c>
    </row>
    <row r="57" spans="1:15" x14ac:dyDescent="0.25">
      <c r="A57" t="s">
        <v>102</v>
      </c>
      <c r="B57" t="s">
        <v>29</v>
      </c>
      <c r="C57">
        <v>8</v>
      </c>
      <c r="D57">
        <v>19.3</v>
      </c>
      <c r="E57">
        <v>154.4</v>
      </c>
      <c r="F57" s="3">
        <v>45659</v>
      </c>
      <c r="G57" s="3">
        <v>45660</v>
      </c>
      <c r="H57" t="s">
        <v>8</v>
      </c>
      <c r="I57" t="s">
        <v>3</v>
      </c>
      <c r="J57">
        <v>4</v>
      </c>
      <c r="K57" t="s">
        <v>4</v>
      </c>
      <c r="L57" t="s">
        <v>18</v>
      </c>
      <c r="M57">
        <f>[1]!orders[[#This Row],[Ship Date]]-[1]!orders[[#This Row],[Order Date]]</f>
        <v>1</v>
      </c>
      <c r="N57">
        <f>WEEKNUM([1]!orders[[#This Row],[Order Date]])</f>
        <v>1</v>
      </c>
      <c r="O57" t="str" cm="1">
        <f t="array" ref="O57">_xlfn.IFS([1]!orders[[#This Row],[Customer Gender]]="M","Male", [1]!orders[[#This Row],[Customer Gender]]="F","Female", [1]!orders[[#This Row],[Customer Gender]]="O","Other", TRUE,"Unknown")</f>
        <v>Male</v>
      </c>
    </row>
    <row r="58" spans="1:15" x14ac:dyDescent="0.25">
      <c r="A58" s="1" t="s">
        <v>103</v>
      </c>
      <c r="B58" s="1" t="s">
        <v>54</v>
      </c>
      <c r="C58" s="1">
        <v>13</v>
      </c>
      <c r="D58" s="1">
        <v>63.2</v>
      </c>
      <c r="E58" s="1">
        <v>821.6</v>
      </c>
      <c r="F58" s="2">
        <v>45659</v>
      </c>
      <c r="G58" s="2">
        <v>45660</v>
      </c>
      <c r="H58" s="1" t="s">
        <v>12</v>
      </c>
      <c r="I58" s="1" t="s">
        <v>3</v>
      </c>
      <c r="J58" s="1">
        <v>4</v>
      </c>
      <c r="K58" s="1" t="s">
        <v>4</v>
      </c>
      <c r="L58" s="1" t="s">
        <v>18</v>
      </c>
      <c r="M58" s="1">
        <f>[1]!orders[[#This Row],[Ship Date]]-[1]!orders[[#This Row],[Order Date]]</f>
        <v>1</v>
      </c>
      <c r="N58" s="1">
        <f>WEEKNUM([1]!orders[[#This Row],[Order Date]])</f>
        <v>1</v>
      </c>
      <c r="O58" t="str" cm="1">
        <f t="array" ref="O58">_xlfn.IFS([1]!orders[[#This Row],[Customer Gender]]="M","Male", [1]!orders[[#This Row],[Customer Gender]]="F","Female", [1]!orders[[#This Row],[Customer Gender]]="O","Other", TRUE,"Unknown")</f>
        <v>Female</v>
      </c>
    </row>
    <row r="59" spans="1:15" x14ac:dyDescent="0.25">
      <c r="A59" t="s">
        <v>104</v>
      </c>
      <c r="B59" t="s">
        <v>39</v>
      </c>
      <c r="C59">
        <v>9</v>
      </c>
      <c r="D59">
        <v>33.299999999999997</v>
      </c>
      <c r="E59">
        <v>299.7</v>
      </c>
      <c r="F59" s="3">
        <v>45660</v>
      </c>
      <c r="G59" s="3">
        <v>45668</v>
      </c>
      <c r="H59" t="s">
        <v>12</v>
      </c>
      <c r="I59" t="s">
        <v>3</v>
      </c>
      <c r="J59">
        <v>5</v>
      </c>
      <c r="K59" t="s">
        <v>4</v>
      </c>
      <c r="L59" t="s">
        <v>18</v>
      </c>
      <c r="M59">
        <f>[1]!orders[[#This Row],[Ship Date]]-[1]!orders[[#This Row],[Order Date]]</f>
        <v>8</v>
      </c>
      <c r="N59">
        <f>WEEKNUM([1]!orders[[#This Row],[Order Date]])</f>
        <v>1</v>
      </c>
      <c r="O59" t="str" cm="1">
        <f t="array" ref="O59">_xlfn.IFS([1]!orders[[#This Row],[Customer Gender]]="M","Male", [1]!orders[[#This Row],[Customer Gender]]="F","Female", [1]!orders[[#This Row],[Customer Gender]]="O","Other", TRUE,"Unknown")</f>
        <v>Female</v>
      </c>
    </row>
    <row r="60" spans="1:15" x14ac:dyDescent="0.25">
      <c r="A60" s="1" t="s">
        <v>105</v>
      </c>
      <c r="B60" s="1" t="s">
        <v>27</v>
      </c>
      <c r="C60" s="1">
        <v>2</v>
      </c>
      <c r="D60" s="1">
        <v>64.2</v>
      </c>
      <c r="E60" s="1">
        <v>128.4</v>
      </c>
      <c r="F60" s="2">
        <v>45660</v>
      </c>
      <c r="G60" s="2">
        <v>45661</v>
      </c>
      <c r="H60" s="1" t="s">
        <v>8</v>
      </c>
      <c r="I60" s="1" t="s">
        <v>3</v>
      </c>
      <c r="J60" s="1">
        <v>5</v>
      </c>
      <c r="K60" s="1" t="s">
        <v>4</v>
      </c>
      <c r="L60" s="1" t="s">
        <v>18</v>
      </c>
      <c r="M60" s="1">
        <f>[1]!orders[[#This Row],[Ship Date]]-[1]!orders[[#This Row],[Order Date]]</f>
        <v>1</v>
      </c>
      <c r="N60" s="1">
        <f>WEEKNUM([1]!orders[[#This Row],[Order Date]])</f>
        <v>1</v>
      </c>
      <c r="O60" t="str" cm="1">
        <f t="array" ref="O60">_xlfn.IFS([1]!orders[[#This Row],[Customer Gender]]="M","Male", [1]!orders[[#This Row],[Customer Gender]]="F","Female", [1]!orders[[#This Row],[Customer Gender]]="O","Other", TRUE,"Unknown")</f>
        <v>Male</v>
      </c>
    </row>
    <row r="61" spans="1:15" x14ac:dyDescent="0.25">
      <c r="A61" t="s">
        <v>106</v>
      </c>
      <c r="B61" t="s">
        <v>31</v>
      </c>
      <c r="C61">
        <v>3</v>
      </c>
      <c r="D61">
        <v>23.1</v>
      </c>
      <c r="E61">
        <v>69.300000000000011</v>
      </c>
      <c r="F61" s="3">
        <v>45660</v>
      </c>
      <c r="G61" s="3">
        <v>45663</v>
      </c>
      <c r="H61" t="s">
        <v>12</v>
      </c>
      <c r="I61" t="s">
        <v>20</v>
      </c>
      <c r="J61">
        <v>5</v>
      </c>
      <c r="K61" t="s">
        <v>4</v>
      </c>
      <c r="L61" t="s">
        <v>18</v>
      </c>
      <c r="M61">
        <f>[1]!orders[[#This Row],[Ship Date]]-[1]!orders[[#This Row],[Order Date]]</f>
        <v>3</v>
      </c>
      <c r="N61">
        <f>WEEKNUM([1]!orders[[#This Row],[Order Date]])</f>
        <v>1</v>
      </c>
      <c r="O61" t="str" cm="1">
        <f t="array" ref="O61">_xlfn.IFS([1]!orders[[#This Row],[Customer Gender]]="M","Male", [1]!orders[[#This Row],[Customer Gender]]="F","Female", [1]!orders[[#This Row],[Customer Gender]]="O","Other", TRUE,"Unknown")</f>
        <v>Female</v>
      </c>
    </row>
    <row r="62" spans="1:15" x14ac:dyDescent="0.25">
      <c r="A62" s="1" t="s">
        <v>107</v>
      </c>
      <c r="B62" s="1" t="s">
        <v>108</v>
      </c>
      <c r="C62" s="1">
        <v>2</v>
      </c>
      <c r="D62" s="1">
        <v>71.099999999999994</v>
      </c>
      <c r="E62" s="1">
        <v>142.19999999999999</v>
      </c>
      <c r="F62" s="2">
        <v>45660</v>
      </c>
      <c r="G62" s="2">
        <v>45662</v>
      </c>
      <c r="H62" s="1" t="s">
        <v>12</v>
      </c>
      <c r="I62" s="1" t="s">
        <v>36</v>
      </c>
      <c r="J62" s="1">
        <v>3</v>
      </c>
      <c r="K62" s="1" t="s">
        <v>4</v>
      </c>
      <c r="L62" s="1" t="s">
        <v>18</v>
      </c>
      <c r="M62" s="1">
        <f>[1]!orders[[#This Row],[Ship Date]]-[1]!orders[[#This Row],[Order Date]]</f>
        <v>2</v>
      </c>
      <c r="N62" s="1">
        <f>WEEKNUM([1]!orders[[#This Row],[Order Date]])</f>
        <v>1</v>
      </c>
      <c r="O62" t="str" cm="1">
        <f t="array" ref="O62">_xlfn.IFS([1]!orders[[#This Row],[Customer Gender]]="M","Male", [1]!orders[[#This Row],[Customer Gender]]="F","Female", [1]!orders[[#This Row],[Customer Gender]]="O","Other", TRUE,"Unknown")</f>
        <v>Female</v>
      </c>
    </row>
    <row r="63" spans="1:15" x14ac:dyDescent="0.25">
      <c r="A63" t="s">
        <v>109</v>
      </c>
      <c r="B63" t="s">
        <v>1</v>
      </c>
      <c r="C63">
        <v>2</v>
      </c>
      <c r="D63">
        <v>11.5</v>
      </c>
      <c r="E63">
        <v>23</v>
      </c>
      <c r="F63" s="3">
        <v>45660</v>
      </c>
      <c r="G63" s="3">
        <v>45661</v>
      </c>
      <c r="H63" t="s">
        <v>12</v>
      </c>
      <c r="I63" t="s">
        <v>3</v>
      </c>
      <c r="J63">
        <v>4</v>
      </c>
      <c r="K63" t="s">
        <v>4</v>
      </c>
      <c r="L63" t="s">
        <v>18</v>
      </c>
      <c r="M63">
        <f>[1]!orders[[#This Row],[Ship Date]]-[1]!orders[[#This Row],[Order Date]]</f>
        <v>1</v>
      </c>
      <c r="N63">
        <f>WEEKNUM([1]!orders[[#This Row],[Order Date]])</f>
        <v>1</v>
      </c>
      <c r="O63" t="str" cm="1">
        <f t="array" ref="O63">_xlfn.IFS([1]!orders[[#This Row],[Customer Gender]]="M","Male", [1]!orders[[#This Row],[Customer Gender]]="F","Female", [1]!orders[[#This Row],[Customer Gender]]="O","Other", TRUE,"Unknown")</f>
        <v>Female</v>
      </c>
    </row>
    <row r="64" spans="1:15" x14ac:dyDescent="0.25">
      <c r="A64" s="1" t="s">
        <v>110</v>
      </c>
      <c r="B64" s="1" t="s">
        <v>108</v>
      </c>
      <c r="C64" s="1">
        <v>19</v>
      </c>
      <c r="D64" s="1">
        <v>69.2</v>
      </c>
      <c r="E64" s="1">
        <v>1314.8</v>
      </c>
      <c r="F64" s="2">
        <v>45660</v>
      </c>
      <c r="G64" s="2">
        <v>45665</v>
      </c>
      <c r="H64" s="1" t="s">
        <v>12</v>
      </c>
      <c r="I64" s="1" t="s">
        <v>3</v>
      </c>
      <c r="J64" s="1">
        <v>4</v>
      </c>
      <c r="K64" s="1" t="s">
        <v>4</v>
      </c>
      <c r="L64" s="1" t="s">
        <v>18</v>
      </c>
      <c r="M64" s="1">
        <f>[1]!orders[[#This Row],[Ship Date]]-[1]!orders[[#This Row],[Order Date]]</f>
        <v>5</v>
      </c>
      <c r="N64" s="1">
        <f>WEEKNUM([1]!orders[[#This Row],[Order Date]])</f>
        <v>1</v>
      </c>
      <c r="O64" t="str" cm="1">
        <f t="array" ref="O64">_xlfn.IFS([1]!orders[[#This Row],[Customer Gender]]="M","Male", [1]!orders[[#This Row],[Customer Gender]]="F","Female", [1]!orders[[#This Row],[Customer Gender]]="O","Other", TRUE,"Unknown")</f>
        <v>Female</v>
      </c>
    </row>
    <row r="65" spans="1:15" x14ac:dyDescent="0.25">
      <c r="A65" t="s">
        <v>111</v>
      </c>
      <c r="B65" t="s">
        <v>1</v>
      </c>
      <c r="C65">
        <v>1</v>
      </c>
      <c r="D65">
        <v>26.8</v>
      </c>
      <c r="E65">
        <v>26.8</v>
      </c>
      <c r="F65" s="3">
        <v>45660</v>
      </c>
      <c r="G65" s="3">
        <v>45661</v>
      </c>
      <c r="H65" t="s">
        <v>8</v>
      </c>
      <c r="I65" t="s">
        <v>25</v>
      </c>
      <c r="J65">
        <v>2</v>
      </c>
      <c r="K65" t="s">
        <v>4</v>
      </c>
      <c r="L65" t="s">
        <v>18</v>
      </c>
      <c r="M65">
        <f>[1]!orders[[#This Row],[Ship Date]]-[1]!orders[[#This Row],[Order Date]]</f>
        <v>1</v>
      </c>
      <c r="N65">
        <f>WEEKNUM([1]!orders[[#This Row],[Order Date]])</f>
        <v>1</v>
      </c>
      <c r="O65" t="str" cm="1">
        <f t="array" ref="O65">_xlfn.IFS([1]!orders[[#This Row],[Customer Gender]]="M","Male", [1]!orders[[#This Row],[Customer Gender]]="F","Female", [1]!orders[[#This Row],[Customer Gender]]="O","Other", TRUE,"Unknown")</f>
        <v>Male</v>
      </c>
    </row>
    <row r="66" spans="1:15" x14ac:dyDescent="0.25">
      <c r="A66" s="1" t="s">
        <v>112</v>
      </c>
      <c r="B66" s="1" t="s">
        <v>113</v>
      </c>
      <c r="C66" s="1">
        <v>3</v>
      </c>
      <c r="D66" s="1">
        <v>31.2</v>
      </c>
      <c r="E66" s="1">
        <v>93.6</v>
      </c>
      <c r="F66" s="2">
        <v>45660</v>
      </c>
      <c r="G66" s="2">
        <v>45663</v>
      </c>
      <c r="H66" s="1" t="s">
        <v>12</v>
      </c>
      <c r="I66" s="1" t="s">
        <v>3</v>
      </c>
      <c r="J66" s="1">
        <v>4</v>
      </c>
      <c r="K66" s="1" t="s">
        <v>4</v>
      </c>
      <c r="L66" s="1" t="s">
        <v>18</v>
      </c>
      <c r="M66" s="1">
        <f>[1]!orders[[#This Row],[Ship Date]]-[1]!orders[[#This Row],[Order Date]]</f>
        <v>3</v>
      </c>
      <c r="N66" s="1">
        <f>WEEKNUM([1]!orders[[#This Row],[Order Date]])</f>
        <v>1</v>
      </c>
      <c r="O66" t="str" cm="1">
        <f t="array" ref="O66">_xlfn.IFS([1]!orders[[#This Row],[Customer Gender]]="M","Male", [1]!orders[[#This Row],[Customer Gender]]="F","Female", [1]!orders[[#This Row],[Customer Gender]]="O","Other", TRUE,"Unknown")</f>
        <v>Female</v>
      </c>
    </row>
    <row r="67" spans="1:15" x14ac:dyDescent="0.25">
      <c r="A67" t="s">
        <v>114</v>
      </c>
      <c r="B67" t="s">
        <v>54</v>
      </c>
      <c r="C67">
        <v>2</v>
      </c>
      <c r="D67">
        <v>113.2</v>
      </c>
      <c r="E67">
        <v>226.4</v>
      </c>
      <c r="F67" s="3">
        <v>45660</v>
      </c>
      <c r="G67" s="3">
        <v>45661</v>
      </c>
      <c r="H67" t="s">
        <v>12</v>
      </c>
      <c r="I67" t="s">
        <v>55</v>
      </c>
      <c r="J67">
        <v>4</v>
      </c>
      <c r="K67" t="s">
        <v>4</v>
      </c>
      <c r="L67" t="s">
        <v>18</v>
      </c>
      <c r="M67">
        <f>[1]!orders[[#This Row],[Ship Date]]-[1]!orders[[#This Row],[Order Date]]</f>
        <v>1</v>
      </c>
      <c r="N67">
        <f>WEEKNUM([1]!orders[[#This Row],[Order Date]])</f>
        <v>1</v>
      </c>
      <c r="O67" t="str" cm="1">
        <f t="array" ref="O67">_xlfn.IFS([1]!orders[[#This Row],[Customer Gender]]="M","Male", [1]!orders[[#This Row],[Customer Gender]]="F","Female", [1]!orders[[#This Row],[Customer Gender]]="O","Other", TRUE,"Unknown")</f>
        <v>Female</v>
      </c>
    </row>
    <row r="68" spans="1:15" x14ac:dyDescent="0.25">
      <c r="A68" s="1" t="s">
        <v>115</v>
      </c>
      <c r="B68" s="1" t="s">
        <v>39</v>
      </c>
      <c r="C68" s="1">
        <v>8</v>
      </c>
      <c r="D68" s="1">
        <v>21</v>
      </c>
      <c r="E68" s="1">
        <v>168</v>
      </c>
      <c r="F68" s="2">
        <v>45660</v>
      </c>
      <c r="G68" s="2">
        <v>45661</v>
      </c>
      <c r="H68" s="1" t="s">
        <v>8</v>
      </c>
      <c r="I68" s="1" t="s">
        <v>3</v>
      </c>
      <c r="J68" s="1">
        <v>4</v>
      </c>
      <c r="K68" s="1" t="s">
        <v>4</v>
      </c>
      <c r="L68" s="1" t="s">
        <v>40</v>
      </c>
      <c r="M68" s="1">
        <f>[1]!orders[[#This Row],[Ship Date]]-[1]!orders[[#This Row],[Order Date]]</f>
        <v>1</v>
      </c>
      <c r="N68" s="1">
        <f>WEEKNUM([1]!orders[[#This Row],[Order Date]])</f>
        <v>1</v>
      </c>
      <c r="O68" t="str" cm="1">
        <f t="array" ref="O68">_xlfn.IFS([1]!orders[[#This Row],[Customer Gender]]="M","Male", [1]!orders[[#This Row],[Customer Gender]]="F","Female", [1]!orders[[#This Row],[Customer Gender]]="O","Other", TRUE,"Unknown")</f>
        <v>Male</v>
      </c>
    </row>
    <row r="69" spans="1:15" x14ac:dyDescent="0.25">
      <c r="A69" t="s">
        <v>116</v>
      </c>
      <c r="B69" t="s">
        <v>7</v>
      </c>
      <c r="C69">
        <v>2</v>
      </c>
      <c r="D69">
        <v>89.1</v>
      </c>
      <c r="E69">
        <v>178.2</v>
      </c>
      <c r="F69" s="3">
        <v>45660</v>
      </c>
      <c r="G69" s="3">
        <v>45661</v>
      </c>
      <c r="H69" t="s">
        <v>12</v>
      </c>
      <c r="I69" t="s">
        <v>25</v>
      </c>
      <c r="J69">
        <v>5</v>
      </c>
      <c r="K69" t="s">
        <v>4</v>
      </c>
      <c r="L69" t="s">
        <v>40</v>
      </c>
      <c r="M69">
        <f>[1]!orders[[#This Row],[Ship Date]]-[1]!orders[[#This Row],[Order Date]]</f>
        <v>1</v>
      </c>
      <c r="N69">
        <f>WEEKNUM([1]!orders[[#This Row],[Order Date]])</f>
        <v>1</v>
      </c>
      <c r="O69" t="str" cm="1">
        <f t="array" ref="O69">_xlfn.IFS([1]!orders[[#This Row],[Customer Gender]]="M","Male", [1]!orders[[#This Row],[Customer Gender]]="F","Female", [1]!orders[[#This Row],[Customer Gender]]="O","Other", TRUE,"Unknown")</f>
        <v>Female</v>
      </c>
    </row>
    <row r="70" spans="1:15" x14ac:dyDescent="0.25">
      <c r="A70" s="1" t="s">
        <v>117</v>
      </c>
      <c r="B70" s="1" t="s">
        <v>7</v>
      </c>
      <c r="C70" s="1">
        <v>1</v>
      </c>
      <c r="D70" s="1">
        <v>97.7</v>
      </c>
      <c r="E70" s="1">
        <v>97.7</v>
      </c>
      <c r="F70" s="2">
        <v>45660</v>
      </c>
      <c r="G70" s="2">
        <v>45662</v>
      </c>
      <c r="H70" s="1" t="s">
        <v>12</v>
      </c>
      <c r="I70" s="1" t="s">
        <v>3</v>
      </c>
      <c r="J70" s="1">
        <v>3</v>
      </c>
      <c r="K70" s="1" t="s">
        <v>4</v>
      </c>
      <c r="L70" s="1" t="s">
        <v>40</v>
      </c>
      <c r="M70" s="1">
        <f>[1]!orders[[#This Row],[Ship Date]]-[1]!orders[[#This Row],[Order Date]]</f>
        <v>2</v>
      </c>
      <c r="N70" s="1">
        <f>WEEKNUM([1]!orders[[#This Row],[Order Date]])</f>
        <v>1</v>
      </c>
      <c r="O70" t="str" cm="1">
        <f t="array" ref="O70">_xlfn.IFS([1]!orders[[#This Row],[Customer Gender]]="M","Male", [1]!orders[[#This Row],[Customer Gender]]="F","Female", [1]!orders[[#This Row],[Customer Gender]]="O","Other", TRUE,"Unknown")</f>
        <v>Female</v>
      </c>
    </row>
    <row r="71" spans="1:15" x14ac:dyDescent="0.25">
      <c r="A71" t="s">
        <v>118</v>
      </c>
      <c r="B71" t="s">
        <v>108</v>
      </c>
      <c r="C71">
        <v>4</v>
      </c>
      <c r="D71">
        <v>97.7</v>
      </c>
      <c r="E71">
        <v>390.8</v>
      </c>
      <c r="F71" s="3">
        <v>45660</v>
      </c>
      <c r="G71" s="3">
        <v>45662</v>
      </c>
      <c r="H71" t="s">
        <v>8</v>
      </c>
      <c r="I71" t="s">
        <v>36</v>
      </c>
      <c r="J71">
        <v>4</v>
      </c>
      <c r="K71" t="s">
        <v>4</v>
      </c>
      <c r="L71" t="s">
        <v>40</v>
      </c>
      <c r="M71">
        <f>[1]!orders[[#This Row],[Ship Date]]-[1]!orders[[#This Row],[Order Date]]</f>
        <v>2</v>
      </c>
      <c r="N71">
        <f>WEEKNUM([1]!orders[[#This Row],[Order Date]])</f>
        <v>1</v>
      </c>
      <c r="O71" t="str" cm="1">
        <f t="array" ref="O71">_xlfn.IFS([1]!orders[[#This Row],[Customer Gender]]="M","Male", [1]!orders[[#This Row],[Customer Gender]]="F","Female", [1]!orders[[#This Row],[Customer Gender]]="O","Other", TRUE,"Unknown")</f>
        <v>Male</v>
      </c>
    </row>
    <row r="72" spans="1:15" x14ac:dyDescent="0.25">
      <c r="A72" s="1" t="s">
        <v>119</v>
      </c>
      <c r="B72" s="1" t="s">
        <v>120</v>
      </c>
      <c r="C72" s="1">
        <v>3</v>
      </c>
      <c r="D72" s="1">
        <v>47.4</v>
      </c>
      <c r="E72" s="1">
        <v>142.19999999999999</v>
      </c>
      <c r="F72" s="2">
        <v>45660</v>
      </c>
      <c r="G72" s="2">
        <v>45663</v>
      </c>
      <c r="H72" s="1" t="s">
        <v>8</v>
      </c>
      <c r="I72" s="1" t="s">
        <v>36</v>
      </c>
      <c r="J72" s="1">
        <v>5</v>
      </c>
      <c r="K72" s="1" t="s">
        <v>4</v>
      </c>
      <c r="L72" s="1" t="s">
        <v>47</v>
      </c>
      <c r="M72" s="1">
        <f>[1]!orders[[#This Row],[Ship Date]]-[1]!orders[[#This Row],[Order Date]]</f>
        <v>3</v>
      </c>
      <c r="N72" s="1">
        <f>WEEKNUM([1]!orders[[#This Row],[Order Date]])</f>
        <v>1</v>
      </c>
      <c r="O72" t="str" cm="1">
        <f t="array" ref="O72">_xlfn.IFS([1]!orders[[#This Row],[Customer Gender]]="M","Male", [1]!orders[[#This Row],[Customer Gender]]="F","Female", [1]!orders[[#This Row],[Customer Gender]]="O","Other", TRUE,"Unknown")</f>
        <v>Male</v>
      </c>
    </row>
    <row r="73" spans="1:15" x14ac:dyDescent="0.25">
      <c r="A73" t="s">
        <v>121</v>
      </c>
      <c r="B73" t="s">
        <v>27</v>
      </c>
      <c r="C73">
        <v>1</v>
      </c>
      <c r="D73">
        <v>89.6</v>
      </c>
      <c r="E73">
        <v>89.6</v>
      </c>
      <c r="F73" s="3">
        <v>45660</v>
      </c>
      <c r="G73" s="3">
        <v>45663</v>
      </c>
      <c r="H73" t="s">
        <v>12</v>
      </c>
      <c r="I73" t="s">
        <v>3</v>
      </c>
      <c r="J73">
        <v>5</v>
      </c>
      <c r="K73" t="s">
        <v>4</v>
      </c>
      <c r="L73" t="s">
        <v>47</v>
      </c>
      <c r="M73">
        <f>[1]!orders[[#This Row],[Ship Date]]-[1]!orders[[#This Row],[Order Date]]</f>
        <v>3</v>
      </c>
      <c r="N73">
        <f>WEEKNUM([1]!orders[[#This Row],[Order Date]])</f>
        <v>1</v>
      </c>
      <c r="O73" t="str" cm="1">
        <f t="array" ref="O73">_xlfn.IFS([1]!orders[[#This Row],[Customer Gender]]="M","Male", [1]!orders[[#This Row],[Customer Gender]]="F","Female", [1]!orders[[#This Row],[Customer Gender]]="O","Other", TRUE,"Unknown")</f>
        <v>Female</v>
      </c>
    </row>
    <row r="74" spans="1:15" x14ac:dyDescent="0.25">
      <c r="A74" s="1" t="s">
        <v>122</v>
      </c>
      <c r="B74" s="1" t="s">
        <v>39</v>
      </c>
      <c r="C74" s="1">
        <v>18</v>
      </c>
      <c r="D74" s="1">
        <v>28.4</v>
      </c>
      <c r="E74" s="1">
        <v>511.2</v>
      </c>
      <c r="F74" s="2">
        <v>45660</v>
      </c>
      <c r="G74" s="2">
        <v>45663</v>
      </c>
      <c r="H74" s="1" t="s">
        <v>12</v>
      </c>
      <c r="I74" s="1" t="s">
        <v>36</v>
      </c>
      <c r="J74" s="1">
        <v>5</v>
      </c>
      <c r="K74" s="1" t="s">
        <v>4</v>
      </c>
      <c r="L74" s="1" t="s">
        <v>88</v>
      </c>
      <c r="M74" s="1">
        <f>[1]!orders[[#This Row],[Ship Date]]-[1]!orders[[#This Row],[Order Date]]</f>
        <v>3</v>
      </c>
      <c r="N74" s="1">
        <f>WEEKNUM([1]!orders[[#This Row],[Order Date]])</f>
        <v>1</v>
      </c>
      <c r="O74" t="str" cm="1">
        <f t="array" ref="O74">_xlfn.IFS([1]!orders[[#This Row],[Customer Gender]]="M","Male", [1]!orders[[#This Row],[Customer Gender]]="F","Female", [1]!orders[[#This Row],[Customer Gender]]="O","Other", TRUE,"Unknown")</f>
        <v>Female</v>
      </c>
    </row>
    <row r="75" spans="1:15" x14ac:dyDescent="0.25">
      <c r="A75" t="s">
        <v>123</v>
      </c>
      <c r="B75" t="s">
        <v>1</v>
      </c>
      <c r="C75">
        <v>2</v>
      </c>
      <c r="D75">
        <v>17.899999999999999</v>
      </c>
      <c r="E75">
        <v>35.799999999999997</v>
      </c>
      <c r="F75" s="3">
        <v>45660</v>
      </c>
      <c r="G75" s="3">
        <v>45661</v>
      </c>
      <c r="H75" t="s">
        <v>12</v>
      </c>
      <c r="I75" t="s">
        <v>3</v>
      </c>
      <c r="J75">
        <v>5</v>
      </c>
      <c r="K75" t="s">
        <v>4</v>
      </c>
      <c r="L75" t="s">
        <v>57</v>
      </c>
      <c r="M75">
        <f>[1]!orders[[#This Row],[Ship Date]]-[1]!orders[[#This Row],[Order Date]]</f>
        <v>1</v>
      </c>
      <c r="N75">
        <f>WEEKNUM([1]!orders[[#This Row],[Order Date]])</f>
        <v>1</v>
      </c>
      <c r="O75" t="str" cm="1">
        <f t="array" ref="O75">_xlfn.IFS([1]!orders[[#This Row],[Customer Gender]]="M","Male", [1]!orders[[#This Row],[Customer Gender]]="F","Female", [1]!orders[[#This Row],[Customer Gender]]="O","Other", TRUE,"Unknown")</f>
        <v>Female</v>
      </c>
    </row>
    <row r="76" spans="1:15" x14ac:dyDescent="0.25">
      <c r="A76" s="1" t="s">
        <v>124</v>
      </c>
      <c r="B76" s="1" t="s">
        <v>31</v>
      </c>
      <c r="C76" s="1">
        <v>2</v>
      </c>
      <c r="D76" s="1">
        <v>48.4</v>
      </c>
      <c r="E76" s="1">
        <v>96.8</v>
      </c>
      <c r="F76" s="2">
        <v>45660</v>
      </c>
      <c r="G76" s="2">
        <v>45663</v>
      </c>
      <c r="H76" s="1" t="s">
        <v>8</v>
      </c>
      <c r="I76" s="1" t="s">
        <v>20</v>
      </c>
      <c r="J76" s="1">
        <v>4</v>
      </c>
      <c r="K76" s="1" t="s">
        <v>4</v>
      </c>
      <c r="L76" s="1" t="s">
        <v>57</v>
      </c>
      <c r="M76" s="1">
        <f>[1]!orders[[#This Row],[Ship Date]]-[1]!orders[[#This Row],[Order Date]]</f>
        <v>3</v>
      </c>
      <c r="N76" s="1">
        <f>WEEKNUM([1]!orders[[#This Row],[Order Date]])</f>
        <v>1</v>
      </c>
      <c r="O76" t="str" cm="1">
        <f t="array" ref="O76">_xlfn.IFS([1]!orders[[#This Row],[Customer Gender]]="M","Male", [1]!orders[[#This Row],[Customer Gender]]="F","Female", [1]!orders[[#This Row],[Customer Gender]]="O","Other", TRUE,"Unknown")</f>
        <v>Male</v>
      </c>
    </row>
    <row r="77" spans="1:15" x14ac:dyDescent="0.25">
      <c r="A77" t="s">
        <v>125</v>
      </c>
      <c r="B77" t="s">
        <v>54</v>
      </c>
      <c r="C77">
        <v>4</v>
      </c>
      <c r="D77">
        <v>44.4</v>
      </c>
      <c r="E77">
        <v>177.6</v>
      </c>
      <c r="F77" s="3">
        <v>45660</v>
      </c>
      <c r="G77" s="3">
        <v>45661</v>
      </c>
      <c r="H77" t="s">
        <v>74</v>
      </c>
      <c r="I77" t="s">
        <v>20</v>
      </c>
      <c r="J77">
        <v>3</v>
      </c>
      <c r="K77" t="s">
        <v>4</v>
      </c>
      <c r="L77" t="s">
        <v>62</v>
      </c>
      <c r="M77">
        <f>[1]!orders[[#This Row],[Ship Date]]-[1]!orders[[#This Row],[Order Date]]</f>
        <v>1</v>
      </c>
      <c r="N77">
        <f>WEEKNUM([1]!orders[[#This Row],[Order Date]])</f>
        <v>1</v>
      </c>
      <c r="O77" t="str" cm="1">
        <f t="array" ref="O77">_xlfn.IFS([1]!orders[[#This Row],[Customer Gender]]="M","Male", [1]!orders[[#This Row],[Customer Gender]]="F","Female", [1]!orders[[#This Row],[Customer Gender]]="O","Other", TRUE,"Unknown")</f>
        <v>Other</v>
      </c>
    </row>
    <row r="78" spans="1:15" x14ac:dyDescent="0.25">
      <c r="A78" s="1" t="s">
        <v>126</v>
      </c>
      <c r="B78" s="1" t="s">
        <v>11</v>
      </c>
      <c r="C78" s="1">
        <v>8</v>
      </c>
      <c r="D78" s="1">
        <v>103.7</v>
      </c>
      <c r="E78" s="1">
        <v>829.6</v>
      </c>
      <c r="F78" s="2">
        <v>45660</v>
      </c>
      <c r="G78" s="2">
        <v>45661</v>
      </c>
      <c r="H78" s="1" t="s">
        <v>12</v>
      </c>
      <c r="I78" s="1" t="s">
        <v>3</v>
      </c>
      <c r="J78" s="1">
        <v>3</v>
      </c>
      <c r="K78" s="1" t="s">
        <v>4</v>
      </c>
      <c r="L78" s="1" t="s">
        <v>95</v>
      </c>
      <c r="M78" s="1">
        <f>[1]!orders[[#This Row],[Ship Date]]-[1]!orders[[#This Row],[Order Date]]</f>
        <v>1</v>
      </c>
      <c r="N78" s="1">
        <f>WEEKNUM([1]!orders[[#This Row],[Order Date]])</f>
        <v>1</v>
      </c>
      <c r="O78" t="str" cm="1">
        <f t="array" ref="O78">_xlfn.IFS([1]!orders[[#This Row],[Customer Gender]]="M","Male", [1]!orders[[#This Row],[Customer Gender]]="F","Female", [1]!orders[[#This Row],[Customer Gender]]="O","Other", TRUE,"Unknown")</f>
        <v>Female</v>
      </c>
    </row>
    <row r="79" spans="1:15" x14ac:dyDescent="0.25">
      <c r="A79" t="s">
        <v>127</v>
      </c>
      <c r="B79" t="s">
        <v>22</v>
      </c>
      <c r="C79">
        <v>4</v>
      </c>
      <c r="D79">
        <v>58.6</v>
      </c>
      <c r="E79">
        <v>234.4</v>
      </c>
      <c r="F79" s="3">
        <v>45660</v>
      </c>
      <c r="G79" s="3">
        <v>45662</v>
      </c>
      <c r="H79" t="s">
        <v>8</v>
      </c>
      <c r="I79" t="s">
        <v>36</v>
      </c>
      <c r="J79">
        <v>4</v>
      </c>
      <c r="K79" t="s">
        <v>4</v>
      </c>
      <c r="L79" t="s">
        <v>95</v>
      </c>
      <c r="M79">
        <f>[1]!orders[[#This Row],[Ship Date]]-[1]!orders[[#This Row],[Order Date]]</f>
        <v>2</v>
      </c>
      <c r="N79">
        <f>WEEKNUM([1]!orders[[#This Row],[Order Date]])</f>
        <v>1</v>
      </c>
      <c r="O79" t="str" cm="1">
        <f t="array" ref="O79">_xlfn.IFS([1]!orders[[#This Row],[Customer Gender]]="M","Male", [1]!orders[[#This Row],[Customer Gender]]="F","Female", [1]!orders[[#This Row],[Customer Gender]]="O","Other", TRUE,"Unknown")</f>
        <v>Male</v>
      </c>
    </row>
    <row r="80" spans="1:15" x14ac:dyDescent="0.25">
      <c r="A80" s="1" t="s">
        <v>128</v>
      </c>
      <c r="B80" s="1" t="s">
        <v>31</v>
      </c>
      <c r="C80" s="1">
        <v>4</v>
      </c>
      <c r="D80" s="1">
        <v>54.8</v>
      </c>
      <c r="E80" s="1">
        <v>219.2</v>
      </c>
      <c r="F80" s="2">
        <v>45660</v>
      </c>
      <c r="G80" s="2">
        <v>45664</v>
      </c>
      <c r="H80" s="1" t="s">
        <v>12</v>
      </c>
      <c r="I80" s="1" t="s">
        <v>25</v>
      </c>
      <c r="J80" s="1">
        <v>3</v>
      </c>
      <c r="K80" s="1" t="s">
        <v>4</v>
      </c>
      <c r="L80" s="1" t="s">
        <v>67</v>
      </c>
      <c r="M80" s="1">
        <f>[1]!orders[[#This Row],[Ship Date]]-[1]!orders[[#This Row],[Order Date]]</f>
        <v>4</v>
      </c>
      <c r="N80" s="1">
        <f>WEEKNUM([1]!orders[[#This Row],[Order Date]])</f>
        <v>1</v>
      </c>
      <c r="O80" t="str" cm="1">
        <f t="array" ref="O80">_xlfn.IFS([1]!orders[[#This Row],[Customer Gender]]="M","Male", [1]!orders[[#This Row],[Customer Gender]]="F","Female", [1]!orders[[#This Row],[Customer Gender]]="O","Other", TRUE,"Unknown")</f>
        <v>Female</v>
      </c>
    </row>
    <row r="81" spans="1:15" x14ac:dyDescent="0.25">
      <c r="A81" t="s">
        <v>129</v>
      </c>
      <c r="B81" t="s">
        <v>54</v>
      </c>
      <c r="C81">
        <v>3</v>
      </c>
      <c r="D81">
        <v>78.8</v>
      </c>
      <c r="E81">
        <v>236.39999999999998</v>
      </c>
      <c r="F81" s="3">
        <v>45660</v>
      </c>
      <c r="G81" s="3">
        <v>45666</v>
      </c>
      <c r="H81" t="s">
        <v>12</v>
      </c>
      <c r="I81" t="s">
        <v>55</v>
      </c>
      <c r="J81">
        <v>3</v>
      </c>
      <c r="K81" t="s">
        <v>4</v>
      </c>
      <c r="L81" t="s">
        <v>100</v>
      </c>
      <c r="M81">
        <f>[1]!orders[[#This Row],[Ship Date]]-[1]!orders[[#This Row],[Order Date]]</f>
        <v>6</v>
      </c>
      <c r="N81">
        <f>WEEKNUM([1]!orders[[#This Row],[Order Date]])</f>
        <v>1</v>
      </c>
      <c r="O81" t="str" cm="1">
        <f t="array" ref="O81">_xlfn.IFS([1]!orders[[#This Row],[Customer Gender]]="M","Male", [1]!orders[[#This Row],[Customer Gender]]="F","Female", [1]!orders[[#This Row],[Customer Gender]]="O","Other", TRUE,"Unknown")</f>
        <v>Female</v>
      </c>
    </row>
    <row r="82" spans="1:15" x14ac:dyDescent="0.25">
      <c r="A82" s="1" t="s">
        <v>130</v>
      </c>
      <c r="B82" s="1" t="s">
        <v>131</v>
      </c>
      <c r="C82" s="1">
        <v>5</v>
      </c>
      <c r="D82" s="1">
        <v>36.799999999999997</v>
      </c>
      <c r="E82" s="1">
        <v>184</v>
      </c>
      <c r="F82" s="2">
        <v>45660</v>
      </c>
      <c r="G82" s="2">
        <v>45663</v>
      </c>
      <c r="H82" s="1" t="s">
        <v>8</v>
      </c>
      <c r="I82" s="1" t="s">
        <v>55</v>
      </c>
      <c r="J82" s="1">
        <v>3</v>
      </c>
      <c r="K82" s="1" t="s">
        <v>4</v>
      </c>
      <c r="L82" s="1" t="s">
        <v>132</v>
      </c>
      <c r="M82" s="1">
        <f>[1]!orders[[#This Row],[Ship Date]]-[1]!orders[[#This Row],[Order Date]]</f>
        <v>3</v>
      </c>
      <c r="N82" s="1">
        <f>WEEKNUM([1]!orders[[#This Row],[Order Date]])</f>
        <v>1</v>
      </c>
      <c r="O82" t="str" cm="1">
        <f t="array" ref="O82">_xlfn.IFS([1]!orders[[#This Row],[Customer Gender]]="M","Male", [1]!orders[[#This Row],[Customer Gender]]="F","Female", [1]!orders[[#This Row],[Customer Gender]]="O","Other", TRUE,"Unknown")</f>
        <v>Male</v>
      </c>
    </row>
    <row r="83" spans="1:15" x14ac:dyDescent="0.25">
      <c r="A83" t="s">
        <v>133</v>
      </c>
      <c r="B83" t="s">
        <v>24</v>
      </c>
      <c r="C83">
        <v>6</v>
      </c>
      <c r="D83">
        <v>50.6</v>
      </c>
      <c r="E83">
        <v>303.60000000000002</v>
      </c>
      <c r="F83" s="3">
        <v>45660</v>
      </c>
      <c r="G83" s="3">
        <v>45662</v>
      </c>
      <c r="H83" t="s">
        <v>12</v>
      </c>
      <c r="I83" t="s">
        <v>36</v>
      </c>
      <c r="J83">
        <v>4</v>
      </c>
      <c r="K83" t="s">
        <v>4</v>
      </c>
      <c r="L83" t="s">
        <v>18</v>
      </c>
      <c r="M83">
        <f>[1]!orders[[#This Row],[Ship Date]]-[1]!orders[[#This Row],[Order Date]]</f>
        <v>2</v>
      </c>
      <c r="N83">
        <f>WEEKNUM([1]!orders[[#This Row],[Order Date]])</f>
        <v>1</v>
      </c>
      <c r="O83" t="str" cm="1">
        <f t="array" ref="O83">_xlfn.IFS([1]!orders[[#This Row],[Customer Gender]]="M","Male", [1]!orders[[#This Row],[Customer Gender]]="F","Female", [1]!orders[[#This Row],[Customer Gender]]="O","Other", TRUE,"Unknown")</f>
        <v>Female</v>
      </c>
    </row>
    <row r="84" spans="1:15" x14ac:dyDescent="0.25">
      <c r="A84" s="1" t="s">
        <v>134</v>
      </c>
      <c r="B84" s="1" t="s">
        <v>108</v>
      </c>
      <c r="C84" s="1">
        <v>3</v>
      </c>
      <c r="D84" s="1">
        <v>36.799999999999997</v>
      </c>
      <c r="E84" s="1">
        <v>110.39999999999999</v>
      </c>
      <c r="F84" s="2">
        <v>45660</v>
      </c>
      <c r="G84" s="2">
        <v>45660</v>
      </c>
      <c r="H84" s="1" t="s">
        <v>8</v>
      </c>
      <c r="I84" s="1" t="s">
        <v>25</v>
      </c>
      <c r="J84" s="1">
        <v>3</v>
      </c>
      <c r="K84" s="1" t="s">
        <v>4</v>
      </c>
      <c r="L84" s="1" t="s">
        <v>18</v>
      </c>
      <c r="M84" s="1">
        <f>[1]!orders[[#This Row],[Ship Date]]-[1]!orders[[#This Row],[Order Date]]</f>
        <v>0</v>
      </c>
      <c r="N84" s="1">
        <f>WEEKNUM([1]!orders[[#This Row],[Order Date]])</f>
        <v>1</v>
      </c>
      <c r="O84" t="str" cm="1">
        <f t="array" ref="O84">_xlfn.IFS([1]!orders[[#This Row],[Customer Gender]]="M","Male", [1]!orders[[#This Row],[Customer Gender]]="F","Female", [1]!orders[[#This Row],[Customer Gender]]="O","Other", TRUE,"Unknown")</f>
        <v>Male</v>
      </c>
    </row>
    <row r="85" spans="1:15" x14ac:dyDescent="0.25">
      <c r="A85" t="s">
        <v>135</v>
      </c>
      <c r="B85" t="s">
        <v>29</v>
      </c>
      <c r="C85">
        <v>9</v>
      </c>
      <c r="D85">
        <v>41.8</v>
      </c>
      <c r="E85">
        <v>376.2</v>
      </c>
      <c r="F85" s="3">
        <v>45661</v>
      </c>
      <c r="G85" s="3">
        <v>45667</v>
      </c>
      <c r="H85" t="s">
        <v>12</v>
      </c>
      <c r="I85" t="s">
        <v>36</v>
      </c>
      <c r="J85">
        <v>4</v>
      </c>
      <c r="K85" t="s">
        <v>4</v>
      </c>
      <c r="L85" t="s">
        <v>18</v>
      </c>
      <c r="M85">
        <f>[1]!orders[[#This Row],[Ship Date]]-[1]!orders[[#This Row],[Order Date]]</f>
        <v>6</v>
      </c>
      <c r="N85">
        <f>WEEKNUM([1]!orders[[#This Row],[Order Date]])</f>
        <v>1</v>
      </c>
      <c r="O85" t="str" cm="1">
        <f t="array" ref="O85">_xlfn.IFS([1]!orders[[#This Row],[Customer Gender]]="M","Male", [1]!orders[[#This Row],[Customer Gender]]="F","Female", [1]!orders[[#This Row],[Customer Gender]]="O","Other", TRUE,"Unknown")</f>
        <v>Female</v>
      </c>
    </row>
    <row r="86" spans="1:15" x14ac:dyDescent="0.25">
      <c r="A86" s="1" t="s">
        <v>136</v>
      </c>
      <c r="B86" s="1" t="s">
        <v>131</v>
      </c>
      <c r="C86" s="1">
        <v>1</v>
      </c>
      <c r="D86" s="1">
        <v>77.3</v>
      </c>
      <c r="E86" s="1">
        <v>77.3</v>
      </c>
      <c r="F86" s="2">
        <v>45661</v>
      </c>
      <c r="G86" s="2">
        <v>45662</v>
      </c>
      <c r="H86" s="1" t="s">
        <v>8</v>
      </c>
      <c r="I86" s="1" t="s">
        <v>55</v>
      </c>
      <c r="J86" s="1">
        <v>2</v>
      </c>
      <c r="K86" s="1" t="s">
        <v>4</v>
      </c>
      <c r="L86" s="1" t="s">
        <v>18</v>
      </c>
      <c r="M86" s="1">
        <f>[1]!orders[[#This Row],[Ship Date]]-[1]!orders[[#This Row],[Order Date]]</f>
        <v>1</v>
      </c>
      <c r="N86" s="1">
        <f>WEEKNUM([1]!orders[[#This Row],[Order Date]])</f>
        <v>1</v>
      </c>
      <c r="O86" t="str" cm="1">
        <f t="array" ref="O86">_xlfn.IFS([1]!orders[[#This Row],[Customer Gender]]="M","Male", [1]!orders[[#This Row],[Customer Gender]]="F","Female", [1]!orders[[#This Row],[Customer Gender]]="O","Other", TRUE,"Unknown")</f>
        <v>Male</v>
      </c>
    </row>
    <row r="87" spans="1:15" x14ac:dyDescent="0.25">
      <c r="A87" t="s">
        <v>137</v>
      </c>
      <c r="B87" t="s">
        <v>29</v>
      </c>
      <c r="C87">
        <v>4</v>
      </c>
      <c r="D87">
        <v>19.8</v>
      </c>
      <c r="E87">
        <v>79.2</v>
      </c>
      <c r="F87" s="3">
        <v>45661</v>
      </c>
      <c r="G87" s="3">
        <v>45667</v>
      </c>
      <c r="H87" t="s">
        <v>8</v>
      </c>
      <c r="I87" t="s">
        <v>20</v>
      </c>
      <c r="J87">
        <v>5</v>
      </c>
      <c r="K87" t="s">
        <v>4</v>
      </c>
      <c r="L87" t="s">
        <v>18</v>
      </c>
      <c r="M87">
        <f>[1]!orders[[#This Row],[Ship Date]]-[1]!orders[[#This Row],[Order Date]]</f>
        <v>6</v>
      </c>
      <c r="N87">
        <f>WEEKNUM([1]!orders[[#This Row],[Order Date]])</f>
        <v>1</v>
      </c>
      <c r="O87" t="str" cm="1">
        <f t="array" ref="O87">_xlfn.IFS([1]!orders[[#This Row],[Customer Gender]]="M","Male", [1]!orders[[#This Row],[Customer Gender]]="F","Female", [1]!orders[[#This Row],[Customer Gender]]="O","Other", TRUE,"Unknown")</f>
        <v>Male</v>
      </c>
    </row>
    <row r="88" spans="1:15" x14ac:dyDescent="0.25">
      <c r="A88" s="1" t="s">
        <v>138</v>
      </c>
      <c r="B88" s="1" t="s">
        <v>61</v>
      </c>
      <c r="C88" s="1">
        <v>4</v>
      </c>
      <c r="D88" s="1">
        <v>15.5</v>
      </c>
      <c r="E88" s="1">
        <v>62</v>
      </c>
      <c r="F88" s="2">
        <v>45661</v>
      </c>
      <c r="G88" s="2">
        <v>45662</v>
      </c>
      <c r="H88" s="1" t="s">
        <v>12</v>
      </c>
      <c r="I88" s="1" t="s">
        <v>20</v>
      </c>
      <c r="J88" s="1">
        <v>5</v>
      </c>
      <c r="K88" s="1" t="s">
        <v>4</v>
      </c>
      <c r="L88" s="1" t="s">
        <v>18</v>
      </c>
      <c r="M88" s="1">
        <f>[1]!orders[[#This Row],[Ship Date]]-[1]!orders[[#This Row],[Order Date]]</f>
        <v>1</v>
      </c>
      <c r="N88" s="1">
        <f>WEEKNUM([1]!orders[[#This Row],[Order Date]])</f>
        <v>1</v>
      </c>
      <c r="O88" t="str" cm="1">
        <f t="array" ref="O88">_xlfn.IFS([1]!orders[[#This Row],[Customer Gender]]="M","Male", [1]!orders[[#This Row],[Customer Gender]]="F","Female", [1]!orders[[#This Row],[Customer Gender]]="O","Other", TRUE,"Unknown")</f>
        <v>Female</v>
      </c>
    </row>
    <row r="89" spans="1:15" x14ac:dyDescent="0.25">
      <c r="A89" t="s">
        <v>139</v>
      </c>
      <c r="B89" t="s">
        <v>54</v>
      </c>
      <c r="C89">
        <v>1</v>
      </c>
      <c r="D89">
        <v>46.8</v>
      </c>
      <c r="E89">
        <v>46.8</v>
      </c>
      <c r="F89" s="3">
        <v>45661</v>
      </c>
      <c r="G89" s="3">
        <v>45665</v>
      </c>
      <c r="H89" t="s">
        <v>8</v>
      </c>
      <c r="I89" t="s">
        <v>3</v>
      </c>
      <c r="J89">
        <v>5</v>
      </c>
      <c r="K89" t="s">
        <v>4</v>
      </c>
      <c r="L89" t="s">
        <v>18</v>
      </c>
      <c r="M89">
        <f>[1]!orders[[#This Row],[Ship Date]]-[1]!orders[[#This Row],[Order Date]]</f>
        <v>4</v>
      </c>
      <c r="N89">
        <f>WEEKNUM([1]!orders[[#This Row],[Order Date]])</f>
        <v>1</v>
      </c>
      <c r="O89" t="str" cm="1">
        <f t="array" ref="O89">_xlfn.IFS([1]!orders[[#This Row],[Customer Gender]]="M","Male", [1]!orders[[#This Row],[Customer Gender]]="F","Female", [1]!orders[[#This Row],[Customer Gender]]="O","Other", TRUE,"Unknown")</f>
        <v>Male</v>
      </c>
    </row>
    <row r="90" spans="1:15" x14ac:dyDescent="0.25">
      <c r="A90" s="1" t="s">
        <v>140</v>
      </c>
      <c r="B90" s="1" t="s">
        <v>31</v>
      </c>
      <c r="C90" s="1">
        <v>9</v>
      </c>
      <c r="D90" s="1">
        <v>28.6</v>
      </c>
      <c r="E90" s="1">
        <v>257.40000000000003</v>
      </c>
      <c r="F90" s="2">
        <v>45661</v>
      </c>
      <c r="G90" s="2">
        <v>45665</v>
      </c>
      <c r="H90" s="1" t="s">
        <v>8</v>
      </c>
      <c r="I90" s="1" t="s">
        <v>3</v>
      </c>
      <c r="J90" s="1">
        <v>5</v>
      </c>
      <c r="K90" s="1" t="s">
        <v>4</v>
      </c>
      <c r="L90" s="1" t="s">
        <v>18</v>
      </c>
      <c r="M90" s="1">
        <f>[1]!orders[[#This Row],[Ship Date]]-[1]!orders[[#This Row],[Order Date]]</f>
        <v>4</v>
      </c>
      <c r="N90" s="1">
        <f>WEEKNUM([1]!orders[[#This Row],[Order Date]])</f>
        <v>1</v>
      </c>
      <c r="O90" t="str" cm="1">
        <f t="array" ref="O90">_xlfn.IFS([1]!orders[[#This Row],[Customer Gender]]="M","Male", [1]!orders[[#This Row],[Customer Gender]]="F","Female", [1]!orders[[#This Row],[Customer Gender]]="O","Other", TRUE,"Unknown")</f>
        <v>Male</v>
      </c>
    </row>
    <row r="91" spans="1:15" x14ac:dyDescent="0.25">
      <c r="A91" t="s">
        <v>141</v>
      </c>
      <c r="B91" t="s">
        <v>11</v>
      </c>
      <c r="C91">
        <v>1</v>
      </c>
      <c r="D91">
        <v>97.7</v>
      </c>
      <c r="E91">
        <v>97.7</v>
      </c>
      <c r="F91" s="3">
        <v>45661</v>
      </c>
      <c r="G91" s="3">
        <v>45664</v>
      </c>
      <c r="H91" t="s">
        <v>12</v>
      </c>
      <c r="I91" t="s">
        <v>20</v>
      </c>
      <c r="J91">
        <v>4</v>
      </c>
      <c r="K91" t="s">
        <v>4</v>
      </c>
      <c r="L91" t="s">
        <v>18</v>
      </c>
      <c r="M91">
        <f>[1]!orders[[#This Row],[Ship Date]]-[1]!orders[[#This Row],[Order Date]]</f>
        <v>3</v>
      </c>
      <c r="N91">
        <f>WEEKNUM([1]!orders[[#This Row],[Order Date]])</f>
        <v>1</v>
      </c>
      <c r="O91" t="str" cm="1">
        <f t="array" ref="O91">_xlfn.IFS([1]!orders[[#This Row],[Customer Gender]]="M","Male", [1]!orders[[#This Row],[Customer Gender]]="F","Female", [1]!orders[[#This Row],[Customer Gender]]="O","Other", TRUE,"Unknown")</f>
        <v>Female</v>
      </c>
    </row>
    <row r="92" spans="1:15" x14ac:dyDescent="0.25">
      <c r="A92" s="1" t="s">
        <v>142</v>
      </c>
      <c r="B92" s="1" t="s">
        <v>31</v>
      </c>
      <c r="C92" s="1">
        <v>5</v>
      </c>
      <c r="D92" s="1">
        <v>54.7</v>
      </c>
      <c r="E92" s="1">
        <v>273.5</v>
      </c>
      <c r="F92" s="2">
        <v>45661</v>
      </c>
      <c r="G92" s="2">
        <v>45664</v>
      </c>
      <c r="H92" s="1" t="s">
        <v>2</v>
      </c>
      <c r="I92" s="1" t="s">
        <v>3</v>
      </c>
      <c r="J92" s="1">
        <v>5</v>
      </c>
      <c r="K92" s="1" t="s">
        <v>4</v>
      </c>
      <c r="L92" s="1" t="s">
        <v>143</v>
      </c>
      <c r="M92" s="1">
        <f>[1]!orders[[#This Row],[Ship Date]]-[1]!orders[[#This Row],[Order Date]]</f>
        <v>3</v>
      </c>
      <c r="N92" s="1">
        <f>WEEKNUM([1]!orders[[#This Row],[Order Date]])</f>
        <v>1</v>
      </c>
      <c r="O92" t="str" cm="1">
        <f t="array" ref="O92">_xlfn.IFS([1]!orders[[#This Row],[Customer Gender]]="M","Male", [1]!orders[[#This Row],[Customer Gender]]="F","Female", [1]!orders[[#This Row],[Customer Gender]]="O","Other", TRUE,"Unknown")</f>
        <v>Unknown</v>
      </c>
    </row>
    <row r="93" spans="1:15" x14ac:dyDescent="0.25">
      <c r="A93" t="s">
        <v>144</v>
      </c>
      <c r="B93" t="s">
        <v>11</v>
      </c>
      <c r="C93">
        <v>6</v>
      </c>
      <c r="D93">
        <v>130.5</v>
      </c>
      <c r="E93">
        <v>783</v>
      </c>
      <c r="F93" s="3">
        <v>45661</v>
      </c>
      <c r="G93" s="3">
        <v>45663</v>
      </c>
      <c r="H93" t="s">
        <v>12</v>
      </c>
      <c r="I93" t="s">
        <v>3</v>
      </c>
      <c r="J93">
        <v>3</v>
      </c>
      <c r="K93" t="s">
        <v>4</v>
      </c>
      <c r="L93" t="s">
        <v>143</v>
      </c>
      <c r="M93">
        <f>[1]!orders[[#This Row],[Ship Date]]-[1]!orders[[#This Row],[Order Date]]</f>
        <v>2</v>
      </c>
      <c r="N93">
        <f>WEEKNUM([1]!orders[[#This Row],[Order Date]])</f>
        <v>1</v>
      </c>
      <c r="O93" t="str" cm="1">
        <f t="array" ref="O93">_xlfn.IFS([1]!orders[[#This Row],[Customer Gender]]="M","Male", [1]!orders[[#This Row],[Customer Gender]]="F","Female", [1]!orders[[#This Row],[Customer Gender]]="O","Other", TRUE,"Unknown")</f>
        <v>Female</v>
      </c>
    </row>
    <row r="94" spans="1:15" x14ac:dyDescent="0.25">
      <c r="A94" s="1" t="s">
        <v>145</v>
      </c>
      <c r="B94" s="1" t="s">
        <v>52</v>
      </c>
      <c r="C94" s="1">
        <v>2</v>
      </c>
      <c r="D94" s="1">
        <v>50.4</v>
      </c>
      <c r="E94" s="1">
        <v>100.8</v>
      </c>
      <c r="F94" s="2">
        <v>45661</v>
      </c>
      <c r="G94" s="2">
        <v>45663</v>
      </c>
      <c r="H94" s="1" t="s">
        <v>8</v>
      </c>
      <c r="I94" s="1" t="s">
        <v>25</v>
      </c>
      <c r="J94" s="1">
        <v>5</v>
      </c>
      <c r="K94" s="1" t="s">
        <v>4</v>
      </c>
      <c r="L94" s="1" t="s">
        <v>40</v>
      </c>
      <c r="M94" s="1">
        <f>[1]!orders[[#This Row],[Ship Date]]-[1]!orders[[#This Row],[Order Date]]</f>
        <v>2</v>
      </c>
      <c r="N94" s="1">
        <f>WEEKNUM([1]!orders[[#This Row],[Order Date]])</f>
        <v>1</v>
      </c>
      <c r="O94" t="str" cm="1">
        <f t="array" ref="O94">_xlfn.IFS([1]!orders[[#This Row],[Customer Gender]]="M","Male", [1]!orders[[#This Row],[Customer Gender]]="F","Female", [1]!orders[[#This Row],[Customer Gender]]="O","Other", TRUE,"Unknown")</f>
        <v>Male</v>
      </c>
    </row>
    <row r="95" spans="1:15" x14ac:dyDescent="0.25">
      <c r="A95" t="s">
        <v>146</v>
      </c>
      <c r="B95" t="s">
        <v>24</v>
      </c>
      <c r="C95">
        <v>13</v>
      </c>
      <c r="D95">
        <v>61.5</v>
      </c>
      <c r="E95">
        <v>799.5</v>
      </c>
      <c r="F95" s="3">
        <v>45661</v>
      </c>
      <c r="G95" s="3">
        <v>45662</v>
      </c>
      <c r="H95" t="s">
        <v>2</v>
      </c>
      <c r="I95" t="s">
        <v>36</v>
      </c>
      <c r="J95">
        <v>3</v>
      </c>
      <c r="K95" t="s">
        <v>4</v>
      </c>
      <c r="L95" t="s">
        <v>62</v>
      </c>
      <c r="M95">
        <f>[1]!orders[[#This Row],[Ship Date]]-[1]!orders[[#This Row],[Order Date]]</f>
        <v>1</v>
      </c>
      <c r="N95">
        <f>WEEKNUM([1]!orders[[#This Row],[Order Date]])</f>
        <v>1</v>
      </c>
      <c r="O95" t="str" cm="1">
        <f t="array" ref="O95">_xlfn.IFS([1]!orders[[#This Row],[Customer Gender]]="M","Male", [1]!orders[[#This Row],[Customer Gender]]="F","Female", [1]!orders[[#This Row],[Customer Gender]]="O","Other", TRUE,"Unknown")</f>
        <v>Unknown</v>
      </c>
    </row>
    <row r="96" spans="1:15" x14ac:dyDescent="0.25">
      <c r="A96" s="1" t="s">
        <v>147</v>
      </c>
      <c r="B96" s="1" t="s">
        <v>31</v>
      </c>
      <c r="C96" s="1">
        <v>4</v>
      </c>
      <c r="D96" s="1">
        <v>30.1</v>
      </c>
      <c r="E96" s="1">
        <v>120.4</v>
      </c>
      <c r="F96" s="2">
        <v>45661</v>
      </c>
      <c r="G96" s="2">
        <v>45662</v>
      </c>
      <c r="H96" s="1" t="s">
        <v>12</v>
      </c>
      <c r="I96" s="1" t="s">
        <v>3</v>
      </c>
      <c r="J96" s="1">
        <v>5</v>
      </c>
      <c r="K96" s="1" t="s">
        <v>4</v>
      </c>
      <c r="L96" s="1" t="s">
        <v>100</v>
      </c>
      <c r="M96" s="1">
        <f>[1]!orders[[#This Row],[Ship Date]]-[1]!orders[[#This Row],[Order Date]]</f>
        <v>1</v>
      </c>
      <c r="N96" s="1">
        <f>WEEKNUM([1]!orders[[#This Row],[Order Date]])</f>
        <v>1</v>
      </c>
      <c r="O96" t="str" cm="1">
        <f t="array" ref="O96">_xlfn.IFS([1]!orders[[#This Row],[Customer Gender]]="M","Male", [1]!orders[[#This Row],[Customer Gender]]="F","Female", [1]!orders[[#This Row],[Customer Gender]]="O","Other", TRUE,"Unknown")</f>
        <v>Female</v>
      </c>
    </row>
    <row r="97" spans="1:15" x14ac:dyDescent="0.25">
      <c r="A97" t="s">
        <v>148</v>
      </c>
      <c r="B97" t="s">
        <v>11</v>
      </c>
      <c r="C97">
        <v>5</v>
      </c>
      <c r="D97">
        <v>74.8</v>
      </c>
      <c r="E97">
        <v>374</v>
      </c>
      <c r="F97" s="3">
        <v>45661</v>
      </c>
      <c r="G97" s="3">
        <v>45662</v>
      </c>
      <c r="H97" t="s">
        <v>12</v>
      </c>
      <c r="I97" t="s">
        <v>20</v>
      </c>
      <c r="J97">
        <v>4</v>
      </c>
      <c r="K97" t="s">
        <v>4</v>
      </c>
      <c r="L97" t="s">
        <v>9</v>
      </c>
      <c r="M97">
        <f>[1]!orders[[#This Row],[Ship Date]]-[1]!orders[[#This Row],[Order Date]]</f>
        <v>1</v>
      </c>
      <c r="N97">
        <f>WEEKNUM([1]!orders[[#This Row],[Order Date]])</f>
        <v>1</v>
      </c>
      <c r="O97" t="str" cm="1">
        <f t="array" ref="O97">_xlfn.IFS([1]!orders[[#This Row],[Customer Gender]]="M","Male", [1]!orders[[#This Row],[Customer Gender]]="F","Female", [1]!orders[[#This Row],[Customer Gender]]="O","Other", TRUE,"Unknown")</f>
        <v>Female</v>
      </c>
    </row>
    <row r="98" spans="1:15" x14ac:dyDescent="0.25">
      <c r="A98" s="1" t="s">
        <v>149</v>
      </c>
      <c r="B98" s="1" t="s">
        <v>113</v>
      </c>
      <c r="C98" s="1">
        <v>3</v>
      </c>
      <c r="D98" s="1">
        <v>64.900000000000006</v>
      </c>
      <c r="E98" s="1">
        <v>194.70000000000002</v>
      </c>
      <c r="F98" s="2">
        <v>45661</v>
      </c>
      <c r="G98" s="2">
        <v>45668</v>
      </c>
      <c r="H98" s="1" t="s">
        <v>8</v>
      </c>
      <c r="I98" s="1" t="s">
        <v>3</v>
      </c>
      <c r="J98" s="1">
        <v>4</v>
      </c>
      <c r="K98" s="1" t="s">
        <v>4</v>
      </c>
      <c r="L98" s="1" t="s">
        <v>13</v>
      </c>
      <c r="M98" s="1">
        <f>[1]!orders[[#This Row],[Ship Date]]-[1]!orders[[#This Row],[Order Date]]</f>
        <v>7</v>
      </c>
      <c r="N98" s="1">
        <f>WEEKNUM([1]!orders[[#This Row],[Order Date]])</f>
        <v>1</v>
      </c>
      <c r="O98" t="str" cm="1">
        <f t="array" ref="O98">_xlfn.IFS([1]!orders[[#This Row],[Customer Gender]]="M","Male", [1]!orders[[#This Row],[Customer Gender]]="F","Female", [1]!orders[[#This Row],[Customer Gender]]="O","Other", TRUE,"Unknown")</f>
        <v>Male</v>
      </c>
    </row>
    <row r="99" spans="1:15" x14ac:dyDescent="0.25">
      <c r="A99" t="s">
        <v>150</v>
      </c>
      <c r="B99" t="s">
        <v>31</v>
      </c>
      <c r="C99">
        <v>2</v>
      </c>
      <c r="D99">
        <v>50.5</v>
      </c>
      <c r="E99">
        <v>101</v>
      </c>
      <c r="F99" s="3">
        <v>45661</v>
      </c>
      <c r="G99" s="3">
        <v>45663</v>
      </c>
      <c r="H99" t="s">
        <v>8</v>
      </c>
      <c r="I99" t="s">
        <v>20</v>
      </c>
      <c r="J99">
        <v>4</v>
      </c>
      <c r="K99" t="s">
        <v>4</v>
      </c>
      <c r="L99" t="s">
        <v>132</v>
      </c>
      <c r="M99">
        <f>[1]!orders[[#This Row],[Ship Date]]-[1]!orders[[#This Row],[Order Date]]</f>
        <v>2</v>
      </c>
      <c r="N99">
        <f>WEEKNUM([1]!orders[[#This Row],[Order Date]])</f>
        <v>1</v>
      </c>
      <c r="O99" t="str" cm="1">
        <f t="array" ref="O99">_xlfn.IFS([1]!orders[[#This Row],[Customer Gender]]="M","Male", [1]!orders[[#This Row],[Customer Gender]]="F","Female", [1]!orders[[#This Row],[Customer Gender]]="O","Other", TRUE,"Unknown")</f>
        <v>Male</v>
      </c>
    </row>
    <row r="100" spans="1:15" x14ac:dyDescent="0.25">
      <c r="A100" s="1" t="s">
        <v>151</v>
      </c>
      <c r="B100" s="1" t="s">
        <v>52</v>
      </c>
      <c r="C100" s="1">
        <v>7</v>
      </c>
      <c r="D100" s="1">
        <v>63</v>
      </c>
      <c r="E100" s="1">
        <v>441</v>
      </c>
      <c r="F100" s="2">
        <v>45661</v>
      </c>
      <c r="G100" s="2">
        <v>45664</v>
      </c>
      <c r="H100" s="1" t="s">
        <v>8</v>
      </c>
      <c r="I100" s="1" t="s">
        <v>36</v>
      </c>
      <c r="J100" s="1">
        <v>5</v>
      </c>
      <c r="K100" s="1" t="s">
        <v>4</v>
      </c>
      <c r="L100" s="1" t="s">
        <v>18</v>
      </c>
      <c r="M100" s="1">
        <f>[1]!orders[[#This Row],[Ship Date]]-[1]!orders[[#This Row],[Order Date]]</f>
        <v>3</v>
      </c>
      <c r="N100" s="1">
        <f>WEEKNUM([1]!orders[[#This Row],[Order Date]])</f>
        <v>1</v>
      </c>
      <c r="O100" t="str" cm="1">
        <f t="array" ref="O100">_xlfn.IFS([1]!orders[[#This Row],[Customer Gender]]="M","Male", [1]!orders[[#This Row],[Customer Gender]]="F","Female", [1]!orders[[#This Row],[Customer Gender]]="O","Other", TRUE,"Unknown")</f>
        <v>Male</v>
      </c>
    </row>
    <row r="101" spans="1:15" x14ac:dyDescent="0.25">
      <c r="A101" t="s">
        <v>152</v>
      </c>
      <c r="B101" t="s">
        <v>11</v>
      </c>
      <c r="C101">
        <v>3</v>
      </c>
      <c r="D101">
        <v>93.6</v>
      </c>
      <c r="E101">
        <v>280.79999999999995</v>
      </c>
      <c r="F101" s="3">
        <v>45661</v>
      </c>
      <c r="G101" s="3">
        <v>45674</v>
      </c>
      <c r="H101" t="s">
        <v>12</v>
      </c>
      <c r="I101" t="s">
        <v>3</v>
      </c>
      <c r="J101">
        <v>5</v>
      </c>
      <c r="K101" t="s">
        <v>4</v>
      </c>
      <c r="L101" t="s">
        <v>18</v>
      </c>
      <c r="M101">
        <f>[1]!orders[[#This Row],[Ship Date]]-[1]!orders[[#This Row],[Order Date]]</f>
        <v>13</v>
      </c>
      <c r="N101">
        <f>WEEKNUM([1]!orders[[#This Row],[Order Date]])</f>
        <v>1</v>
      </c>
      <c r="O101" t="str" cm="1">
        <f t="array" ref="O101">_xlfn.IFS([1]!orders[[#This Row],[Customer Gender]]="M","Male", [1]!orders[[#This Row],[Customer Gender]]="F","Female", [1]!orders[[#This Row],[Customer Gender]]="O","Other", TRUE,"Unknown")</f>
        <v>Female</v>
      </c>
    </row>
    <row r="102" spans="1:15" x14ac:dyDescent="0.25">
      <c r="A102" s="1" t="s">
        <v>153</v>
      </c>
      <c r="B102" s="1" t="s">
        <v>22</v>
      </c>
      <c r="C102" s="1">
        <v>30</v>
      </c>
      <c r="D102" s="1">
        <v>41.4</v>
      </c>
      <c r="E102" s="1">
        <v>1242</v>
      </c>
      <c r="F102" s="2">
        <v>45661</v>
      </c>
      <c r="G102" s="2">
        <v>45665</v>
      </c>
      <c r="H102" s="1" t="s">
        <v>8</v>
      </c>
      <c r="I102" s="1" t="s">
        <v>25</v>
      </c>
      <c r="J102" s="1">
        <v>5</v>
      </c>
      <c r="K102" s="1" t="s">
        <v>4</v>
      </c>
      <c r="L102" s="1" t="s">
        <v>18</v>
      </c>
      <c r="M102" s="1">
        <f>[1]!orders[[#This Row],[Ship Date]]-[1]!orders[[#This Row],[Order Date]]</f>
        <v>4</v>
      </c>
      <c r="N102" s="1">
        <f>WEEKNUM([1]!orders[[#This Row],[Order Date]])</f>
        <v>1</v>
      </c>
      <c r="O102" t="str" cm="1">
        <f t="array" ref="O102">_xlfn.IFS([1]!orders[[#This Row],[Customer Gender]]="M","Male", [1]!orders[[#This Row],[Customer Gender]]="F","Female", [1]!orders[[#This Row],[Customer Gender]]="O","Other", TRUE,"Unknown")</f>
        <v>Male</v>
      </c>
    </row>
    <row r="103" spans="1:15" x14ac:dyDescent="0.25">
      <c r="A103" t="s">
        <v>154</v>
      </c>
      <c r="B103" t="s">
        <v>11</v>
      </c>
      <c r="C103">
        <v>2</v>
      </c>
      <c r="D103">
        <v>160</v>
      </c>
      <c r="E103">
        <v>320</v>
      </c>
      <c r="F103" s="3">
        <v>45662</v>
      </c>
      <c r="G103" s="3">
        <v>45663</v>
      </c>
      <c r="H103" t="s">
        <v>8</v>
      </c>
      <c r="I103" t="s">
        <v>25</v>
      </c>
      <c r="J103">
        <v>5</v>
      </c>
      <c r="K103" t="s">
        <v>4</v>
      </c>
      <c r="L103" t="s">
        <v>37</v>
      </c>
      <c r="M103">
        <f>[1]!orders[[#This Row],[Ship Date]]-[1]!orders[[#This Row],[Order Date]]</f>
        <v>1</v>
      </c>
      <c r="N103">
        <f>WEEKNUM([1]!orders[[#This Row],[Order Date]])</f>
        <v>2</v>
      </c>
      <c r="O103" t="str" cm="1">
        <f t="array" ref="O103">_xlfn.IFS([1]!orders[[#This Row],[Customer Gender]]="M","Male", [1]!orders[[#This Row],[Customer Gender]]="F","Female", [1]!orders[[#This Row],[Customer Gender]]="O","Other", TRUE,"Unknown")</f>
        <v>Male</v>
      </c>
    </row>
    <row r="104" spans="1:15" x14ac:dyDescent="0.25">
      <c r="A104" s="1" t="s">
        <v>155</v>
      </c>
      <c r="B104" s="1" t="s">
        <v>156</v>
      </c>
      <c r="C104" s="1">
        <v>11</v>
      </c>
      <c r="D104" s="1">
        <v>10.5</v>
      </c>
      <c r="E104" s="1">
        <v>115.5</v>
      </c>
      <c r="F104" s="2">
        <v>45662</v>
      </c>
      <c r="G104" s="2">
        <v>45665</v>
      </c>
      <c r="H104" s="1" t="s">
        <v>12</v>
      </c>
      <c r="I104" s="1" t="s">
        <v>55</v>
      </c>
      <c r="J104" s="1">
        <v>4</v>
      </c>
      <c r="K104" s="1" t="s">
        <v>4</v>
      </c>
      <c r="L104" s="1" t="s">
        <v>47</v>
      </c>
      <c r="M104" s="1">
        <f>[1]!orders[[#This Row],[Ship Date]]-[1]!orders[[#This Row],[Order Date]]</f>
        <v>3</v>
      </c>
      <c r="N104" s="1">
        <f>WEEKNUM([1]!orders[[#This Row],[Order Date]])</f>
        <v>2</v>
      </c>
      <c r="O104" t="str" cm="1">
        <f t="array" ref="O104">_xlfn.IFS([1]!orders[[#This Row],[Customer Gender]]="M","Male", [1]!orders[[#This Row],[Customer Gender]]="F","Female", [1]!orders[[#This Row],[Customer Gender]]="O","Other", TRUE,"Unknown")</f>
        <v>Female</v>
      </c>
    </row>
    <row r="105" spans="1:15" x14ac:dyDescent="0.25">
      <c r="A105" t="s">
        <v>157</v>
      </c>
      <c r="B105" t="s">
        <v>39</v>
      </c>
      <c r="C105">
        <v>2</v>
      </c>
      <c r="D105">
        <v>53</v>
      </c>
      <c r="E105">
        <v>106</v>
      </c>
      <c r="F105" s="3">
        <v>45662</v>
      </c>
      <c r="G105" s="3">
        <v>45662</v>
      </c>
      <c r="H105" t="s">
        <v>8</v>
      </c>
      <c r="I105" t="s">
        <v>25</v>
      </c>
      <c r="J105">
        <v>2</v>
      </c>
      <c r="K105" t="s">
        <v>4</v>
      </c>
      <c r="L105" t="s">
        <v>88</v>
      </c>
      <c r="M105">
        <f>[1]!orders[[#This Row],[Ship Date]]-[1]!orders[[#This Row],[Order Date]]</f>
        <v>0</v>
      </c>
      <c r="N105">
        <f>WEEKNUM([1]!orders[[#This Row],[Order Date]])</f>
        <v>2</v>
      </c>
      <c r="O105" t="str" cm="1">
        <f t="array" ref="O105">_xlfn.IFS([1]!orders[[#This Row],[Customer Gender]]="M","Male", [1]!orders[[#This Row],[Customer Gender]]="F","Female", [1]!orders[[#This Row],[Customer Gender]]="O","Other", TRUE,"Unknown")</f>
        <v>Male</v>
      </c>
    </row>
    <row r="106" spans="1:15" x14ac:dyDescent="0.25">
      <c r="A106" s="1" t="s">
        <v>158</v>
      </c>
      <c r="B106" s="1" t="s">
        <v>29</v>
      </c>
      <c r="C106" s="1">
        <v>3</v>
      </c>
      <c r="D106" s="1">
        <v>18.5</v>
      </c>
      <c r="E106" s="1">
        <v>55.5</v>
      </c>
      <c r="F106" s="2">
        <v>45662</v>
      </c>
      <c r="G106" s="2">
        <v>45667</v>
      </c>
      <c r="H106" s="1" t="s">
        <v>12</v>
      </c>
      <c r="I106" s="1" t="s">
        <v>20</v>
      </c>
      <c r="J106" s="1">
        <v>5</v>
      </c>
      <c r="K106" s="1" t="s">
        <v>4</v>
      </c>
      <c r="L106" s="1" t="s">
        <v>62</v>
      </c>
      <c r="M106" s="1">
        <f>[1]!orders[[#This Row],[Ship Date]]-[1]!orders[[#This Row],[Order Date]]</f>
        <v>5</v>
      </c>
      <c r="N106" s="1">
        <f>WEEKNUM([1]!orders[[#This Row],[Order Date]])</f>
        <v>2</v>
      </c>
      <c r="O106" t="str" cm="1">
        <f t="array" ref="O106">_xlfn.IFS([1]!orders[[#This Row],[Customer Gender]]="M","Male", [1]!orders[[#This Row],[Customer Gender]]="F","Female", [1]!orders[[#This Row],[Customer Gender]]="O","Other", TRUE,"Unknown")</f>
        <v>Female</v>
      </c>
    </row>
    <row r="107" spans="1:15" x14ac:dyDescent="0.25">
      <c r="A107" t="s">
        <v>159</v>
      </c>
      <c r="B107" t="s">
        <v>113</v>
      </c>
      <c r="C107">
        <v>3</v>
      </c>
      <c r="D107">
        <v>84.5</v>
      </c>
      <c r="E107">
        <v>253.5</v>
      </c>
      <c r="F107" s="3">
        <v>45662</v>
      </c>
      <c r="G107" s="3">
        <v>45664</v>
      </c>
      <c r="H107" t="s">
        <v>12</v>
      </c>
      <c r="I107" t="s">
        <v>55</v>
      </c>
      <c r="J107">
        <v>3</v>
      </c>
      <c r="K107" t="s">
        <v>4</v>
      </c>
      <c r="L107" t="s">
        <v>67</v>
      </c>
      <c r="M107">
        <f>[1]!orders[[#This Row],[Ship Date]]-[1]!orders[[#This Row],[Order Date]]</f>
        <v>2</v>
      </c>
      <c r="N107">
        <f>WEEKNUM([1]!orders[[#This Row],[Order Date]])</f>
        <v>2</v>
      </c>
      <c r="O107" t="str" cm="1">
        <f t="array" ref="O107">_xlfn.IFS([1]!orders[[#This Row],[Customer Gender]]="M","Male", [1]!orders[[#This Row],[Customer Gender]]="F","Female", [1]!orders[[#This Row],[Customer Gender]]="O","Other", TRUE,"Unknown")</f>
        <v>Female</v>
      </c>
    </row>
    <row r="108" spans="1:15" x14ac:dyDescent="0.25">
      <c r="A108" s="1" t="s">
        <v>160</v>
      </c>
      <c r="B108" s="1" t="s">
        <v>108</v>
      </c>
      <c r="C108" s="1">
        <v>7</v>
      </c>
      <c r="D108" s="1">
        <v>31.2</v>
      </c>
      <c r="E108" s="1">
        <v>218.4</v>
      </c>
      <c r="F108" s="2">
        <v>45662</v>
      </c>
      <c r="G108" s="2">
        <v>45662</v>
      </c>
      <c r="H108" s="1" t="s">
        <v>12</v>
      </c>
      <c r="I108" s="1" t="s">
        <v>25</v>
      </c>
      <c r="J108" s="1">
        <v>5</v>
      </c>
      <c r="K108" s="1" t="s">
        <v>4</v>
      </c>
      <c r="L108" s="1" t="s">
        <v>18</v>
      </c>
      <c r="M108" s="1">
        <f>[1]!orders[[#This Row],[Ship Date]]-[1]!orders[[#This Row],[Order Date]]</f>
        <v>0</v>
      </c>
      <c r="N108" s="1">
        <f>WEEKNUM([1]!orders[[#This Row],[Order Date]])</f>
        <v>2</v>
      </c>
      <c r="O108" t="str" cm="1">
        <f t="array" ref="O108">_xlfn.IFS([1]!orders[[#This Row],[Customer Gender]]="M","Male", [1]!orders[[#This Row],[Customer Gender]]="F","Female", [1]!orders[[#This Row],[Customer Gender]]="O","Other", TRUE,"Unknown")</f>
        <v>Female</v>
      </c>
    </row>
    <row r="109" spans="1:15" x14ac:dyDescent="0.25">
      <c r="A109" t="s">
        <v>161</v>
      </c>
      <c r="B109" t="s">
        <v>29</v>
      </c>
      <c r="C109">
        <v>18</v>
      </c>
      <c r="D109">
        <v>32.6</v>
      </c>
      <c r="E109">
        <v>586.80000000000007</v>
      </c>
      <c r="F109" s="3">
        <v>45662</v>
      </c>
      <c r="G109" s="3">
        <v>45663</v>
      </c>
      <c r="H109" t="s">
        <v>8</v>
      </c>
      <c r="I109" t="s">
        <v>20</v>
      </c>
      <c r="J109">
        <v>3</v>
      </c>
      <c r="K109" t="s">
        <v>4</v>
      </c>
      <c r="L109" t="s">
        <v>18</v>
      </c>
      <c r="M109">
        <f>[1]!orders[[#This Row],[Ship Date]]-[1]!orders[[#This Row],[Order Date]]</f>
        <v>1</v>
      </c>
      <c r="N109">
        <f>WEEKNUM([1]!orders[[#This Row],[Order Date]])</f>
        <v>2</v>
      </c>
      <c r="O109" t="str" cm="1">
        <f t="array" ref="O109">_xlfn.IFS([1]!orders[[#This Row],[Customer Gender]]="M","Male", [1]!orders[[#This Row],[Customer Gender]]="F","Female", [1]!orders[[#This Row],[Customer Gender]]="O","Other", TRUE,"Unknown")</f>
        <v>Male</v>
      </c>
    </row>
    <row r="110" spans="1:15" x14ac:dyDescent="0.25">
      <c r="A110" s="1" t="s">
        <v>162</v>
      </c>
      <c r="B110" s="1" t="s">
        <v>39</v>
      </c>
      <c r="C110" s="1">
        <v>4</v>
      </c>
      <c r="D110" s="1">
        <v>45.4</v>
      </c>
      <c r="E110" s="1">
        <v>181.6</v>
      </c>
      <c r="F110" s="2">
        <v>45662</v>
      </c>
      <c r="G110" s="2">
        <v>45664</v>
      </c>
      <c r="H110" s="1" t="s">
        <v>8</v>
      </c>
      <c r="I110" s="1" t="s">
        <v>20</v>
      </c>
      <c r="J110" s="1">
        <v>4</v>
      </c>
      <c r="K110" s="1" t="s">
        <v>4</v>
      </c>
      <c r="L110" s="1" t="s">
        <v>18</v>
      </c>
      <c r="M110" s="1">
        <f>[1]!orders[[#This Row],[Ship Date]]-[1]!orders[[#This Row],[Order Date]]</f>
        <v>2</v>
      </c>
      <c r="N110" s="1">
        <f>WEEKNUM([1]!orders[[#This Row],[Order Date]])</f>
        <v>2</v>
      </c>
      <c r="O110" t="str" cm="1">
        <f t="array" ref="O110">_xlfn.IFS([1]!orders[[#This Row],[Customer Gender]]="M","Male", [1]!orders[[#This Row],[Customer Gender]]="F","Female", [1]!orders[[#This Row],[Customer Gender]]="O","Other", TRUE,"Unknown")</f>
        <v>Male</v>
      </c>
    </row>
    <row r="111" spans="1:15" x14ac:dyDescent="0.25">
      <c r="A111" t="s">
        <v>163</v>
      </c>
      <c r="B111" t="s">
        <v>11</v>
      </c>
      <c r="C111">
        <v>12</v>
      </c>
      <c r="D111">
        <v>120</v>
      </c>
      <c r="E111">
        <v>1440</v>
      </c>
      <c r="F111" s="3">
        <v>45662</v>
      </c>
      <c r="G111" s="3">
        <v>45663</v>
      </c>
      <c r="H111" t="s">
        <v>12</v>
      </c>
      <c r="I111" t="s">
        <v>25</v>
      </c>
      <c r="J111">
        <v>2</v>
      </c>
      <c r="K111" t="s">
        <v>4</v>
      </c>
      <c r="L111" t="s">
        <v>18</v>
      </c>
      <c r="M111">
        <f>[1]!orders[[#This Row],[Ship Date]]-[1]!orders[[#This Row],[Order Date]]</f>
        <v>1</v>
      </c>
      <c r="N111">
        <f>WEEKNUM([1]!orders[[#This Row],[Order Date]])</f>
        <v>2</v>
      </c>
      <c r="O111" t="str" cm="1">
        <f t="array" ref="O111">_xlfn.IFS([1]!orders[[#This Row],[Customer Gender]]="M","Male", [1]!orders[[#This Row],[Customer Gender]]="F","Female", [1]!orders[[#This Row],[Customer Gender]]="O","Other", TRUE,"Unknown")</f>
        <v>Female</v>
      </c>
    </row>
    <row r="112" spans="1:15" x14ac:dyDescent="0.25">
      <c r="A112" s="1" t="s">
        <v>164</v>
      </c>
      <c r="B112" s="1" t="s">
        <v>1</v>
      </c>
      <c r="C112" s="1">
        <v>4</v>
      </c>
      <c r="D112" s="1">
        <v>18.899999999999999</v>
      </c>
      <c r="E112" s="1">
        <v>75.599999999999994</v>
      </c>
      <c r="F112" s="2">
        <v>45662</v>
      </c>
      <c r="G112" s="2">
        <v>45664</v>
      </c>
      <c r="H112" s="1" t="s">
        <v>8</v>
      </c>
      <c r="I112" s="1" t="s">
        <v>3</v>
      </c>
      <c r="J112" s="1">
        <v>5</v>
      </c>
      <c r="K112" s="1" t="s">
        <v>4</v>
      </c>
      <c r="L112" s="1" t="s">
        <v>18</v>
      </c>
      <c r="M112" s="1">
        <f>[1]!orders[[#This Row],[Ship Date]]-[1]!orders[[#This Row],[Order Date]]</f>
        <v>2</v>
      </c>
      <c r="N112" s="1">
        <f>WEEKNUM([1]!orders[[#This Row],[Order Date]])</f>
        <v>2</v>
      </c>
      <c r="O112" t="str" cm="1">
        <f t="array" ref="O112">_xlfn.IFS([1]!orders[[#This Row],[Customer Gender]]="M","Male", [1]!orders[[#This Row],[Customer Gender]]="F","Female", [1]!orders[[#This Row],[Customer Gender]]="O","Other", TRUE,"Unknown")</f>
        <v>Male</v>
      </c>
    </row>
    <row r="113" spans="1:15" x14ac:dyDescent="0.25">
      <c r="A113" t="s">
        <v>165</v>
      </c>
      <c r="B113" t="s">
        <v>17</v>
      </c>
      <c r="C113">
        <v>1</v>
      </c>
      <c r="D113">
        <v>32</v>
      </c>
      <c r="E113">
        <v>32</v>
      </c>
      <c r="F113" s="3">
        <v>45662</v>
      </c>
      <c r="G113" s="3">
        <v>45664</v>
      </c>
      <c r="H113" t="s">
        <v>12</v>
      </c>
      <c r="I113" t="s">
        <v>55</v>
      </c>
      <c r="J113">
        <v>4</v>
      </c>
      <c r="K113" t="s">
        <v>4</v>
      </c>
      <c r="L113" t="s">
        <v>18</v>
      </c>
      <c r="M113">
        <f>[1]!orders[[#This Row],[Ship Date]]-[1]!orders[[#This Row],[Order Date]]</f>
        <v>2</v>
      </c>
      <c r="N113">
        <f>WEEKNUM([1]!orders[[#This Row],[Order Date]])</f>
        <v>2</v>
      </c>
      <c r="O113" t="str" cm="1">
        <f t="array" ref="O113">_xlfn.IFS([1]!orders[[#This Row],[Customer Gender]]="M","Male", [1]!orders[[#This Row],[Customer Gender]]="F","Female", [1]!orders[[#This Row],[Customer Gender]]="O","Other", TRUE,"Unknown")</f>
        <v>Female</v>
      </c>
    </row>
    <row r="114" spans="1:15" x14ac:dyDescent="0.25">
      <c r="A114" s="1" t="s">
        <v>166</v>
      </c>
      <c r="B114" s="1" t="s">
        <v>27</v>
      </c>
      <c r="C114" s="1">
        <v>2</v>
      </c>
      <c r="D114" s="1">
        <v>37.299999999999997</v>
      </c>
      <c r="E114" s="1">
        <v>74.599999999999994</v>
      </c>
      <c r="F114" s="2">
        <v>45662</v>
      </c>
      <c r="G114" s="2">
        <v>45663</v>
      </c>
      <c r="H114" s="1" t="s">
        <v>8</v>
      </c>
      <c r="I114" s="1" t="s">
        <v>25</v>
      </c>
      <c r="J114" s="1">
        <v>4</v>
      </c>
      <c r="K114" s="1" t="s">
        <v>4</v>
      </c>
      <c r="L114" s="1" t="s">
        <v>18</v>
      </c>
      <c r="M114" s="1">
        <f>[1]!orders[[#This Row],[Ship Date]]-[1]!orders[[#This Row],[Order Date]]</f>
        <v>1</v>
      </c>
      <c r="N114" s="1">
        <f>WEEKNUM([1]!orders[[#This Row],[Order Date]])</f>
        <v>2</v>
      </c>
      <c r="O114" t="str" cm="1">
        <f t="array" ref="O114">_xlfn.IFS([1]!orders[[#This Row],[Customer Gender]]="M","Male", [1]!orders[[#This Row],[Customer Gender]]="F","Female", [1]!orders[[#This Row],[Customer Gender]]="O","Other", TRUE,"Unknown")</f>
        <v>Male</v>
      </c>
    </row>
    <row r="115" spans="1:15" x14ac:dyDescent="0.25">
      <c r="A115" t="s">
        <v>167</v>
      </c>
      <c r="B115" t="s">
        <v>131</v>
      </c>
      <c r="C115">
        <v>1</v>
      </c>
      <c r="D115">
        <v>119.8</v>
      </c>
      <c r="E115">
        <v>119.8</v>
      </c>
      <c r="F115" s="3">
        <v>45662</v>
      </c>
      <c r="G115" s="3">
        <v>45663</v>
      </c>
      <c r="H115" t="s">
        <v>8</v>
      </c>
      <c r="I115" t="s">
        <v>20</v>
      </c>
      <c r="J115">
        <v>3</v>
      </c>
      <c r="K115" t="s">
        <v>4</v>
      </c>
      <c r="L115" t="s">
        <v>18</v>
      </c>
      <c r="M115">
        <f>[1]!orders[[#This Row],[Ship Date]]-[1]!orders[[#This Row],[Order Date]]</f>
        <v>1</v>
      </c>
      <c r="N115">
        <f>WEEKNUM([1]!orders[[#This Row],[Order Date]])</f>
        <v>2</v>
      </c>
      <c r="O115" t="str" cm="1">
        <f t="array" ref="O115">_xlfn.IFS([1]!orders[[#This Row],[Customer Gender]]="M","Male", [1]!orders[[#This Row],[Customer Gender]]="F","Female", [1]!orders[[#This Row],[Customer Gender]]="O","Other", TRUE,"Unknown")</f>
        <v>Male</v>
      </c>
    </row>
    <row r="116" spans="1:15" x14ac:dyDescent="0.25">
      <c r="A116" s="1" t="s">
        <v>168</v>
      </c>
      <c r="B116" s="1" t="s">
        <v>39</v>
      </c>
      <c r="C116" s="1">
        <v>2</v>
      </c>
      <c r="D116" s="1">
        <v>26.4</v>
      </c>
      <c r="E116" s="1">
        <v>52.8</v>
      </c>
      <c r="F116" s="2">
        <v>45662</v>
      </c>
      <c r="G116" s="2">
        <v>45665</v>
      </c>
      <c r="H116" s="1" t="s">
        <v>8</v>
      </c>
      <c r="I116" s="1" t="s">
        <v>25</v>
      </c>
      <c r="J116" s="1">
        <v>4</v>
      </c>
      <c r="K116" s="1" t="s">
        <v>4</v>
      </c>
      <c r="L116" s="1" t="s">
        <v>18</v>
      </c>
      <c r="M116" s="1">
        <f>[1]!orders[[#This Row],[Ship Date]]-[1]!orders[[#This Row],[Order Date]]</f>
        <v>3</v>
      </c>
      <c r="N116" s="1">
        <f>WEEKNUM([1]!orders[[#This Row],[Order Date]])</f>
        <v>2</v>
      </c>
      <c r="O116" t="str" cm="1">
        <f t="array" ref="O116">_xlfn.IFS([1]!orders[[#This Row],[Customer Gender]]="M","Male", [1]!orders[[#This Row],[Customer Gender]]="F","Female", [1]!orders[[#This Row],[Customer Gender]]="O","Other", TRUE,"Unknown")</f>
        <v>Male</v>
      </c>
    </row>
    <row r="117" spans="1:15" x14ac:dyDescent="0.25">
      <c r="A117" t="s">
        <v>169</v>
      </c>
      <c r="B117" t="s">
        <v>24</v>
      </c>
      <c r="C117">
        <v>6</v>
      </c>
      <c r="D117">
        <v>76.5</v>
      </c>
      <c r="E117">
        <v>459</v>
      </c>
      <c r="F117" s="3">
        <v>45662</v>
      </c>
      <c r="G117" s="3">
        <v>45663</v>
      </c>
      <c r="H117" t="s">
        <v>12</v>
      </c>
      <c r="I117" t="s">
        <v>20</v>
      </c>
      <c r="J117">
        <v>3</v>
      </c>
      <c r="K117" t="s">
        <v>4</v>
      </c>
      <c r="L117" t="s">
        <v>18</v>
      </c>
      <c r="M117">
        <f>[1]!orders[[#This Row],[Ship Date]]-[1]!orders[[#This Row],[Order Date]]</f>
        <v>1</v>
      </c>
      <c r="N117">
        <f>WEEKNUM([1]!orders[[#This Row],[Order Date]])</f>
        <v>2</v>
      </c>
      <c r="O117" t="str" cm="1">
        <f t="array" ref="O117">_xlfn.IFS([1]!orders[[#This Row],[Customer Gender]]="M","Male", [1]!orders[[#This Row],[Customer Gender]]="F","Female", [1]!orders[[#This Row],[Customer Gender]]="O","Other", TRUE,"Unknown")</f>
        <v>Female</v>
      </c>
    </row>
    <row r="118" spans="1:15" x14ac:dyDescent="0.25">
      <c r="A118" s="1" t="s">
        <v>170</v>
      </c>
      <c r="B118" s="1" t="s">
        <v>17</v>
      </c>
      <c r="C118" s="1">
        <v>10</v>
      </c>
      <c r="D118" s="1">
        <v>45.7</v>
      </c>
      <c r="E118" s="1">
        <v>457</v>
      </c>
      <c r="F118" s="2">
        <v>45662</v>
      </c>
      <c r="G118" s="2">
        <v>45663</v>
      </c>
      <c r="H118" s="1" t="s">
        <v>12</v>
      </c>
      <c r="I118" s="1" t="s">
        <v>25</v>
      </c>
      <c r="J118" s="1">
        <v>4</v>
      </c>
      <c r="K118" s="1" t="s">
        <v>4</v>
      </c>
      <c r="L118" s="1" t="s">
        <v>171</v>
      </c>
      <c r="M118" s="1">
        <f>[1]!orders[[#This Row],[Ship Date]]-[1]!orders[[#This Row],[Order Date]]</f>
        <v>1</v>
      </c>
      <c r="N118" s="1">
        <f>WEEKNUM([1]!orders[[#This Row],[Order Date]])</f>
        <v>2</v>
      </c>
      <c r="O118" t="str" cm="1">
        <f t="array" ref="O118">_xlfn.IFS([1]!orders[[#This Row],[Customer Gender]]="M","Male", [1]!orders[[#This Row],[Customer Gender]]="F","Female", [1]!orders[[#This Row],[Customer Gender]]="O","Other", TRUE,"Unknown")</f>
        <v>Female</v>
      </c>
    </row>
    <row r="119" spans="1:15" x14ac:dyDescent="0.25">
      <c r="A119" t="s">
        <v>172</v>
      </c>
      <c r="B119" t="s">
        <v>7</v>
      </c>
      <c r="C119">
        <v>12</v>
      </c>
      <c r="D119">
        <v>92.6</v>
      </c>
      <c r="E119">
        <v>1111.1999999999998</v>
      </c>
      <c r="F119" s="3">
        <v>45662</v>
      </c>
      <c r="G119" s="3">
        <v>45664</v>
      </c>
      <c r="H119" t="s">
        <v>12</v>
      </c>
      <c r="I119" t="s">
        <v>25</v>
      </c>
      <c r="J119">
        <v>4</v>
      </c>
      <c r="K119" t="s">
        <v>4</v>
      </c>
      <c r="L119" t="s">
        <v>173</v>
      </c>
      <c r="M119">
        <f>[1]!orders[[#This Row],[Ship Date]]-[1]!orders[[#This Row],[Order Date]]</f>
        <v>2</v>
      </c>
      <c r="N119">
        <f>WEEKNUM([1]!orders[[#This Row],[Order Date]])</f>
        <v>2</v>
      </c>
      <c r="O119" t="str" cm="1">
        <f t="array" ref="O119">_xlfn.IFS([1]!orders[[#This Row],[Customer Gender]]="M","Male", [1]!orders[[#This Row],[Customer Gender]]="F","Female", [1]!orders[[#This Row],[Customer Gender]]="O","Other", TRUE,"Unknown")</f>
        <v>Female</v>
      </c>
    </row>
    <row r="120" spans="1:15" x14ac:dyDescent="0.25">
      <c r="A120" s="1" t="s">
        <v>174</v>
      </c>
      <c r="B120" s="1" t="s">
        <v>24</v>
      </c>
      <c r="C120" s="1">
        <v>6</v>
      </c>
      <c r="D120" s="1">
        <v>60.1</v>
      </c>
      <c r="E120" s="1">
        <v>360.6</v>
      </c>
      <c r="F120" s="2">
        <v>45662</v>
      </c>
      <c r="G120" s="2">
        <v>45663</v>
      </c>
      <c r="H120" s="1" t="s">
        <v>8</v>
      </c>
      <c r="I120" s="1" t="s">
        <v>20</v>
      </c>
      <c r="J120" s="1">
        <v>4</v>
      </c>
      <c r="K120" s="1" t="s">
        <v>4</v>
      </c>
      <c r="L120" s="1" t="s">
        <v>143</v>
      </c>
      <c r="M120" s="1">
        <f>[1]!orders[[#This Row],[Ship Date]]-[1]!orders[[#This Row],[Order Date]]</f>
        <v>1</v>
      </c>
      <c r="N120" s="1">
        <f>WEEKNUM([1]!orders[[#This Row],[Order Date]])</f>
        <v>2</v>
      </c>
      <c r="O120" t="str" cm="1">
        <f t="array" ref="O120">_xlfn.IFS([1]!orders[[#This Row],[Customer Gender]]="M","Male", [1]!orders[[#This Row],[Customer Gender]]="F","Female", [1]!orders[[#This Row],[Customer Gender]]="O","Other", TRUE,"Unknown")</f>
        <v>Male</v>
      </c>
    </row>
    <row r="121" spans="1:15" x14ac:dyDescent="0.25">
      <c r="A121" t="s">
        <v>175</v>
      </c>
      <c r="B121" t="s">
        <v>7</v>
      </c>
      <c r="C121">
        <v>3</v>
      </c>
      <c r="D121">
        <v>73</v>
      </c>
      <c r="E121">
        <v>219</v>
      </c>
      <c r="F121" s="3">
        <v>45662</v>
      </c>
      <c r="G121" s="3">
        <v>45663</v>
      </c>
      <c r="H121" t="s">
        <v>12</v>
      </c>
      <c r="I121" t="s">
        <v>36</v>
      </c>
      <c r="J121">
        <v>3</v>
      </c>
      <c r="K121" t="s">
        <v>4</v>
      </c>
      <c r="L121" t="s">
        <v>40</v>
      </c>
      <c r="M121">
        <f>[1]!orders[[#This Row],[Ship Date]]-[1]!orders[[#This Row],[Order Date]]</f>
        <v>1</v>
      </c>
      <c r="N121">
        <f>WEEKNUM([1]!orders[[#This Row],[Order Date]])</f>
        <v>2</v>
      </c>
      <c r="O121" t="str" cm="1">
        <f t="array" ref="O121">_xlfn.IFS([1]!orders[[#This Row],[Customer Gender]]="M","Male", [1]!orders[[#This Row],[Customer Gender]]="F","Female", [1]!orders[[#This Row],[Customer Gender]]="O","Other", TRUE,"Unknown")</f>
        <v>Female</v>
      </c>
    </row>
    <row r="122" spans="1:15" x14ac:dyDescent="0.25">
      <c r="A122" s="1" t="s">
        <v>176</v>
      </c>
      <c r="B122" s="1" t="s">
        <v>24</v>
      </c>
      <c r="C122" s="1">
        <v>3</v>
      </c>
      <c r="D122" s="1">
        <v>44.3</v>
      </c>
      <c r="E122" s="1">
        <v>132.89999999999998</v>
      </c>
      <c r="F122" s="2">
        <v>45662</v>
      </c>
      <c r="G122" s="2">
        <v>45666</v>
      </c>
      <c r="H122" s="1" t="s">
        <v>2</v>
      </c>
      <c r="I122" s="1" t="s">
        <v>25</v>
      </c>
      <c r="J122" s="1">
        <v>5</v>
      </c>
      <c r="K122" s="1" t="s">
        <v>4</v>
      </c>
      <c r="L122" s="1" t="s">
        <v>40</v>
      </c>
      <c r="M122" s="1">
        <f>[1]!orders[[#This Row],[Ship Date]]-[1]!orders[[#This Row],[Order Date]]</f>
        <v>4</v>
      </c>
      <c r="N122" s="1">
        <f>WEEKNUM([1]!orders[[#This Row],[Order Date]])</f>
        <v>2</v>
      </c>
      <c r="O122" t="str" cm="1">
        <f t="array" ref="O122">_xlfn.IFS([1]!orders[[#This Row],[Customer Gender]]="M","Male", [1]!orders[[#This Row],[Customer Gender]]="F","Female", [1]!orders[[#This Row],[Customer Gender]]="O","Other", TRUE,"Unknown")</f>
        <v>Unknown</v>
      </c>
    </row>
    <row r="123" spans="1:15" x14ac:dyDescent="0.25">
      <c r="A123" t="s">
        <v>177</v>
      </c>
      <c r="B123" t="s">
        <v>24</v>
      </c>
      <c r="C123">
        <v>3</v>
      </c>
      <c r="D123">
        <v>63.3</v>
      </c>
      <c r="E123">
        <v>189.89999999999998</v>
      </c>
      <c r="F123" s="3">
        <v>45662</v>
      </c>
      <c r="G123" s="3">
        <v>45663</v>
      </c>
      <c r="H123" t="s">
        <v>8</v>
      </c>
      <c r="I123" t="s">
        <v>25</v>
      </c>
      <c r="J123">
        <v>4</v>
      </c>
      <c r="K123" t="s">
        <v>4</v>
      </c>
      <c r="L123" t="s">
        <v>40</v>
      </c>
      <c r="M123">
        <f>[1]!orders[[#This Row],[Ship Date]]-[1]!orders[[#This Row],[Order Date]]</f>
        <v>1</v>
      </c>
      <c r="N123">
        <f>WEEKNUM([1]!orders[[#This Row],[Order Date]])</f>
        <v>2</v>
      </c>
      <c r="O123" t="str" cm="1">
        <f t="array" ref="O123">_xlfn.IFS([1]!orders[[#This Row],[Customer Gender]]="M","Male", [1]!orders[[#This Row],[Customer Gender]]="F","Female", [1]!orders[[#This Row],[Customer Gender]]="O","Other", TRUE,"Unknown")</f>
        <v>Male</v>
      </c>
    </row>
    <row r="124" spans="1:15" x14ac:dyDescent="0.25">
      <c r="A124" s="1" t="s">
        <v>178</v>
      </c>
      <c r="B124" s="1" t="s">
        <v>54</v>
      </c>
      <c r="C124" s="1">
        <v>1</v>
      </c>
      <c r="D124" s="1">
        <v>66.8</v>
      </c>
      <c r="E124" s="1">
        <v>66.8</v>
      </c>
      <c r="F124" s="2">
        <v>45662</v>
      </c>
      <c r="G124" s="2">
        <v>45663</v>
      </c>
      <c r="H124" s="1" t="s">
        <v>12</v>
      </c>
      <c r="I124" s="1" t="s">
        <v>20</v>
      </c>
      <c r="J124" s="1">
        <v>4</v>
      </c>
      <c r="K124" s="1" t="s">
        <v>4</v>
      </c>
      <c r="L124" s="1" t="s">
        <v>40</v>
      </c>
      <c r="M124" s="1">
        <f>[1]!orders[[#This Row],[Ship Date]]-[1]!orders[[#This Row],[Order Date]]</f>
        <v>1</v>
      </c>
      <c r="N124" s="1">
        <f>WEEKNUM([1]!orders[[#This Row],[Order Date]])</f>
        <v>2</v>
      </c>
      <c r="O124" t="str" cm="1">
        <f t="array" ref="O124">_xlfn.IFS([1]!orders[[#This Row],[Customer Gender]]="M","Male", [1]!orders[[#This Row],[Customer Gender]]="F","Female", [1]!orders[[#This Row],[Customer Gender]]="O","Other", TRUE,"Unknown")</f>
        <v>Female</v>
      </c>
    </row>
    <row r="125" spans="1:15" x14ac:dyDescent="0.25">
      <c r="A125" t="s">
        <v>179</v>
      </c>
      <c r="B125" t="s">
        <v>11</v>
      </c>
      <c r="C125">
        <v>2</v>
      </c>
      <c r="D125">
        <v>59.7</v>
      </c>
      <c r="E125">
        <v>119.4</v>
      </c>
      <c r="F125" s="3">
        <v>45662</v>
      </c>
      <c r="G125" s="3">
        <v>45663</v>
      </c>
      <c r="H125" t="s">
        <v>12</v>
      </c>
      <c r="I125" t="s">
        <v>3</v>
      </c>
      <c r="J125">
        <v>4</v>
      </c>
      <c r="K125" t="s">
        <v>4</v>
      </c>
      <c r="L125" t="s">
        <v>44</v>
      </c>
      <c r="M125">
        <f>[1]!orders[[#This Row],[Ship Date]]-[1]!orders[[#This Row],[Order Date]]</f>
        <v>1</v>
      </c>
      <c r="N125">
        <f>WEEKNUM([1]!orders[[#This Row],[Order Date]])</f>
        <v>2</v>
      </c>
      <c r="O125" t="str" cm="1">
        <f t="array" ref="O125">_xlfn.IFS([1]!orders[[#This Row],[Customer Gender]]="M","Male", [1]!orders[[#This Row],[Customer Gender]]="F","Female", [1]!orders[[#This Row],[Customer Gender]]="O","Other", TRUE,"Unknown")</f>
        <v>Female</v>
      </c>
    </row>
    <row r="126" spans="1:15" x14ac:dyDescent="0.25">
      <c r="A126" s="1" t="s">
        <v>180</v>
      </c>
      <c r="B126" s="1" t="s">
        <v>7</v>
      </c>
      <c r="C126" s="1">
        <v>6</v>
      </c>
      <c r="D126" s="1">
        <v>92</v>
      </c>
      <c r="E126" s="1">
        <v>552</v>
      </c>
      <c r="F126" s="2">
        <v>45662</v>
      </c>
      <c r="G126" s="2">
        <v>45664</v>
      </c>
      <c r="H126" s="1" t="s">
        <v>8</v>
      </c>
      <c r="I126" s="1" t="s">
        <v>3</v>
      </c>
      <c r="J126" s="1">
        <v>2</v>
      </c>
      <c r="K126" s="1" t="s">
        <v>4</v>
      </c>
      <c r="L126" s="1" t="s">
        <v>44</v>
      </c>
      <c r="M126" s="1">
        <f>[1]!orders[[#This Row],[Ship Date]]-[1]!orders[[#This Row],[Order Date]]</f>
        <v>2</v>
      </c>
      <c r="N126" s="1">
        <f>WEEKNUM([1]!orders[[#This Row],[Order Date]])</f>
        <v>2</v>
      </c>
      <c r="O126" t="str" cm="1">
        <f t="array" ref="O126">_xlfn.IFS([1]!orders[[#This Row],[Customer Gender]]="M","Male", [1]!orders[[#This Row],[Customer Gender]]="F","Female", [1]!orders[[#This Row],[Customer Gender]]="O","Other", TRUE,"Unknown")</f>
        <v>Male</v>
      </c>
    </row>
    <row r="127" spans="1:15" x14ac:dyDescent="0.25">
      <c r="A127" t="s">
        <v>181</v>
      </c>
      <c r="B127" t="s">
        <v>27</v>
      </c>
      <c r="C127">
        <v>2</v>
      </c>
      <c r="D127">
        <v>87.6</v>
      </c>
      <c r="E127">
        <v>175.2</v>
      </c>
      <c r="F127" s="3">
        <v>45662</v>
      </c>
      <c r="G127" s="3">
        <v>45664</v>
      </c>
      <c r="H127" t="s">
        <v>8</v>
      </c>
      <c r="I127" t="s">
        <v>20</v>
      </c>
      <c r="J127">
        <v>3</v>
      </c>
      <c r="K127" t="s">
        <v>4</v>
      </c>
      <c r="L127" t="s">
        <v>47</v>
      </c>
      <c r="M127">
        <f>[1]!orders[[#This Row],[Ship Date]]-[1]!orders[[#This Row],[Order Date]]</f>
        <v>2</v>
      </c>
      <c r="N127">
        <f>WEEKNUM([1]!orders[[#This Row],[Order Date]])</f>
        <v>2</v>
      </c>
      <c r="O127" t="str" cm="1">
        <f t="array" ref="O127">_xlfn.IFS([1]!orders[[#This Row],[Customer Gender]]="M","Male", [1]!orders[[#This Row],[Customer Gender]]="F","Female", [1]!orders[[#This Row],[Customer Gender]]="O","Other", TRUE,"Unknown")</f>
        <v>Male</v>
      </c>
    </row>
    <row r="128" spans="1:15" x14ac:dyDescent="0.25">
      <c r="A128" s="1" t="s">
        <v>182</v>
      </c>
      <c r="B128" s="1" t="s">
        <v>24</v>
      </c>
      <c r="C128" s="1">
        <v>3</v>
      </c>
      <c r="D128" s="1">
        <v>84.5</v>
      </c>
      <c r="E128" s="1">
        <v>253.5</v>
      </c>
      <c r="F128" s="2">
        <v>45662</v>
      </c>
      <c r="G128" s="2">
        <v>45663</v>
      </c>
      <c r="H128" s="1" t="s">
        <v>12</v>
      </c>
      <c r="I128" s="1" t="s">
        <v>20</v>
      </c>
      <c r="J128" s="1">
        <v>3</v>
      </c>
      <c r="K128" s="1" t="s">
        <v>4</v>
      </c>
      <c r="L128" s="1" t="s">
        <v>47</v>
      </c>
      <c r="M128" s="1">
        <f>[1]!orders[[#This Row],[Ship Date]]-[1]!orders[[#This Row],[Order Date]]</f>
        <v>1</v>
      </c>
      <c r="N128" s="1">
        <f>WEEKNUM([1]!orders[[#This Row],[Order Date]])</f>
        <v>2</v>
      </c>
      <c r="O128" t="str" cm="1">
        <f t="array" ref="O128">_xlfn.IFS([1]!orders[[#This Row],[Customer Gender]]="M","Male", [1]!orders[[#This Row],[Customer Gender]]="F","Female", [1]!orders[[#This Row],[Customer Gender]]="O","Other", TRUE,"Unknown")</f>
        <v>Female</v>
      </c>
    </row>
    <row r="129" spans="1:15" x14ac:dyDescent="0.25">
      <c r="A129" t="s">
        <v>183</v>
      </c>
      <c r="B129" t="s">
        <v>7</v>
      </c>
      <c r="C129">
        <v>2</v>
      </c>
      <c r="D129">
        <v>116.3</v>
      </c>
      <c r="E129">
        <v>232.6</v>
      </c>
      <c r="F129" s="3">
        <v>45663</v>
      </c>
      <c r="G129" s="3">
        <v>45665</v>
      </c>
      <c r="H129" t="s">
        <v>8</v>
      </c>
      <c r="I129" t="s">
        <v>25</v>
      </c>
      <c r="J129">
        <v>5</v>
      </c>
      <c r="K129" t="s">
        <v>4</v>
      </c>
      <c r="L129" t="s">
        <v>47</v>
      </c>
      <c r="M129">
        <f>[1]!orders[[#This Row],[Ship Date]]-[1]!orders[[#This Row],[Order Date]]</f>
        <v>2</v>
      </c>
      <c r="N129">
        <f>WEEKNUM([1]!orders[[#This Row],[Order Date]])</f>
        <v>2</v>
      </c>
      <c r="O129" t="str" cm="1">
        <f t="array" ref="O129">_xlfn.IFS([1]!orders[[#This Row],[Customer Gender]]="M","Male", [1]!orders[[#This Row],[Customer Gender]]="F","Female", [1]!orders[[#This Row],[Customer Gender]]="O","Other", TRUE,"Unknown")</f>
        <v>Male</v>
      </c>
    </row>
    <row r="130" spans="1:15" x14ac:dyDescent="0.25">
      <c r="A130" s="1" t="s">
        <v>184</v>
      </c>
      <c r="B130" s="1" t="s">
        <v>24</v>
      </c>
      <c r="C130" s="1">
        <v>5</v>
      </c>
      <c r="D130" s="1">
        <v>52.7</v>
      </c>
      <c r="E130" s="1">
        <v>263.5</v>
      </c>
      <c r="F130" s="2">
        <v>45663</v>
      </c>
      <c r="G130" s="2">
        <v>45667</v>
      </c>
      <c r="H130" s="1" t="s">
        <v>8</v>
      </c>
      <c r="I130" s="1" t="s">
        <v>3</v>
      </c>
      <c r="J130" s="1">
        <v>4</v>
      </c>
      <c r="K130" s="1" t="s">
        <v>4</v>
      </c>
      <c r="L130" s="1" t="s">
        <v>47</v>
      </c>
      <c r="M130" s="1">
        <f>[1]!orders[[#This Row],[Ship Date]]-[1]!orders[[#This Row],[Order Date]]</f>
        <v>4</v>
      </c>
      <c r="N130" s="1">
        <f>WEEKNUM([1]!orders[[#This Row],[Order Date]])</f>
        <v>2</v>
      </c>
      <c r="O130" t="str" cm="1">
        <f t="array" ref="O130">_xlfn.IFS([1]!orders[[#This Row],[Customer Gender]]="M","Male", [1]!orders[[#This Row],[Customer Gender]]="F","Female", [1]!orders[[#This Row],[Customer Gender]]="O","Other", TRUE,"Unknown")</f>
        <v>Male</v>
      </c>
    </row>
    <row r="131" spans="1:15" x14ac:dyDescent="0.25">
      <c r="A131" t="s">
        <v>185</v>
      </c>
      <c r="B131" t="s">
        <v>113</v>
      </c>
      <c r="C131">
        <v>3</v>
      </c>
      <c r="D131">
        <v>34.200000000000003</v>
      </c>
      <c r="E131">
        <v>102.60000000000001</v>
      </c>
      <c r="F131" s="3">
        <v>45663</v>
      </c>
      <c r="G131" s="3">
        <v>45664</v>
      </c>
      <c r="H131" t="s">
        <v>8</v>
      </c>
      <c r="I131" t="s">
        <v>3</v>
      </c>
      <c r="J131">
        <v>5</v>
      </c>
      <c r="K131" t="s">
        <v>4</v>
      </c>
      <c r="L131" t="s">
        <v>186</v>
      </c>
      <c r="M131">
        <f>[1]!orders[[#This Row],[Ship Date]]-[1]!orders[[#This Row],[Order Date]]</f>
        <v>1</v>
      </c>
      <c r="N131">
        <f>WEEKNUM([1]!orders[[#This Row],[Order Date]])</f>
        <v>2</v>
      </c>
      <c r="O131" t="str" cm="1">
        <f t="array" ref="O131">_xlfn.IFS([1]!orders[[#This Row],[Customer Gender]]="M","Male", [1]!orders[[#This Row],[Customer Gender]]="F","Female", [1]!orders[[#This Row],[Customer Gender]]="O","Other", TRUE,"Unknown")</f>
        <v>Male</v>
      </c>
    </row>
    <row r="132" spans="1:15" x14ac:dyDescent="0.25">
      <c r="A132" s="1" t="s">
        <v>187</v>
      </c>
      <c r="B132" s="1" t="s">
        <v>31</v>
      </c>
      <c r="C132" s="1">
        <v>1</v>
      </c>
      <c r="D132" s="1">
        <v>23.3</v>
      </c>
      <c r="E132" s="1">
        <v>23.3</v>
      </c>
      <c r="F132" s="2">
        <v>45663</v>
      </c>
      <c r="G132" s="2">
        <v>45672</v>
      </c>
      <c r="H132" s="1" t="s">
        <v>74</v>
      </c>
      <c r="I132" s="1" t="s">
        <v>25</v>
      </c>
      <c r="J132" s="1">
        <v>5</v>
      </c>
      <c r="K132" s="1" t="s">
        <v>4</v>
      </c>
      <c r="L132" s="1" t="s">
        <v>57</v>
      </c>
      <c r="M132" s="1">
        <f>[1]!orders[[#This Row],[Ship Date]]-[1]!orders[[#This Row],[Order Date]]</f>
        <v>9</v>
      </c>
      <c r="N132" s="1">
        <f>WEEKNUM([1]!orders[[#This Row],[Order Date]])</f>
        <v>2</v>
      </c>
      <c r="O132" t="str" cm="1">
        <f t="array" ref="O132">_xlfn.IFS([1]!orders[[#This Row],[Customer Gender]]="M","Male", [1]!orders[[#This Row],[Customer Gender]]="F","Female", [1]!orders[[#This Row],[Customer Gender]]="O","Other", TRUE,"Unknown")</f>
        <v>Other</v>
      </c>
    </row>
    <row r="133" spans="1:15" x14ac:dyDescent="0.25">
      <c r="A133" t="s">
        <v>188</v>
      </c>
      <c r="B133" t="s">
        <v>1</v>
      </c>
      <c r="C133">
        <v>26</v>
      </c>
      <c r="D133">
        <v>25.9</v>
      </c>
      <c r="E133">
        <v>673.4</v>
      </c>
      <c r="F133" s="3">
        <v>45663</v>
      </c>
      <c r="G133" s="3">
        <v>45666</v>
      </c>
      <c r="H133" t="s">
        <v>12</v>
      </c>
      <c r="I133" t="s">
        <v>55</v>
      </c>
      <c r="J133">
        <v>3</v>
      </c>
      <c r="K133" t="s">
        <v>4</v>
      </c>
      <c r="L133" t="s">
        <v>57</v>
      </c>
      <c r="M133">
        <f>[1]!orders[[#This Row],[Ship Date]]-[1]!orders[[#This Row],[Order Date]]</f>
        <v>3</v>
      </c>
      <c r="N133">
        <f>WEEKNUM([1]!orders[[#This Row],[Order Date]])</f>
        <v>2</v>
      </c>
      <c r="O133" t="str" cm="1">
        <f t="array" ref="O133">_xlfn.IFS([1]!orders[[#This Row],[Customer Gender]]="M","Male", [1]!orders[[#This Row],[Customer Gender]]="F","Female", [1]!orders[[#This Row],[Customer Gender]]="O","Other", TRUE,"Unknown")</f>
        <v>Female</v>
      </c>
    </row>
    <row r="134" spans="1:15" x14ac:dyDescent="0.25">
      <c r="A134" s="1" t="s">
        <v>189</v>
      </c>
      <c r="B134" s="1" t="s">
        <v>24</v>
      </c>
      <c r="C134" s="1">
        <v>29</v>
      </c>
      <c r="D134" s="1">
        <v>54.9</v>
      </c>
      <c r="E134" s="1">
        <v>1592.1</v>
      </c>
      <c r="F134" s="2">
        <v>45663</v>
      </c>
      <c r="G134" s="2">
        <v>45664</v>
      </c>
      <c r="H134" s="1" t="s">
        <v>8</v>
      </c>
      <c r="I134" s="1" t="s">
        <v>20</v>
      </c>
      <c r="J134" s="1">
        <v>5</v>
      </c>
      <c r="K134" s="1" t="s">
        <v>4</v>
      </c>
      <c r="L134" s="1" t="s">
        <v>57</v>
      </c>
      <c r="M134" s="1">
        <f>[1]!orders[[#This Row],[Ship Date]]-[1]!orders[[#This Row],[Order Date]]</f>
        <v>1</v>
      </c>
      <c r="N134" s="1">
        <f>WEEKNUM([1]!orders[[#This Row],[Order Date]])</f>
        <v>2</v>
      </c>
      <c r="O134" t="str" cm="1">
        <f t="array" ref="O134">_xlfn.IFS([1]!orders[[#This Row],[Customer Gender]]="M","Male", [1]!orders[[#This Row],[Customer Gender]]="F","Female", [1]!orders[[#This Row],[Customer Gender]]="O","Other", TRUE,"Unknown")</f>
        <v>Male</v>
      </c>
    </row>
    <row r="135" spans="1:15" x14ac:dyDescent="0.25">
      <c r="A135" t="s">
        <v>190</v>
      </c>
      <c r="B135" t="s">
        <v>22</v>
      </c>
      <c r="C135">
        <v>3</v>
      </c>
      <c r="D135">
        <v>75.8</v>
      </c>
      <c r="E135">
        <v>227.39999999999998</v>
      </c>
      <c r="F135" s="3">
        <v>45663</v>
      </c>
      <c r="G135" s="3">
        <v>45668</v>
      </c>
      <c r="H135" t="s">
        <v>74</v>
      </c>
      <c r="I135" t="s">
        <v>20</v>
      </c>
      <c r="J135">
        <v>4</v>
      </c>
      <c r="K135" t="s">
        <v>4</v>
      </c>
      <c r="L135" t="s">
        <v>93</v>
      </c>
      <c r="M135">
        <f>[1]!orders[[#This Row],[Ship Date]]-[1]!orders[[#This Row],[Order Date]]</f>
        <v>5</v>
      </c>
      <c r="N135">
        <f>WEEKNUM([1]!orders[[#This Row],[Order Date]])</f>
        <v>2</v>
      </c>
      <c r="O135" t="str" cm="1">
        <f t="array" ref="O135">_xlfn.IFS([1]!orders[[#This Row],[Customer Gender]]="M","Male", [1]!orders[[#This Row],[Customer Gender]]="F","Female", [1]!orders[[#This Row],[Customer Gender]]="O","Other", TRUE,"Unknown")</f>
        <v>Other</v>
      </c>
    </row>
    <row r="136" spans="1:15" x14ac:dyDescent="0.25">
      <c r="A136" s="1" t="s">
        <v>191</v>
      </c>
      <c r="B136" s="1" t="s">
        <v>7</v>
      </c>
      <c r="C136" s="1">
        <v>9</v>
      </c>
      <c r="D136" s="1">
        <v>44.9</v>
      </c>
      <c r="E136" s="1">
        <v>404.09999999999997</v>
      </c>
      <c r="F136" s="2">
        <v>45663</v>
      </c>
      <c r="G136" s="2">
        <v>45666</v>
      </c>
      <c r="H136" s="1" t="s">
        <v>12</v>
      </c>
      <c r="I136" s="1" t="s">
        <v>25</v>
      </c>
      <c r="J136" s="1">
        <v>5</v>
      </c>
      <c r="K136" s="1" t="s">
        <v>4</v>
      </c>
      <c r="L136" s="1" t="s">
        <v>13</v>
      </c>
      <c r="M136" s="1">
        <f>[1]!orders[[#This Row],[Ship Date]]-[1]!orders[[#This Row],[Order Date]]</f>
        <v>3</v>
      </c>
      <c r="N136" s="1">
        <f>WEEKNUM([1]!orders[[#This Row],[Order Date]])</f>
        <v>2</v>
      </c>
      <c r="O136" t="str" cm="1">
        <f t="array" ref="O136">_xlfn.IFS([1]!orders[[#This Row],[Customer Gender]]="M","Male", [1]!orders[[#This Row],[Customer Gender]]="F","Female", [1]!orders[[#This Row],[Customer Gender]]="O","Other", TRUE,"Unknown")</f>
        <v>Female</v>
      </c>
    </row>
    <row r="137" spans="1:15" x14ac:dyDescent="0.25">
      <c r="A137" t="s">
        <v>192</v>
      </c>
      <c r="B137" t="s">
        <v>52</v>
      </c>
      <c r="C137">
        <v>2</v>
      </c>
      <c r="D137">
        <v>48.8</v>
      </c>
      <c r="E137">
        <v>97.6</v>
      </c>
      <c r="F137" s="3">
        <v>45663</v>
      </c>
      <c r="G137" s="3">
        <v>45665</v>
      </c>
      <c r="H137" t="s">
        <v>12</v>
      </c>
      <c r="I137" t="s">
        <v>36</v>
      </c>
      <c r="J137">
        <v>4</v>
      </c>
      <c r="K137" t="s">
        <v>4</v>
      </c>
      <c r="L137" t="s">
        <v>193</v>
      </c>
      <c r="M137">
        <f>[1]!orders[[#This Row],[Ship Date]]-[1]!orders[[#This Row],[Order Date]]</f>
        <v>2</v>
      </c>
      <c r="N137">
        <f>WEEKNUM([1]!orders[[#This Row],[Order Date]])</f>
        <v>2</v>
      </c>
      <c r="O137" t="str" cm="1">
        <f t="array" ref="O137">_xlfn.IFS([1]!orders[[#This Row],[Customer Gender]]="M","Male", [1]!orders[[#This Row],[Customer Gender]]="F","Female", [1]!orders[[#This Row],[Customer Gender]]="O","Other", TRUE,"Unknown")</f>
        <v>Female</v>
      </c>
    </row>
    <row r="138" spans="1:15" x14ac:dyDescent="0.25">
      <c r="A138" s="1" t="s">
        <v>194</v>
      </c>
      <c r="B138" s="1" t="s">
        <v>108</v>
      </c>
      <c r="C138" s="1">
        <v>1</v>
      </c>
      <c r="D138" s="1">
        <v>20.3</v>
      </c>
      <c r="E138" s="1">
        <v>20.3</v>
      </c>
      <c r="F138" s="2">
        <v>45663</v>
      </c>
      <c r="G138" s="2">
        <v>45664</v>
      </c>
      <c r="H138" s="1" t="s">
        <v>12</v>
      </c>
      <c r="I138" s="1" t="s">
        <v>3</v>
      </c>
      <c r="J138" s="1">
        <v>5</v>
      </c>
      <c r="K138" s="1" t="s">
        <v>4</v>
      </c>
      <c r="L138" s="1" t="s">
        <v>132</v>
      </c>
      <c r="M138" s="1">
        <f>[1]!orders[[#This Row],[Ship Date]]-[1]!orders[[#This Row],[Order Date]]</f>
        <v>1</v>
      </c>
      <c r="N138" s="1">
        <f>WEEKNUM([1]!orders[[#This Row],[Order Date]])</f>
        <v>2</v>
      </c>
      <c r="O138" t="str" cm="1">
        <f t="array" ref="O138">_xlfn.IFS([1]!orders[[#This Row],[Customer Gender]]="M","Male", [1]!orders[[#This Row],[Customer Gender]]="F","Female", [1]!orders[[#This Row],[Customer Gender]]="O","Other", TRUE,"Unknown")</f>
        <v>Female</v>
      </c>
    </row>
    <row r="139" spans="1:15" x14ac:dyDescent="0.25">
      <c r="A139" t="s">
        <v>195</v>
      </c>
      <c r="B139" t="s">
        <v>22</v>
      </c>
      <c r="C139">
        <v>7</v>
      </c>
      <c r="D139">
        <v>36.4</v>
      </c>
      <c r="E139">
        <v>254.79999999999998</v>
      </c>
      <c r="F139" s="3">
        <v>45663</v>
      </c>
      <c r="G139" s="3">
        <v>45666</v>
      </c>
      <c r="H139" t="s">
        <v>12</v>
      </c>
      <c r="I139" t="s">
        <v>3</v>
      </c>
      <c r="J139">
        <v>3</v>
      </c>
      <c r="K139" t="s">
        <v>4</v>
      </c>
      <c r="L139" t="s">
        <v>18</v>
      </c>
      <c r="M139">
        <f>[1]!orders[[#This Row],[Ship Date]]-[1]!orders[[#This Row],[Order Date]]</f>
        <v>3</v>
      </c>
      <c r="N139">
        <f>WEEKNUM([1]!orders[[#This Row],[Order Date]])</f>
        <v>2</v>
      </c>
      <c r="O139" t="str" cm="1">
        <f t="array" ref="O139">_xlfn.IFS([1]!orders[[#This Row],[Customer Gender]]="M","Male", [1]!orders[[#This Row],[Customer Gender]]="F","Female", [1]!orders[[#This Row],[Customer Gender]]="O","Other", TRUE,"Unknown")</f>
        <v>Female</v>
      </c>
    </row>
    <row r="140" spans="1:15" x14ac:dyDescent="0.25">
      <c r="A140" s="1" t="s">
        <v>196</v>
      </c>
      <c r="B140" s="1" t="s">
        <v>1</v>
      </c>
      <c r="C140" s="1">
        <v>1</v>
      </c>
      <c r="D140" s="1">
        <v>19</v>
      </c>
      <c r="E140" s="1">
        <v>19</v>
      </c>
      <c r="F140" s="2">
        <v>45663</v>
      </c>
      <c r="G140" s="2">
        <v>45668</v>
      </c>
      <c r="H140" s="1" t="s">
        <v>12</v>
      </c>
      <c r="I140" s="1" t="s">
        <v>20</v>
      </c>
      <c r="J140" s="1">
        <v>5</v>
      </c>
      <c r="K140" s="1" t="s">
        <v>4</v>
      </c>
      <c r="L140" s="1" t="s">
        <v>18</v>
      </c>
      <c r="M140" s="1">
        <f>[1]!orders[[#This Row],[Ship Date]]-[1]!orders[[#This Row],[Order Date]]</f>
        <v>5</v>
      </c>
      <c r="N140" s="1">
        <f>WEEKNUM([1]!orders[[#This Row],[Order Date]])</f>
        <v>2</v>
      </c>
      <c r="O140" t="str" cm="1">
        <f t="array" ref="O140">_xlfn.IFS([1]!orders[[#This Row],[Customer Gender]]="M","Male", [1]!orders[[#This Row],[Customer Gender]]="F","Female", [1]!orders[[#This Row],[Customer Gender]]="O","Other", TRUE,"Unknown")</f>
        <v>Female</v>
      </c>
    </row>
    <row r="141" spans="1:15" x14ac:dyDescent="0.25">
      <c r="A141" t="s">
        <v>197</v>
      </c>
      <c r="B141" t="s">
        <v>29</v>
      </c>
      <c r="C141">
        <v>1</v>
      </c>
      <c r="D141">
        <v>17.8</v>
      </c>
      <c r="E141">
        <v>17.8</v>
      </c>
      <c r="F141" s="3">
        <v>45663</v>
      </c>
      <c r="G141" s="3">
        <v>45663</v>
      </c>
      <c r="H141" t="s">
        <v>8</v>
      </c>
      <c r="I141" t="s">
        <v>3</v>
      </c>
      <c r="J141">
        <v>4</v>
      </c>
      <c r="K141" t="s">
        <v>4</v>
      </c>
      <c r="L141" t="s">
        <v>18</v>
      </c>
      <c r="M141">
        <f>[1]!orders[[#This Row],[Ship Date]]-[1]!orders[[#This Row],[Order Date]]</f>
        <v>0</v>
      </c>
      <c r="N141">
        <f>WEEKNUM([1]!orders[[#This Row],[Order Date]])</f>
        <v>2</v>
      </c>
      <c r="O141" t="str" cm="1">
        <f t="array" ref="O141">_xlfn.IFS([1]!orders[[#This Row],[Customer Gender]]="M","Male", [1]!orders[[#This Row],[Customer Gender]]="F","Female", [1]!orders[[#This Row],[Customer Gender]]="O","Other", TRUE,"Unknown")</f>
        <v>Male</v>
      </c>
    </row>
    <row r="142" spans="1:15" x14ac:dyDescent="0.25">
      <c r="A142" s="1" t="s">
        <v>198</v>
      </c>
      <c r="B142" s="1" t="s">
        <v>11</v>
      </c>
      <c r="C142" s="1">
        <v>6</v>
      </c>
      <c r="D142" s="1">
        <v>139.6</v>
      </c>
      <c r="E142" s="1">
        <v>837.59999999999991</v>
      </c>
      <c r="F142" s="2">
        <v>45663</v>
      </c>
      <c r="G142" s="2">
        <v>45666</v>
      </c>
      <c r="H142" s="1" t="s">
        <v>8</v>
      </c>
      <c r="I142" s="1" t="s">
        <v>3</v>
      </c>
      <c r="J142" s="1">
        <v>4</v>
      </c>
      <c r="K142" s="1" t="s">
        <v>4</v>
      </c>
      <c r="L142" s="1" t="s">
        <v>18</v>
      </c>
      <c r="M142" s="1">
        <f>[1]!orders[[#This Row],[Ship Date]]-[1]!orders[[#This Row],[Order Date]]</f>
        <v>3</v>
      </c>
      <c r="N142" s="1">
        <f>WEEKNUM([1]!orders[[#This Row],[Order Date]])</f>
        <v>2</v>
      </c>
      <c r="O142" t="str" cm="1">
        <f t="array" ref="O142">_xlfn.IFS([1]!orders[[#This Row],[Customer Gender]]="M","Male", [1]!orders[[#This Row],[Customer Gender]]="F","Female", [1]!orders[[#This Row],[Customer Gender]]="O","Other", TRUE,"Unknown")</f>
        <v>Male</v>
      </c>
    </row>
    <row r="143" spans="1:15" x14ac:dyDescent="0.25">
      <c r="A143" t="s">
        <v>199</v>
      </c>
      <c r="B143" t="s">
        <v>31</v>
      </c>
      <c r="C143">
        <v>1</v>
      </c>
      <c r="D143">
        <v>31.7</v>
      </c>
      <c r="E143">
        <v>31.7</v>
      </c>
      <c r="F143" s="3">
        <v>45663</v>
      </c>
      <c r="G143" s="3">
        <v>45663</v>
      </c>
      <c r="H143" t="s">
        <v>2</v>
      </c>
      <c r="I143" t="s">
        <v>3</v>
      </c>
      <c r="J143">
        <v>4</v>
      </c>
      <c r="K143" t="s">
        <v>4</v>
      </c>
      <c r="L143" t="s">
        <v>18</v>
      </c>
      <c r="M143">
        <f>[1]!orders[[#This Row],[Ship Date]]-[1]!orders[[#This Row],[Order Date]]</f>
        <v>0</v>
      </c>
      <c r="N143">
        <f>WEEKNUM([1]!orders[[#This Row],[Order Date]])</f>
        <v>2</v>
      </c>
      <c r="O143" t="str" cm="1">
        <f t="array" ref="O143">_xlfn.IFS([1]!orders[[#This Row],[Customer Gender]]="M","Male", [1]!orders[[#This Row],[Customer Gender]]="F","Female", [1]!orders[[#This Row],[Customer Gender]]="O","Other", TRUE,"Unknown")</f>
        <v>Unknown</v>
      </c>
    </row>
    <row r="144" spans="1:15" x14ac:dyDescent="0.25">
      <c r="A144" s="1" t="s">
        <v>200</v>
      </c>
      <c r="B144" s="1" t="s">
        <v>29</v>
      </c>
      <c r="C144" s="1">
        <v>8</v>
      </c>
      <c r="D144" s="1">
        <v>26.3</v>
      </c>
      <c r="E144" s="1">
        <v>210.4</v>
      </c>
      <c r="F144" s="2">
        <v>45663</v>
      </c>
      <c r="G144" s="2">
        <v>45666</v>
      </c>
      <c r="H144" s="1" t="s">
        <v>12</v>
      </c>
      <c r="I144" s="1" t="s">
        <v>55</v>
      </c>
      <c r="J144" s="1">
        <v>2</v>
      </c>
      <c r="K144" s="1" t="s">
        <v>4</v>
      </c>
      <c r="L144" s="1" t="s">
        <v>18</v>
      </c>
      <c r="M144" s="1">
        <f>[1]!orders[[#This Row],[Ship Date]]-[1]!orders[[#This Row],[Order Date]]</f>
        <v>3</v>
      </c>
      <c r="N144" s="1">
        <f>WEEKNUM([1]!orders[[#This Row],[Order Date]])</f>
        <v>2</v>
      </c>
      <c r="O144" t="str" cm="1">
        <f t="array" ref="O144">_xlfn.IFS([1]!orders[[#This Row],[Customer Gender]]="M","Male", [1]!orders[[#This Row],[Customer Gender]]="F","Female", [1]!orders[[#This Row],[Customer Gender]]="O","Other", TRUE,"Unknown")</f>
        <v>Female</v>
      </c>
    </row>
    <row r="145" spans="1:15" x14ac:dyDescent="0.25">
      <c r="A145" t="s">
        <v>201</v>
      </c>
      <c r="B145" t="s">
        <v>17</v>
      </c>
      <c r="C145">
        <v>2</v>
      </c>
      <c r="D145">
        <v>47.8</v>
      </c>
      <c r="E145">
        <v>95.6</v>
      </c>
      <c r="F145" s="3">
        <v>45663</v>
      </c>
      <c r="G145" s="3">
        <v>45664</v>
      </c>
      <c r="H145" t="s">
        <v>2</v>
      </c>
      <c r="I145" t="s">
        <v>3</v>
      </c>
      <c r="J145">
        <v>4</v>
      </c>
      <c r="K145" t="s">
        <v>4</v>
      </c>
      <c r="L145" t="s">
        <v>18</v>
      </c>
      <c r="M145">
        <f>[1]!orders[[#This Row],[Ship Date]]-[1]!orders[[#This Row],[Order Date]]</f>
        <v>1</v>
      </c>
      <c r="N145">
        <f>WEEKNUM([1]!orders[[#This Row],[Order Date]])</f>
        <v>2</v>
      </c>
      <c r="O145" t="str" cm="1">
        <f t="array" ref="O145">_xlfn.IFS([1]!orders[[#This Row],[Customer Gender]]="M","Male", [1]!orders[[#This Row],[Customer Gender]]="F","Female", [1]!orders[[#This Row],[Customer Gender]]="O","Other", TRUE,"Unknown")</f>
        <v>Unknown</v>
      </c>
    </row>
    <row r="146" spans="1:15" x14ac:dyDescent="0.25">
      <c r="A146" s="1" t="s">
        <v>202</v>
      </c>
      <c r="B146" s="1" t="s">
        <v>31</v>
      </c>
      <c r="C146" s="1">
        <v>3</v>
      </c>
      <c r="D146" s="1">
        <v>69.400000000000006</v>
      </c>
      <c r="E146" s="1">
        <v>208.20000000000002</v>
      </c>
      <c r="F146" s="2">
        <v>45663</v>
      </c>
      <c r="G146" s="2">
        <v>45667</v>
      </c>
      <c r="H146" s="1" t="s">
        <v>12</v>
      </c>
      <c r="I146" s="1" t="s">
        <v>3</v>
      </c>
      <c r="J146" s="1">
        <v>4</v>
      </c>
      <c r="K146" s="1" t="s">
        <v>4</v>
      </c>
      <c r="L146" s="1" t="s">
        <v>18</v>
      </c>
      <c r="M146" s="1">
        <f>[1]!orders[[#This Row],[Ship Date]]-[1]!orders[[#This Row],[Order Date]]</f>
        <v>4</v>
      </c>
      <c r="N146" s="1">
        <f>WEEKNUM([1]!orders[[#This Row],[Order Date]])</f>
        <v>2</v>
      </c>
      <c r="O146" t="str" cm="1">
        <f t="array" ref="O146">_xlfn.IFS([1]!orders[[#This Row],[Customer Gender]]="M","Male", [1]!orders[[#This Row],[Customer Gender]]="F","Female", [1]!orders[[#This Row],[Customer Gender]]="O","Other", TRUE,"Unknown")</f>
        <v>Female</v>
      </c>
    </row>
    <row r="147" spans="1:15" x14ac:dyDescent="0.25">
      <c r="A147" t="s">
        <v>203</v>
      </c>
      <c r="B147" t="s">
        <v>131</v>
      </c>
      <c r="C147">
        <v>12</v>
      </c>
      <c r="D147">
        <v>25.8</v>
      </c>
      <c r="E147">
        <v>309.60000000000002</v>
      </c>
      <c r="F147" s="3">
        <v>45663</v>
      </c>
      <c r="G147" s="3">
        <v>45664</v>
      </c>
      <c r="H147" t="s">
        <v>8</v>
      </c>
      <c r="I147" t="s">
        <v>55</v>
      </c>
      <c r="J147">
        <v>2</v>
      </c>
      <c r="K147" t="s">
        <v>4</v>
      </c>
      <c r="L147" t="s">
        <v>18</v>
      </c>
      <c r="M147">
        <f>[1]!orders[[#This Row],[Ship Date]]-[1]!orders[[#This Row],[Order Date]]</f>
        <v>1</v>
      </c>
      <c r="N147">
        <f>WEEKNUM([1]!orders[[#This Row],[Order Date]])</f>
        <v>2</v>
      </c>
      <c r="O147" t="str" cm="1">
        <f t="array" ref="O147">_xlfn.IFS([1]!orders[[#This Row],[Customer Gender]]="M","Male", [1]!orders[[#This Row],[Customer Gender]]="F","Female", [1]!orders[[#This Row],[Customer Gender]]="O","Other", TRUE,"Unknown")</f>
        <v>Male</v>
      </c>
    </row>
    <row r="148" spans="1:15" x14ac:dyDescent="0.25">
      <c r="A148" s="1" t="s">
        <v>204</v>
      </c>
      <c r="B148" s="1" t="s">
        <v>1</v>
      </c>
      <c r="C148" s="1">
        <v>4</v>
      </c>
      <c r="D148" s="1">
        <v>26.4</v>
      </c>
      <c r="E148" s="1">
        <v>105.6</v>
      </c>
      <c r="F148" s="2">
        <v>45663</v>
      </c>
      <c r="G148" s="2">
        <v>45664</v>
      </c>
      <c r="H148" s="1" t="s">
        <v>8</v>
      </c>
      <c r="I148" s="1" t="s">
        <v>20</v>
      </c>
      <c r="J148" s="1">
        <v>5</v>
      </c>
      <c r="K148" s="1" t="s">
        <v>4</v>
      </c>
      <c r="L148" s="1" t="s">
        <v>18</v>
      </c>
      <c r="M148" s="1">
        <f>[1]!orders[[#This Row],[Ship Date]]-[1]!orders[[#This Row],[Order Date]]</f>
        <v>1</v>
      </c>
      <c r="N148" s="1">
        <f>WEEKNUM([1]!orders[[#This Row],[Order Date]])</f>
        <v>2</v>
      </c>
      <c r="O148" t="str" cm="1">
        <f t="array" ref="O148">_xlfn.IFS([1]!orders[[#This Row],[Customer Gender]]="M","Male", [1]!orders[[#This Row],[Customer Gender]]="F","Female", [1]!orders[[#This Row],[Customer Gender]]="O","Other", TRUE,"Unknown")</f>
        <v>Male</v>
      </c>
    </row>
    <row r="149" spans="1:15" x14ac:dyDescent="0.25">
      <c r="A149" t="s">
        <v>205</v>
      </c>
      <c r="B149" t="s">
        <v>29</v>
      </c>
      <c r="C149">
        <v>4</v>
      </c>
      <c r="D149">
        <v>15.7</v>
      </c>
      <c r="E149">
        <v>62.8</v>
      </c>
      <c r="F149" s="3">
        <v>45663</v>
      </c>
      <c r="G149" s="3">
        <v>45664</v>
      </c>
      <c r="H149" t="s">
        <v>8</v>
      </c>
      <c r="I149" t="s">
        <v>25</v>
      </c>
      <c r="J149">
        <v>4</v>
      </c>
      <c r="K149" t="s">
        <v>4</v>
      </c>
      <c r="L149" t="s">
        <v>18</v>
      </c>
      <c r="M149">
        <f>[1]!orders[[#This Row],[Ship Date]]-[1]!orders[[#This Row],[Order Date]]</f>
        <v>1</v>
      </c>
      <c r="N149">
        <f>WEEKNUM([1]!orders[[#This Row],[Order Date]])</f>
        <v>2</v>
      </c>
      <c r="O149" t="str" cm="1">
        <f t="array" ref="O149">_xlfn.IFS([1]!orders[[#This Row],[Customer Gender]]="M","Male", [1]!orders[[#This Row],[Customer Gender]]="F","Female", [1]!orders[[#This Row],[Customer Gender]]="O","Other", TRUE,"Unknown")</f>
        <v>Male</v>
      </c>
    </row>
    <row r="150" spans="1:15" x14ac:dyDescent="0.25">
      <c r="A150" s="1" t="s">
        <v>206</v>
      </c>
      <c r="B150" s="1" t="s">
        <v>29</v>
      </c>
      <c r="C150" s="1">
        <v>1</v>
      </c>
      <c r="D150" s="1">
        <v>39.700000000000003</v>
      </c>
      <c r="E150" s="1">
        <v>39.700000000000003</v>
      </c>
      <c r="F150" s="2">
        <v>45663</v>
      </c>
      <c r="G150" s="2">
        <v>45667</v>
      </c>
      <c r="H150" s="1" t="s">
        <v>8</v>
      </c>
      <c r="I150" s="1" t="s">
        <v>3</v>
      </c>
      <c r="J150" s="1">
        <v>4</v>
      </c>
      <c r="K150" s="1" t="s">
        <v>4</v>
      </c>
      <c r="L150" s="1" t="s">
        <v>18</v>
      </c>
      <c r="M150" s="1">
        <f>[1]!orders[[#This Row],[Ship Date]]-[1]!orders[[#This Row],[Order Date]]</f>
        <v>4</v>
      </c>
      <c r="N150" s="1">
        <f>WEEKNUM([1]!orders[[#This Row],[Order Date]])</f>
        <v>2</v>
      </c>
      <c r="O150" t="str" cm="1">
        <f t="array" ref="O150">_xlfn.IFS([1]!orders[[#This Row],[Customer Gender]]="M","Male", [1]!orders[[#This Row],[Customer Gender]]="F","Female", [1]!orders[[#This Row],[Customer Gender]]="O","Other", TRUE,"Unknown")</f>
        <v>Male</v>
      </c>
    </row>
    <row r="151" spans="1:15" x14ac:dyDescent="0.25">
      <c r="A151" t="s">
        <v>207</v>
      </c>
      <c r="B151" t="s">
        <v>39</v>
      </c>
      <c r="C151">
        <v>4</v>
      </c>
      <c r="D151">
        <v>31.1</v>
      </c>
      <c r="E151">
        <v>124.4</v>
      </c>
      <c r="F151" s="3">
        <v>45663</v>
      </c>
      <c r="G151" s="3">
        <v>45665</v>
      </c>
      <c r="H151" t="s">
        <v>12</v>
      </c>
      <c r="I151" t="s">
        <v>25</v>
      </c>
      <c r="J151">
        <v>3</v>
      </c>
      <c r="K151" t="s">
        <v>4</v>
      </c>
      <c r="L151" t="s">
        <v>18</v>
      </c>
      <c r="M151">
        <f>[1]!orders[[#This Row],[Ship Date]]-[1]!orders[[#This Row],[Order Date]]</f>
        <v>2</v>
      </c>
      <c r="N151">
        <f>WEEKNUM([1]!orders[[#This Row],[Order Date]])</f>
        <v>2</v>
      </c>
      <c r="O151" t="str" cm="1">
        <f t="array" ref="O151">_xlfn.IFS([1]!orders[[#This Row],[Customer Gender]]="M","Male", [1]!orders[[#This Row],[Customer Gender]]="F","Female", [1]!orders[[#This Row],[Customer Gender]]="O","Other", TRUE,"Unknown")</f>
        <v>Female</v>
      </c>
    </row>
    <row r="152" spans="1:15" x14ac:dyDescent="0.25">
      <c r="A152" s="1" t="s">
        <v>208</v>
      </c>
      <c r="B152" s="1" t="s">
        <v>61</v>
      </c>
      <c r="C152" s="1">
        <v>15</v>
      </c>
      <c r="D152" s="1">
        <v>23.4</v>
      </c>
      <c r="E152" s="1">
        <v>351</v>
      </c>
      <c r="F152" s="2">
        <v>45663</v>
      </c>
      <c r="G152" s="2">
        <v>45672</v>
      </c>
      <c r="H152" s="1" t="s">
        <v>8</v>
      </c>
      <c r="I152" s="1" t="s">
        <v>3</v>
      </c>
      <c r="J152" s="1">
        <v>4</v>
      </c>
      <c r="K152" s="1" t="s">
        <v>4</v>
      </c>
      <c r="L152" s="1" t="s">
        <v>18</v>
      </c>
      <c r="M152" s="1">
        <f>[1]!orders[[#This Row],[Ship Date]]-[1]!orders[[#This Row],[Order Date]]</f>
        <v>9</v>
      </c>
      <c r="N152" s="1">
        <f>WEEKNUM([1]!orders[[#This Row],[Order Date]])</f>
        <v>2</v>
      </c>
      <c r="O152" t="str" cm="1">
        <f t="array" ref="O152">_xlfn.IFS([1]!orders[[#This Row],[Customer Gender]]="M","Male", [1]!orders[[#This Row],[Customer Gender]]="F","Female", [1]!orders[[#This Row],[Customer Gender]]="O","Other", TRUE,"Unknown")</f>
        <v>Male</v>
      </c>
    </row>
    <row r="153" spans="1:15" x14ac:dyDescent="0.25">
      <c r="A153" t="s">
        <v>209</v>
      </c>
      <c r="B153" t="s">
        <v>7</v>
      </c>
      <c r="C153">
        <v>4</v>
      </c>
      <c r="D153">
        <v>57.1</v>
      </c>
      <c r="E153">
        <v>228.4</v>
      </c>
      <c r="F153" s="3">
        <v>45664</v>
      </c>
      <c r="G153" s="3">
        <v>45665</v>
      </c>
      <c r="H153" t="s">
        <v>8</v>
      </c>
      <c r="I153" t="s">
        <v>25</v>
      </c>
      <c r="J153">
        <v>4</v>
      </c>
      <c r="K153" t="s">
        <v>4</v>
      </c>
      <c r="L153" t="s">
        <v>173</v>
      </c>
      <c r="M153">
        <f>[1]!orders[[#This Row],[Ship Date]]-[1]!orders[[#This Row],[Order Date]]</f>
        <v>1</v>
      </c>
      <c r="N153">
        <f>WEEKNUM([1]!orders[[#This Row],[Order Date]])</f>
        <v>2</v>
      </c>
      <c r="O153" t="str" cm="1">
        <f t="array" ref="O153">_xlfn.IFS([1]!orders[[#This Row],[Customer Gender]]="M","Male", [1]!orders[[#This Row],[Customer Gender]]="F","Female", [1]!orders[[#This Row],[Customer Gender]]="O","Other", TRUE,"Unknown")</f>
        <v>Male</v>
      </c>
    </row>
    <row r="154" spans="1:15" x14ac:dyDescent="0.25">
      <c r="A154" s="1" t="s">
        <v>210</v>
      </c>
      <c r="B154" s="1" t="s">
        <v>11</v>
      </c>
      <c r="C154" s="1">
        <v>5</v>
      </c>
      <c r="D154" s="1">
        <v>89.9</v>
      </c>
      <c r="E154" s="1">
        <v>449.5</v>
      </c>
      <c r="F154" s="2">
        <v>45664</v>
      </c>
      <c r="G154" s="2">
        <v>45664</v>
      </c>
      <c r="H154" s="1" t="s">
        <v>12</v>
      </c>
      <c r="I154" s="1" t="s">
        <v>3</v>
      </c>
      <c r="J154" s="1">
        <v>1</v>
      </c>
      <c r="K154" s="1" t="s">
        <v>4</v>
      </c>
      <c r="L154" s="1" t="s">
        <v>143</v>
      </c>
      <c r="M154" s="1">
        <f>[1]!orders[[#This Row],[Ship Date]]-[1]!orders[[#This Row],[Order Date]]</f>
        <v>0</v>
      </c>
      <c r="N154" s="1">
        <f>WEEKNUM([1]!orders[[#This Row],[Order Date]])</f>
        <v>2</v>
      </c>
      <c r="O154" t="str" cm="1">
        <f t="array" ref="O154">_xlfn.IFS([1]!orders[[#This Row],[Customer Gender]]="M","Male", [1]!orders[[#This Row],[Customer Gender]]="F","Female", [1]!orders[[#This Row],[Customer Gender]]="O","Other", TRUE,"Unknown")</f>
        <v>Female</v>
      </c>
    </row>
    <row r="155" spans="1:15" x14ac:dyDescent="0.25">
      <c r="A155" t="s">
        <v>211</v>
      </c>
      <c r="B155" t="s">
        <v>39</v>
      </c>
      <c r="C155">
        <v>7</v>
      </c>
      <c r="D155">
        <v>48.1</v>
      </c>
      <c r="E155">
        <v>336.7</v>
      </c>
      <c r="F155" s="3">
        <v>45664</v>
      </c>
      <c r="G155" s="3">
        <v>45666</v>
      </c>
      <c r="H155" t="s">
        <v>12</v>
      </c>
      <c r="I155" t="s">
        <v>20</v>
      </c>
      <c r="J155">
        <v>5</v>
      </c>
      <c r="K155" t="s">
        <v>4</v>
      </c>
      <c r="L155" t="s">
        <v>40</v>
      </c>
      <c r="M155">
        <f>[1]!orders[[#This Row],[Ship Date]]-[1]!orders[[#This Row],[Order Date]]</f>
        <v>2</v>
      </c>
      <c r="N155">
        <f>WEEKNUM([1]!orders[[#This Row],[Order Date]])</f>
        <v>2</v>
      </c>
      <c r="O155" t="str" cm="1">
        <f t="array" ref="O155">_xlfn.IFS([1]!orders[[#This Row],[Customer Gender]]="M","Male", [1]!orders[[#This Row],[Customer Gender]]="F","Female", [1]!orders[[#This Row],[Customer Gender]]="O","Other", TRUE,"Unknown")</f>
        <v>Female</v>
      </c>
    </row>
    <row r="156" spans="1:15" x14ac:dyDescent="0.25">
      <c r="A156" s="1" t="s">
        <v>212</v>
      </c>
      <c r="B156" s="1" t="s">
        <v>29</v>
      </c>
      <c r="C156" s="1">
        <v>2</v>
      </c>
      <c r="D156" s="1">
        <v>29.3</v>
      </c>
      <c r="E156" s="1">
        <v>58.6</v>
      </c>
      <c r="F156" s="2">
        <v>45664</v>
      </c>
      <c r="G156" s="2">
        <v>45664</v>
      </c>
      <c r="H156" s="1" t="s">
        <v>12</v>
      </c>
      <c r="I156" s="1" t="s">
        <v>20</v>
      </c>
      <c r="J156" s="1">
        <v>3</v>
      </c>
      <c r="K156" s="1" t="s">
        <v>4</v>
      </c>
      <c r="L156" s="1" t="s">
        <v>40</v>
      </c>
      <c r="M156" s="1">
        <f>[1]!orders[[#This Row],[Ship Date]]-[1]!orders[[#This Row],[Order Date]]</f>
        <v>0</v>
      </c>
      <c r="N156" s="1">
        <f>WEEKNUM([1]!orders[[#This Row],[Order Date]])</f>
        <v>2</v>
      </c>
      <c r="O156" t="str" cm="1">
        <f t="array" ref="O156">_xlfn.IFS([1]!orders[[#This Row],[Customer Gender]]="M","Male", [1]!orders[[#This Row],[Customer Gender]]="F","Female", [1]!orders[[#This Row],[Customer Gender]]="O","Other", TRUE,"Unknown")</f>
        <v>Female</v>
      </c>
    </row>
    <row r="157" spans="1:15" x14ac:dyDescent="0.25">
      <c r="A157" t="s">
        <v>213</v>
      </c>
      <c r="B157" t="s">
        <v>29</v>
      </c>
      <c r="C157">
        <v>4</v>
      </c>
      <c r="D157">
        <v>28.8</v>
      </c>
      <c r="E157">
        <v>115.2</v>
      </c>
      <c r="F157" s="3">
        <v>45664</v>
      </c>
      <c r="G157" s="3">
        <v>45665</v>
      </c>
      <c r="H157" t="s">
        <v>12</v>
      </c>
      <c r="I157" t="s">
        <v>3</v>
      </c>
      <c r="J157">
        <v>2</v>
      </c>
      <c r="K157" t="s">
        <v>4</v>
      </c>
      <c r="L157" t="s">
        <v>40</v>
      </c>
      <c r="M157">
        <f>[1]!orders[[#This Row],[Ship Date]]-[1]!orders[[#This Row],[Order Date]]</f>
        <v>1</v>
      </c>
      <c r="N157">
        <f>WEEKNUM([1]!orders[[#This Row],[Order Date]])</f>
        <v>2</v>
      </c>
      <c r="O157" t="str" cm="1">
        <f t="array" ref="O157">_xlfn.IFS([1]!orders[[#This Row],[Customer Gender]]="M","Male", [1]!orders[[#This Row],[Customer Gender]]="F","Female", [1]!orders[[#This Row],[Customer Gender]]="O","Other", TRUE,"Unknown")</f>
        <v>Female</v>
      </c>
    </row>
    <row r="158" spans="1:15" x14ac:dyDescent="0.25">
      <c r="A158" s="1" t="s">
        <v>214</v>
      </c>
      <c r="B158" s="1" t="s">
        <v>39</v>
      </c>
      <c r="C158" s="1">
        <v>5</v>
      </c>
      <c r="D158" s="1">
        <v>40.5</v>
      </c>
      <c r="E158" s="1">
        <v>202.5</v>
      </c>
      <c r="F158" s="2">
        <v>45664</v>
      </c>
      <c r="G158" s="2">
        <v>45668</v>
      </c>
      <c r="H158" s="1" t="s">
        <v>12</v>
      </c>
      <c r="I158" s="1" t="s">
        <v>36</v>
      </c>
      <c r="J158" s="1">
        <v>4</v>
      </c>
      <c r="K158" s="1" t="s">
        <v>4</v>
      </c>
      <c r="L158" s="1" t="s">
        <v>40</v>
      </c>
      <c r="M158" s="1">
        <f>[1]!orders[[#This Row],[Ship Date]]-[1]!orders[[#This Row],[Order Date]]</f>
        <v>4</v>
      </c>
      <c r="N158" s="1">
        <f>WEEKNUM([1]!orders[[#This Row],[Order Date]])</f>
        <v>2</v>
      </c>
      <c r="O158" t="str" cm="1">
        <f t="array" ref="O158">_xlfn.IFS([1]!orders[[#This Row],[Customer Gender]]="M","Male", [1]!orders[[#This Row],[Customer Gender]]="F","Female", [1]!orders[[#This Row],[Customer Gender]]="O","Other", TRUE,"Unknown")</f>
        <v>Female</v>
      </c>
    </row>
    <row r="159" spans="1:15" x14ac:dyDescent="0.25">
      <c r="A159" t="s">
        <v>215</v>
      </c>
      <c r="B159" t="s">
        <v>131</v>
      </c>
      <c r="C159">
        <v>14</v>
      </c>
      <c r="D159">
        <v>65.099999999999994</v>
      </c>
      <c r="E159">
        <v>911.39999999999986</v>
      </c>
      <c r="F159" s="3">
        <v>45664</v>
      </c>
      <c r="G159" s="3">
        <v>45665</v>
      </c>
      <c r="H159" t="s">
        <v>12</v>
      </c>
      <c r="I159" t="s">
        <v>55</v>
      </c>
      <c r="J159">
        <v>4</v>
      </c>
      <c r="K159" t="s">
        <v>4</v>
      </c>
      <c r="L159" t="s">
        <v>44</v>
      </c>
      <c r="M159">
        <f>[1]!orders[[#This Row],[Ship Date]]-[1]!orders[[#This Row],[Order Date]]</f>
        <v>1</v>
      </c>
      <c r="N159">
        <f>WEEKNUM([1]!orders[[#This Row],[Order Date]])</f>
        <v>2</v>
      </c>
      <c r="O159" t="str" cm="1">
        <f t="array" ref="O159">_xlfn.IFS([1]!orders[[#This Row],[Customer Gender]]="M","Male", [1]!orders[[#This Row],[Customer Gender]]="F","Female", [1]!orders[[#This Row],[Customer Gender]]="O","Other", TRUE,"Unknown")</f>
        <v>Female</v>
      </c>
    </row>
    <row r="160" spans="1:15" x14ac:dyDescent="0.25">
      <c r="A160" s="1" t="s">
        <v>216</v>
      </c>
      <c r="B160" s="1" t="s">
        <v>29</v>
      </c>
      <c r="C160" s="1">
        <v>4</v>
      </c>
      <c r="D160" s="1">
        <v>40.299999999999997</v>
      </c>
      <c r="E160" s="1">
        <v>161.19999999999999</v>
      </c>
      <c r="F160" s="2">
        <v>45664</v>
      </c>
      <c r="G160" s="2">
        <v>45669</v>
      </c>
      <c r="H160" s="1" t="s">
        <v>12</v>
      </c>
      <c r="I160" s="1" t="s">
        <v>25</v>
      </c>
      <c r="J160" s="1">
        <v>4</v>
      </c>
      <c r="K160" s="1" t="s">
        <v>4</v>
      </c>
      <c r="L160" s="1" t="s">
        <v>44</v>
      </c>
      <c r="M160" s="1">
        <f>[1]!orders[[#This Row],[Ship Date]]-[1]!orders[[#This Row],[Order Date]]</f>
        <v>5</v>
      </c>
      <c r="N160" s="1">
        <f>WEEKNUM([1]!orders[[#This Row],[Order Date]])</f>
        <v>2</v>
      </c>
      <c r="O160" t="str" cm="1">
        <f t="array" ref="O160">_xlfn.IFS([1]!orders[[#This Row],[Customer Gender]]="M","Male", [1]!orders[[#This Row],[Customer Gender]]="F","Female", [1]!orders[[#This Row],[Customer Gender]]="O","Other", TRUE,"Unknown")</f>
        <v>Female</v>
      </c>
    </row>
    <row r="161" spans="1:15" x14ac:dyDescent="0.25">
      <c r="A161" t="s">
        <v>217</v>
      </c>
      <c r="B161" t="s">
        <v>24</v>
      </c>
      <c r="C161">
        <v>5</v>
      </c>
      <c r="D161">
        <v>51.8</v>
      </c>
      <c r="E161">
        <v>259</v>
      </c>
      <c r="F161" s="3">
        <v>45664</v>
      </c>
      <c r="G161" s="3">
        <v>45665</v>
      </c>
      <c r="H161" t="s">
        <v>8</v>
      </c>
      <c r="I161" t="s">
        <v>25</v>
      </c>
      <c r="J161">
        <v>5</v>
      </c>
      <c r="K161" t="s">
        <v>4</v>
      </c>
      <c r="L161" t="s">
        <v>47</v>
      </c>
      <c r="M161">
        <f>[1]!orders[[#This Row],[Ship Date]]-[1]!orders[[#This Row],[Order Date]]</f>
        <v>1</v>
      </c>
      <c r="N161">
        <f>WEEKNUM([1]!orders[[#This Row],[Order Date]])</f>
        <v>2</v>
      </c>
      <c r="O161" t="str" cm="1">
        <f t="array" ref="O161">_xlfn.IFS([1]!orders[[#This Row],[Customer Gender]]="M","Male", [1]!orders[[#This Row],[Customer Gender]]="F","Female", [1]!orders[[#This Row],[Customer Gender]]="O","Other", TRUE,"Unknown")</f>
        <v>Male</v>
      </c>
    </row>
    <row r="162" spans="1:15" x14ac:dyDescent="0.25">
      <c r="A162" s="1" t="s">
        <v>218</v>
      </c>
      <c r="B162" s="1" t="s">
        <v>24</v>
      </c>
      <c r="C162" s="1">
        <v>3</v>
      </c>
      <c r="D162" s="1">
        <v>61.3</v>
      </c>
      <c r="E162" s="1">
        <v>183.89999999999998</v>
      </c>
      <c r="F162" s="2">
        <v>45664</v>
      </c>
      <c r="G162" s="2">
        <v>45665</v>
      </c>
      <c r="H162" s="1" t="s">
        <v>12</v>
      </c>
      <c r="I162" s="1" t="s">
        <v>36</v>
      </c>
      <c r="J162" s="1">
        <v>4</v>
      </c>
      <c r="K162" s="1" t="s">
        <v>4</v>
      </c>
      <c r="L162" s="1" t="s">
        <v>47</v>
      </c>
      <c r="M162" s="1">
        <f>[1]!orders[[#This Row],[Ship Date]]-[1]!orders[[#This Row],[Order Date]]</f>
        <v>1</v>
      </c>
      <c r="N162" s="1">
        <f>WEEKNUM([1]!orders[[#This Row],[Order Date]])</f>
        <v>2</v>
      </c>
      <c r="O162" t="str" cm="1">
        <f t="array" ref="O162">_xlfn.IFS([1]!orders[[#This Row],[Customer Gender]]="M","Male", [1]!orders[[#This Row],[Customer Gender]]="F","Female", [1]!orders[[#This Row],[Customer Gender]]="O","Other", TRUE,"Unknown")</f>
        <v>Female</v>
      </c>
    </row>
    <row r="163" spans="1:15" x14ac:dyDescent="0.25">
      <c r="A163" t="s">
        <v>219</v>
      </c>
      <c r="B163" t="s">
        <v>11</v>
      </c>
      <c r="C163">
        <v>4</v>
      </c>
      <c r="D163">
        <v>122.5</v>
      </c>
      <c r="E163">
        <v>490</v>
      </c>
      <c r="F163" s="3">
        <v>45664</v>
      </c>
      <c r="G163" s="3">
        <v>45665</v>
      </c>
      <c r="H163" t="s">
        <v>8</v>
      </c>
      <c r="I163" t="s">
        <v>3</v>
      </c>
      <c r="J163">
        <v>4</v>
      </c>
      <c r="K163" t="s">
        <v>4</v>
      </c>
      <c r="L163" t="s">
        <v>47</v>
      </c>
      <c r="M163">
        <f>[1]!orders[[#This Row],[Ship Date]]-[1]!orders[[#This Row],[Order Date]]</f>
        <v>1</v>
      </c>
      <c r="N163">
        <f>WEEKNUM([1]!orders[[#This Row],[Order Date]])</f>
        <v>2</v>
      </c>
      <c r="O163" t="str" cm="1">
        <f t="array" ref="O163">_xlfn.IFS([1]!orders[[#This Row],[Customer Gender]]="M","Male", [1]!orders[[#This Row],[Customer Gender]]="F","Female", [1]!orders[[#This Row],[Customer Gender]]="O","Other", TRUE,"Unknown")</f>
        <v>Male</v>
      </c>
    </row>
    <row r="164" spans="1:15" x14ac:dyDescent="0.25">
      <c r="A164" s="1" t="s">
        <v>220</v>
      </c>
      <c r="B164" s="1" t="s">
        <v>1</v>
      </c>
      <c r="C164" s="1">
        <v>9</v>
      </c>
      <c r="D164" s="1">
        <v>12.5</v>
      </c>
      <c r="E164" s="1">
        <v>112.5</v>
      </c>
      <c r="F164" s="2">
        <v>45664</v>
      </c>
      <c r="G164" s="2">
        <v>45665</v>
      </c>
      <c r="H164" s="1" t="s">
        <v>2</v>
      </c>
      <c r="I164" s="1" t="s">
        <v>20</v>
      </c>
      <c r="J164" s="1">
        <v>5</v>
      </c>
      <c r="K164" s="1" t="s">
        <v>4</v>
      </c>
      <c r="L164" s="1" t="s">
        <v>47</v>
      </c>
      <c r="M164" s="1">
        <f>[1]!orders[[#This Row],[Ship Date]]-[1]!orders[[#This Row],[Order Date]]</f>
        <v>1</v>
      </c>
      <c r="N164" s="1">
        <f>WEEKNUM([1]!orders[[#This Row],[Order Date]])</f>
        <v>2</v>
      </c>
      <c r="O164" t="str" cm="1">
        <f t="array" ref="O164">_xlfn.IFS([1]!orders[[#This Row],[Customer Gender]]="M","Male", [1]!orders[[#This Row],[Customer Gender]]="F","Female", [1]!orders[[#This Row],[Customer Gender]]="O","Other", TRUE,"Unknown")</f>
        <v>Unknown</v>
      </c>
    </row>
    <row r="165" spans="1:15" x14ac:dyDescent="0.25">
      <c r="A165" t="s">
        <v>221</v>
      </c>
      <c r="B165" t="s">
        <v>108</v>
      </c>
      <c r="C165">
        <v>8</v>
      </c>
      <c r="D165">
        <v>37.5</v>
      </c>
      <c r="E165">
        <v>300</v>
      </c>
      <c r="F165" s="3">
        <v>45664</v>
      </c>
      <c r="G165" s="3">
        <v>45665</v>
      </c>
      <c r="H165" t="s">
        <v>12</v>
      </c>
      <c r="I165" t="s">
        <v>3</v>
      </c>
      <c r="J165">
        <v>4</v>
      </c>
      <c r="K165" t="s">
        <v>4</v>
      </c>
      <c r="L165" t="s">
        <v>57</v>
      </c>
      <c r="M165">
        <f>[1]!orders[[#This Row],[Ship Date]]-[1]!orders[[#This Row],[Order Date]]</f>
        <v>1</v>
      </c>
      <c r="N165">
        <f>WEEKNUM([1]!orders[[#This Row],[Order Date]])</f>
        <v>2</v>
      </c>
      <c r="O165" t="str" cm="1">
        <f t="array" ref="O165">_xlfn.IFS([1]!orders[[#This Row],[Customer Gender]]="M","Male", [1]!orders[[#This Row],[Customer Gender]]="F","Female", [1]!orders[[#This Row],[Customer Gender]]="O","Other", TRUE,"Unknown")</f>
        <v>Female</v>
      </c>
    </row>
    <row r="166" spans="1:15" x14ac:dyDescent="0.25">
      <c r="A166" s="1" t="s">
        <v>222</v>
      </c>
      <c r="B166" s="1" t="s">
        <v>24</v>
      </c>
      <c r="C166" s="1">
        <v>3</v>
      </c>
      <c r="D166" s="1">
        <v>40</v>
      </c>
      <c r="E166" s="1">
        <v>120</v>
      </c>
      <c r="F166" s="2">
        <v>45664</v>
      </c>
      <c r="G166" s="2">
        <v>45667</v>
      </c>
      <c r="H166" s="1" t="s">
        <v>8</v>
      </c>
      <c r="I166" s="1" t="s">
        <v>3</v>
      </c>
      <c r="J166" s="1">
        <v>2</v>
      </c>
      <c r="K166" s="1" t="s">
        <v>4</v>
      </c>
      <c r="L166" s="1" t="s">
        <v>62</v>
      </c>
      <c r="M166" s="1">
        <f>[1]!orders[[#This Row],[Ship Date]]-[1]!orders[[#This Row],[Order Date]]</f>
        <v>3</v>
      </c>
      <c r="N166" s="1">
        <f>WEEKNUM([1]!orders[[#This Row],[Order Date]])</f>
        <v>2</v>
      </c>
      <c r="O166" t="str" cm="1">
        <f t="array" ref="O166">_xlfn.IFS([1]!orders[[#This Row],[Customer Gender]]="M","Male", [1]!orders[[#This Row],[Customer Gender]]="F","Female", [1]!orders[[#This Row],[Customer Gender]]="O","Other", TRUE,"Unknown")</f>
        <v>Male</v>
      </c>
    </row>
    <row r="167" spans="1:15" x14ac:dyDescent="0.25">
      <c r="A167" t="s">
        <v>223</v>
      </c>
      <c r="B167" t="s">
        <v>120</v>
      </c>
      <c r="C167">
        <v>8</v>
      </c>
      <c r="D167">
        <v>38.5</v>
      </c>
      <c r="E167">
        <v>308</v>
      </c>
      <c r="F167" s="3">
        <v>45664</v>
      </c>
      <c r="G167" s="3">
        <v>45669</v>
      </c>
      <c r="H167" t="s">
        <v>12</v>
      </c>
      <c r="I167" t="s">
        <v>25</v>
      </c>
      <c r="J167">
        <v>3</v>
      </c>
      <c r="K167" t="s">
        <v>4</v>
      </c>
      <c r="L167" t="s">
        <v>62</v>
      </c>
      <c r="M167">
        <f>[1]!orders[[#This Row],[Ship Date]]-[1]!orders[[#This Row],[Order Date]]</f>
        <v>5</v>
      </c>
      <c r="N167">
        <f>WEEKNUM([1]!orders[[#This Row],[Order Date]])</f>
        <v>2</v>
      </c>
      <c r="O167" t="str" cm="1">
        <f t="array" ref="O167">_xlfn.IFS([1]!orders[[#This Row],[Customer Gender]]="M","Male", [1]!orders[[#This Row],[Customer Gender]]="F","Female", [1]!orders[[#This Row],[Customer Gender]]="O","Other", TRUE,"Unknown")</f>
        <v>Female</v>
      </c>
    </row>
    <row r="168" spans="1:15" x14ac:dyDescent="0.25">
      <c r="A168" s="1" t="s">
        <v>224</v>
      </c>
      <c r="B168" s="1" t="s">
        <v>11</v>
      </c>
      <c r="C168" s="1">
        <v>2</v>
      </c>
      <c r="D168" s="1">
        <v>86.4</v>
      </c>
      <c r="E168" s="1">
        <v>172.8</v>
      </c>
      <c r="F168" s="2">
        <v>45664</v>
      </c>
      <c r="G168" s="2">
        <v>45666</v>
      </c>
      <c r="H168" s="1" t="s">
        <v>12</v>
      </c>
      <c r="I168" s="1" t="s">
        <v>3</v>
      </c>
      <c r="J168" s="1">
        <v>4</v>
      </c>
      <c r="K168" s="1" t="s">
        <v>4</v>
      </c>
      <c r="L168" s="1" t="s">
        <v>93</v>
      </c>
      <c r="M168" s="1">
        <f>[1]!orders[[#This Row],[Ship Date]]-[1]!orders[[#This Row],[Order Date]]</f>
        <v>2</v>
      </c>
      <c r="N168" s="1">
        <f>WEEKNUM([1]!orders[[#This Row],[Order Date]])</f>
        <v>2</v>
      </c>
      <c r="O168" t="str" cm="1">
        <f t="array" ref="O168">_xlfn.IFS([1]!orders[[#This Row],[Customer Gender]]="M","Male", [1]!orders[[#This Row],[Customer Gender]]="F","Female", [1]!orders[[#This Row],[Customer Gender]]="O","Other", TRUE,"Unknown")</f>
        <v>Female</v>
      </c>
    </row>
    <row r="169" spans="1:15" x14ac:dyDescent="0.25">
      <c r="A169" t="s">
        <v>225</v>
      </c>
      <c r="B169" t="s">
        <v>39</v>
      </c>
      <c r="C169">
        <v>1</v>
      </c>
      <c r="D169">
        <v>50.7</v>
      </c>
      <c r="E169">
        <v>50.7</v>
      </c>
      <c r="F169" s="3">
        <v>45664</v>
      </c>
      <c r="G169" s="3">
        <v>45668</v>
      </c>
      <c r="H169" t="s">
        <v>12</v>
      </c>
      <c r="I169" t="s">
        <v>20</v>
      </c>
      <c r="J169">
        <v>4</v>
      </c>
      <c r="K169" t="s">
        <v>4</v>
      </c>
      <c r="L169" t="s">
        <v>93</v>
      </c>
      <c r="M169">
        <f>[1]!orders[[#This Row],[Ship Date]]-[1]!orders[[#This Row],[Order Date]]</f>
        <v>4</v>
      </c>
      <c r="N169">
        <f>WEEKNUM([1]!orders[[#This Row],[Order Date]])</f>
        <v>2</v>
      </c>
      <c r="O169" t="str" cm="1">
        <f t="array" ref="O169">_xlfn.IFS([1]!orders[[#This Row],[Customer Gender]]="M","Male", [1]!orders[[#This Row],[Customer Gender]]="F","Female", [1]!orders[[#This Row],[Customer Gender]]="O","Other", TRUE,"Unknown")</f>
        <v>Female</v>
      </c>
    </row>
    <row r="170" spans="1:15" x14ac:dyDescent="0.25">
      <c r="A170" s="1" t="s">
        <v>226</v>
      </c>
      <c r="B170" s="1" t="s">
        <v>39</v>
      </c>
      <c r="C170" s="1">
        <v>2</v>
      </c>
      <c r="D170" s="1">
        <v>61</v>
      </c>
      <c r="E170" s="1">
        <v>122</v>
      </c>
      <c r="F170" s="2">
        <v>45664</v>
      </c>
      <c r="G170" s="2">
        <v>45675</v>
      </c>
      <c r="H170" s="1" t="s">
        <v>12</v>
      </c>
      <c r="I170" s="1" t="s">
        <v>55</v>
      </c>
      <c r="J170" s="1">
        <v>3</v>
      </c>
      <c r="K170" s="1" t="s">
        <v>4</v>
      </c>
      <c r="L170" s="1" t="s">
        <v>93</v>
      </c>
      <c r="M170" s="1">
        <f>[1]!orders[[#This Row],[Ship Date]]-[1]!orders[[#This Row],[Order Date]]</f>
        <v>11</v>
      </c>
      <c r="N170" s="1">
        <f>WEEKNUM([1]!orders[[#This Row],[Order Date]])</f>
        <v>2</v>
      </c>
      <c r="O170" t="str" cm="1">
        <f t="array" ref="O170">_xlfn.IFS([1]!orders[[#This Row],[Customer Gender]]="M","Male", [1]!orders[[#This Row],[Customer Gender]]="F","Female", [1]!orders[[#This Row],[Customer Gender]]="O","Other", TRUE,"Unknown")</f>
        <v>Female</v>
      </c>
    </row>
    <row r="171" spans="1:15" x14ac:dyDescent="0.25">
      <c r="A171" t="s">
        <v>227</v>
      </c>
      <c r="B171" t="s">
        <v>17</v>
      </c>
      <c r="C171">
        <v>2</v>
      </c>
      <c r="D171">
        <v>19.899999999999999</v>
      </c>
      <c r="E171">
        <v>39.799999999999997</v>
      </c>
      <c r="F171" s="3">
        <v>45664</v>
      </c>
      <c r="G171" s="3">
        <v>45667</v>
      </c>
      <c r="H171" t="s">
        <v>12</v>
      </c>
      <c r="I171" t="s">
        <v>20</v>
      </c>
      <c r="J171">
        <v>4</v>
      </c>
      <c r="K171" t="s">
        <v>4</v>
      </c>
      <c r="L171" t="s">
        <v>228</v>
      </c>
      <c r="M171">
        <f>[1]!orders[[#This Row],[Ship Date]]-[1]!orders[[#This Row],[Order Date]]</f>
        <v>3</v>
      </c>
      <c r="N171">
        <f>WEEKNUM([1]!orders[[#This Row],[Order Date]])</f>
        <v>2</v>
      </c>
      <c r="O171" t="str" cm="1">
        <f t="array" ref="O171">_xlfn.IFS([1]!orders[[#This Row],[Customer Gender]]="M","Male", [1]!orders[[#This Row],[Customer Gender]]="F","Female", [1]!orders[[#This Row],[Customer Gender]]="O","Other", TRUE,"Unknown")</f>
        <v>Female</v>
      </c>
    </row>
    <row r="172" spans="1:15" x14ac:dyDescent="0.25">
      <c r="A172" s="1" t="s">
        <v>229</v>
      </c>
      <c r="B172" s="1" t="s">
        <v>22</v>
      </c>
      <c r="C172" s="1">
        <v>1</v>
      </c>
      <c r="D172" s="1">
        <v>78.3</v>
      </c>
      <c r="E172" s="1">
        <v>78.3</v>
      </c>
      <c r="F172" s="2">
        <v>45664</v>
      </c>
      <c r="G172" s="2">
        <v>45664</v>
      </c>
      <c r="H172" s="1" t="s">
        <v>12</v>
      </c>
      <c r="I172" s="1" t="s">
        <v>3</v>
      </c>
      <c r="J172" s="1">
        <v>5</v>
      </c>
      <c r="K172" s="1" t="s">
        <v>4</v>
      </c>
      <c r="L172" s="1" t="s">
        <v>9</v>
      </c>
      <c r="M172" s="1">
        <f>[1]!orders[[#This Row],[Ship Date]]-[1]!orders[[#This Row],[Order Date]]</f>
        <v>0</v>
      </c>
      <c r="N172" s="1">
        <f>WEEKNUM([1]!orders[[#This Row],[Order Date]])</f>
        <v>2</v>
      </c>
      <c r="O172" t="str" cm="1">
        <f t="array" ref="O172">_xlfn.IFS([1]!orders[[#This Row],[Customer Gender]]="M","Male", [1]!orders[[#This Row],[Customer Gender]]="F","Female", [1]!orders[[#This Row],[Customer Gender]]="O","Other", TRUE,"Unknown")</f>
        <v>Female</v>
      </c>
    </row>
    <row r="173" spans="1:15" x14ac:dyDescent="0.25">
      <c r="A173" t="s">
        <v>230</v>
      </c>
      <c r="B173" t="s">
        <v>1</v>
      </c>
      <c r="C173">
        <v>19</v>
      </c>
      <c r="D173">
        <v>10.4</v>
      </c>
      <c r="E173">
        <v>197.6</v>
      </c>
      <c r="F173" s="3">
        <v>45664</v>
      </c>
      <c r="G173" s="3">
        <v>45666</v>
      </c>
      <c r="H173" t="s">
        <v>8</v>
      </c>
      <c r="I173" t="s">
        <v>3</v>
      </c>
      <c r="J173">
        <v>5</v>
      </c>
      <c r="K173" t="s">
        <v>4</v>
      </c>
      <c r="L173" t="s">
        <v>13</v>
      </c>
      <c r="M173">
        <f>[1]!orders[[#This Row],[Ship Date]]-[1]!orders[[#This Row],[Order Date]]</f>
        <v>2</v>
      </c>
      <c r="N173">
        <f>WEEKNUM([1]!orders[[#This Row],[Order Date]])</f>
        <v>2</v>
      </c>
      <c r="O173" t="str" cm="1">
        <f t="array" ref="O173">_xlfn.IFS([1]!orders[[#This Row],[Customer Gender]]="M","Male", [1]!orders[[#This Row],[Customer Gender]]="F","Female", [1]!orders[[#This Row],[Customer Gender]]="O","Other", TRUE,"Unknown")</f>
        <v>Male</v>
      </c>
    </row>
    <row r="174" spans="1:15" x14ac:dyDescent="0.25">
      <c r="A174" s="1" t="s">
        <v>231</v>
      </c>
      <c r="B174" s="1" t="s">
        <v>39</v>
      </c>
      <c r="C174" s="1">
        <v>1</v>
      </c>
      <c r="D174" s="1">
        <v>36.1</v>
      </c>
      <c r="E174" s="1">
        <v>36.1</v>
      </c>
      <c r="F174" s="2">
        <v>45664</v>
      </c>
      <c r="G174" s="2">
        <v>45667</v>
      </c>
      <c r="H174" s="1" t="s">
        <v>8</v>
      </c>
      <c r="I174" s="1" t="s">
        <v>36</v>
      </c>
      <c r="J174" s="1">
        <v>5</v>
      </c>
      <c r="K174" s="1" t="s">
        <v>4</v>
      </c>
      <c r="L174" s="1" t="s">
        <v>18</v>
      </c>
      <c r="M174" s="1">
        <f>[1]!orders[[#This Row],[Ship Date]]-[1]!orders[[#This Row],[Order Date]]</f>
        <v>3</v>
      </c>
      <c r="N174" s="1">
        <f>WEEKNUM([1]!orders[[#This Row],[Order Date]])</f>
        <v>2</v>
      </c>
      <c r="O174" t="str" cm="1">
        <f t="array" ref="O174">_xlfn.IFS([1]!orders[[#This Row],[Customer Gender]]="M","Male", [1]!orders[[#This Row],[Customer Gender]]="F","Female", [1]!orders[[#This Row],[Customer Gender]]="O","Other", TRUE,"Unknown")</f>
        <v>Male</v>
      </c>
    </row>
    <row r="175" spans="1:15" x14ac:dyDescent="0.25">
      <c r="A175" t="s">
        <v>232</v>
      </c>
      <c r="B175" t="s">
        <v>66</v>
      </c>
      <c r="C175">
        <v>2</v>
      </c>
      <c r="D175">
        <v>17.3</v>
      </c>
      <c r="E175">
        <v>34.6</v>
      </c>
      <c r="F175" s="3">
        <v>45664</v>
      </c>
      <c r="G175" s="3">
        <v>45666</v>
      </c>
      <c r="H175" t="s">
        <v>12</v>
      </c>
      <c r="I175" t="s">
        <v>20</v>
      </c>
      <c r="J175">
        <v>5</v>
      </c>
      <c r="K175" t="s">
        <v>4</v>
      </c>
      <c r="L175" t="s">
        <v>18</v>
      </c>
      <c r="M175">
        <f>[1]!orders[[#This Row],[Ship Date]]-[1]!orders[[#This Row],[Order Date]]</f>
        <v>2</v>
      </c>
      <c r="N175">
        <f>WEEKNUM([1]!orders[[#This Row],[Order Date]])</f>
        <v>2</v>
      </c>
      <c r="O175" t="str" cm="1">
        <f t="array" ref="O175">_xlfn.IFS([1]!orders[[#This Row],[Customer Gender]]="M","Male", [1]!orders[[#This Row],[Customer Gender]]="F","Female", [1]!orders[[#This Row],[Customer Gender]]="O","Other", TRUE,"Unknown")</f>
        <v>Female</v>
      </c>
    </row>
    <row r="176" spans="1:15" x14ac:dyDescent="0.25">
      <c r="A176" s="1" t="s">
        <v>233</v>
      </c>
      <c r="B176" s="1" t="s">
        <v>39</v>
      </c>
      <c r="C176" s="1">
        <v>2</v>
      </c>
      <c r="D176" s="1">
        <v>30.5</v>
      </c>
      <c r="E176" s="1">
        <v>61</v>
      </c>
      <c r="F176" s="2">
        <v>45664</v>
      </c>
      <c r="G176" s="2">
        <v>45665</v>
      </c>
      <c r="H176" s="1" t="s">
        <v>12</v>
      </c>
      <c r="I176" s="1" t="s">
        <v>20</v>
      </c>
      <c r="J176" s="1">
        <v>5</v>
      </c>
      <c r="K176" s="1" t="s">
        <v>4</v>
      </c>
      <c r="L176" s="1" t="s">
        <v>18</v>
      </c>
      <c r="M176" s="1">
        <f>[1]!orders[[#This Row],[Ship Date]]-[1]!orders[[#This Row],[Order Date]]</f>
        <v>1</v>
      </c>
      <c r="N176" s="1">
        <f>WEEKNUM([1]!orders[[#This Row],[Order Date]])</f>
        <v>2</v>
      </c>
      <c r="O176" t="str" cm="1">
        <f t="array" ref="O176">_xlfn.IFS([1]!orders[[#This Row],[Customer Gender]]="M","Male", [1]!orders[[#This Row],[Customer Gender]]="F","Female", [1]!orders[[#This Row],[Customer Gender]]="O","Other", TRUE,"Unknown")</f>
        <v>Female</v>
      </c>
    </row>
    <row r="177" spans="1:15" x14ac:dyDescent="0.25">
      <c r="A177" t="s">
        <v>234</v>
      </c>
      <c r="B177" t="s">
        <v>131</v>
      </c>
      <c r="C177">
        <v>62</v>
      </c>
      <c r="D177">
        <v>70.099999999999994</v>
      </c>
      <c r="E177">
        <v>4346.2</v>
      </c>
      <c r="F177" s="3">
        <v>45664</v>
      </c>
      <c r="G177" s="3">
        <v>45664</v>
      </c>
      <c r="H177" t="s">
        <v>12</v>
      </c>
      <c r="I177" t="s">
        <v>25</v>
      </c>
      <c r="J177">
        <v>4</v>
      </c>
      <c r="K177" t="s">
        <v>4</v>
      </c>
      <c r="L177" t="s">
        <v>18</v>
      </c>
      <c r="M177">
        <f>[1]!orders[[#This Row],[Ship Date]]-[1]!orders[[#This Row],[Order Date]]</f>
        <v>0</v>
      </c>
      <c r="N177">
        <f>WEEKNUM([1]!orders[[#This Row],[Order Date]])</f>
        <v>2</v>
      </c>
      <c r="O177" t="str" cm="1">
        <f t="array" ref="O177">_xlfn.IFS([1]!orders[[#This Row],[Customer Gender]]="M","Male", [1]!orders[[#This Row],[Customer Gender]]="F","Female", [1]!orders[[#This Row],[Customer Gender]]="O","Other", TRUE,"Unknown")</f>
        <v>Female</v>
      </c>
    </row>
    <row r="178" spans="1:15" x14ac:dyDescent="0.25">
      <c r="A178" s="1" t="s">
        <v>235</v>
      </c>
      <c r="B178" s="1" t="s">
        <v>15</v>
      </c>
      <c r="C178" s="1">
        <v>1</v>
      </c>
      <c r="D178" s="1">
        <v>76.099999999999994</v>
      </c>
      <c r="E178" s="1">
        <v>76.099999999999994</v>
      </c>
      <c r="F178" s="2">
        <v>45664</v>
      </c>
      <c r="G178" s="2">
        <v>45664</v>
      </c>
      <c r="H178" s="1" t="s">
        <v>12</v>
      </c>
      <c r="I178" s="1" t="s">
        <v>25</v>
      </c>
      <c r="J178" s="1">
        <v>3</v>
      </c>
      <c r="K178" s="1" t="s">
        <v>4</v>
      </c>
      <c r="L178" s="1" t="s">
        <v>18</v>
      </c>
      <c r="M178" s="1">
        <f>[1]!orders[[#This Row],[Ship Date]]-[1]!orders[[#This Row],[Order Date]]</f>
        <v>0</v>
      </c>
      <c r="N178" s="1">
        <f>WEEKNUM([1]!orders[[#This Row],[Order Date]])</f>
        <v>2</v>
      </c>
      <c r="O178" t="str" cm="1">
        <f t="array" ref="O178">_xlfn.IFS([1]!orders[[#This Row],[Customer Gender]]="M","Male", [1]!orders[[#This Row],[Customer Gender]]="F","Female", [1]!orders[[#This Row],[Customer Gender]]="O","Other", TRUE,"Unknown")</f>
        <v>Female</v>
      </c>
    </row>
    <row r="179" spans="1:15" x14ac:dyDescent="0.25">
      <c r="A179" t="s">
        <v>236</v>
      </c>
      <c r="B179" t="s">
        <v>108</v>
      </c>
      <c r="C179">
        <v>13</v>
      </c>
      <c r="D179">
        <v>34.200000000000003</v>
      </c>
      <c r="E179">
        <v>444.6</v>
      </c>
      <c r="F179" s="3">
        <v>45664</v>
      </c>
      <c r="G179" s="3">
        <v>45665</v>
      </c>
      <c r="H179" t="s">
        <v>8</v>
      </c>
      <c r="I179" t="s">
        <v>3</v>
      </c>
      <c r="J179">
        <v>4</v>
      </c>
      <c r="K179" t="s">
        <v>4</v>
      </c>
      <c r="L179" t="s">
        <v>18</v>
      </c>
      <c r="M179">
        <f>[1]!orders[[#This Row],[Ship Date]]-[1]!orders[[#This Row],[Order Date]]</f>
        <v>1</v>
      </c>
      <c r="N179">
        <f>WEEKNUM([1]!orders[[#This Row],[Order Date]])</f>
        <v>2</v>
      </c>
      <c r="O179" t="str" cm="1">
        <f t="array" ref="O179">_xlfn.IFS([1]!orders[[#This Row],[Customer Gender]]="M","Male", [1]!orders[[#This Row],[Customer Gender]]="F","Female", [1]!orders[[#This Row],[Customer Gender]]="O","Other", TRUE,"Unknown")</f>
        <v>Male</v>
      </c>
    </row>
    <row r="180" spans="1:15" x14ac:dyDescent="0.25">
      <c r="A180" s="1" t="s">
        <v>237</v>
      </c>
      <c r="B180" s="1" t="s">
        <v>29</v>
      </c>
      <c r="C180" s="1">
        <v>5</v>
      </c>
      <c r="D180" s="1">
        <v>30.3</v>
      </c>
      <c r="E180" s="1">
        <v>151.5</v>
      </c>
      <c r="F180" s="2">
        <v>45664</v>
      </c>
      <c r="G180" s="2">
        <v>45669</v>
      </c>
      <c r="H180" s="1" t="s">
        <v>12</v>
      </c>
      <c r="I180" s="1" t="s">
        <v>55</v>
      </c>
      <c r="J180" s="1">
        <v>4</v>
      </c>
      <c r="K180" s="1" t="s">
        <v>4</v>
      </c>
      <c r="L180" s="1" t="s">
        <v>18</v>
      </c>
      <c r="M180" s="1">
        <f>[1]!orders[[#This Row],[Ship Date]]-[1]!orders[[#This Row],[Order Date]]</f>
        <v>5</v>
      </c>
      <c r="N180" s="1">
        <f>WEEKNUM([1]!orders[[#This Row],[Order Date]])</f>
        <v>2</v>
      </c>
      <c r="O180" t="str" cm="1">
        <f t="array" ref="O180">_xlfn.IFS([1]!orders[[#This Row],[Customer Gender]]="M","Male", [1]!orders[[#This Row],[Customer Gender]]="F","Female", [1]!orders[[#This Row],[Customer Gender]]="O","Other", TRUE,"Unknown")</f>
        <v>Female</v>
      </c>
    </row>
    <row r="181" spans="1:15" x14ac:dyDescent="0.25">
      <c r="A181" t="s">
        <v>238</v>
      </c>
      <c r="B181" t="s">
        <v>24</v>
      </c>
      <c r="C181">
        <v>5</v>
      </c>
      <c r="D181">
        <v>52.5</v>
      </c>
      <c r="E181">
        <v>262.5</v>
      </c>
      <c r="F181" s="3">
        <v>45664</v>
      </c>
      <c r="G181" s="3">
        <v>45668</v>
      </c>
      <c r="H181" t="s">
        <v>2</v>
      </c>
      <c r="I181" t="s">
        <v>36</v>
      </c>
      <c r="J181">
        <v>4</v>
      </c>
      <c r="K181" t="s">
        <v>4</v>
      </c>
      <c r="L181" t="s">
        <v>18</v>
      </c>
      <c r="M181">
        <f>[1]!orders[[#This Row],[Ship Date]]-[1]!orders[[#This Row],[Order Date]]</f>
        <v>4</v>
      </c>
      <c r="N181">
        <f>WEEKNUM([1]!orders[[#This Row],[Order Date]])</f>
        <v>2</v>
      </c>
      <c r="O181" t="str" cm="1">
        <f t="array" ref="O181">_xlfn.IFS([1]!orders[[#This Row],[Customer Gender]]="M","Male", [1]!orders[[#This Row],[Customer Gender]]="F","Female", [1]!orders[[#This Row],[Customer Gender]]="O","Other", TRUE,"Unknown")</f>
        <v>Unknown</v>
      </c>
    </row>
    <row r="182" spans="1:15" x14ac:dyDescent="0.25">
      <c r="A182" s="1" t="s">
        <v>239</v>
      </c>
      <c r="B182" s="1" t="s">
        <v>31</v>
      </c>
      <c r="C182" s="1">
        <v>11</v>
      </c>
      <c r="D182" s="1">
        <v>28.7</v>
      </c>
      <c r="E182" s="1">
        <v>315.7</v>
      </c>
      <c r="F182" s="2">
        <v>45664</v>
      </c>
      <c r="G182" s="2">
        <v>45665</v>
      </c>
      <c r="H182" s="1" t="s">
        <v>12</v>
      </c>
      <c r="I182" s="1" t="s">
        <v>25</v>
      </c>
      <c r="J182" s="1">
        <v>4</v>
      </c>
      <c r="K182" s="1" t="s">
        <v>4</v>
      </c>
      <c r="L182" s="1" t="s">
        <v>18</v>
      </c>
      <c r="M182" s="1">
        <f>[1]!orders[[#This Row],[Ship Date]]-[1]!orders[[#This Row],[Order Date]]</f>
        <v>1</v>
      </c>
      <c r="N182" s="1">
        <f>WEEKNUM([1]!orders[[#This Row],[Order Date]])</f>
        <v>2</v>
      </c>
      <c r="O182" t="str" cm="1">
        <f t="array" ref="O182">_xlfn.IFS([1]!orders[[#This Row],[Customer Gender]]="M","Male", [1]!orders[[#This Row],[Customer Gender]]="F","Female", [1]!orders[[#This Row],[Customer Gender]]="O","Other", TRUE,"Unknown")</f>
        <v>Female</v>
      </c>
    </row>
    <row r="183" spans="1:15" x14ac:dyDescent="0.25">
      <c r="A183" t="s">
        <v>240</v>
      </c>
      <c r="B183" t="s">
        <v>27</v>
      </c>
      <c r="C183">
        <v>7</v>
      </c>
      <c r="D183">
        <v>52</v>
      </c>
      <c r="E183">
        <v>364</v>
      </c>
      <c r="F183" s="3">
        <v>45664</v>
      </c>
      <c r="G183" s="3">
        <v>45665</v>
      </c>
      <c r="H183" t="s">
        <v>8</v>
      </c>
      <c r="I183" t="s">
        <v>20</v>
      </c>
      <c r="J183">
        <v>2</v>
      </c>
      <c r="K183" t="s">
        <v>4</v>
      </c>
      <c r="L183" t="s">
        <v>18</v>
      </c>
      <c r="M183">
        <f>[1]!orders[[#This Row],[Ship Date]]-[1]!orders[[#This Row],[Order Date]]</f>
        <v>1</v>
      </c>
      <c r="N183">
        <f>WEEKNUM([1]!orders[[#This Row],[Order Date]])</f>
        <v>2</v>
      </c>
      <c r="O183" t="str" cm="1">
        <f t="array" ref="O183">_xlfn.IFS([1]!orders[[#This Row],[Customer Gender]]="M","Male", [1]!orders[[#This Row],[Customer Gender]]="F","Female", [1]!orders[[#This Row],[Customer Gender]]="O","Other", TRUE,"Unknown")</f>
        <v>Male</v>
      </c>
    </row>
    <row r="184" spans="1:15" x14ac:dyDescent="0.25">
      <c r="A184" s="1" t="s">
        <v>241</v>
      </c>
      <c r="B184" s="1" t="s">
        <v>1</v>
      </c>
      <c r="C184" s="1">
        <v>1</v>
      </c>
      <c r="D184" s="1">
        <v>13.3</v>
      </c>
      <c r="E184" s="1">
        <v>13.3</v>
      </c>
      <c r="F184" s="2">
        <v>45665</v>
      </c>
      <c r="G184" s="2">
        <v>45669</v>
      </c>
      <c r="H184" s="1" t="s">
        <v>12</v>
      </c>
      <c r="I184" s="1" t="s">
        <v>25</v>
      </c>
      <c r="J184" s="1">
        <v>3</v>
      </c>
      <c r="K184" s="1" t="s">
        <v>4</v>
      </c>
      <c r="L184" s="1" t="s">
        <v>18</v>
      </c>
      <c r="M184" s="1">
        <f>[1]!orders[[#This Row],[Ship Date]]-[1]!orders[[#This Row],[Order Date]]</f>
        <v>4</v>
      </c>
      <c r="N184" s="1">
        <f>WEEKNUM([1]!orders[[#This Row],[Order Date]])</f>
        <v>2</v>
      </c>
      <c r="O184" t="str" cm="1">
        <f t="array" ref="O184">_xlfn.IFS([1]!orders[[#This Row],[Customer Gender]]="M","Male", [1]!orders[[#This Row],[Customer Gender]]="F","Female", [1]!orders[[#This Row],[Customer Gender]]="O","Other", TRUE,"Unknown")</f>
        <v>Female</v>
      </c>
    </row>
    <row r="185" spans="1:15" x14ac:dyDescent="0.25">
      <c r="A185" t="s">
        <v>242</v>
      </c>
      <c r="B185" t="s">
        <v>1</v>
      </c>
      <c r="C185">
        <v>3</v>
      </c>
      <c r="D185">
        <v>15.7</v>
      </c>
      <c r="E185">
        <v>47.099999999999994</v>
      </c>
      <c r="F185" s="3">
        <v>45665</v>
      </c>
      <c r="G185" s="3">
        <v>45666</v>
      </c>
      <c r="H185" t="s">
        <v>12</v>
      </c>
      <c r="I185" t="s">
        <v>20</v>
      </c>
      <c r="J185">
        <v>4</v>
      </c>
      <c r="K185" t="s">
        <v>4</v>
      </c>
      <c r="L185" t="s">
        <v>243</v>
      </c>
      <c r="M185">
        <f>[1]!orders[[#This Row],[Ship Date]]-[1]!orders[[#This Row],[Order Date]]</f>
        <v>1</v>
      </c>
      <c r="N185">
        <f>WEEKNUM([1]!orders[[#This Row],[Order Date]])</f>
        <v>2</v>
      </c>
      <c r="O185" t="str" cm="1">
        <f t="array" ref="O185">_xlfn.IFS([1]!orders[[#This Row],[Customer Gender]]="M","Male", [1]!orders[[#This Row],[Customer Gender]]="F","Female", [1]!orders[[#This Row],[Customer Gender]]="O","Other", TRUE,"Unknown")</f>
        <v>Female</v>
      </c>
    </row>
    <row r="186" spans="1:15" x14ac:dyDescent="0.25">
      <c r="A186" s="1" t="s">
        <v>244</v>
      </c>
      <c r="B186" s="1" t="s">
        <v>29</v>
      </c>
      <c r="C186" s="1">
        <v>2</v>
      </c>
      <c r="D186" s="1">
        <v>25.6</v>
      </c>
      <c r="E186" s="1">
        <v>51.2</v>
      </c>
      <c r="F186" s="2">
        <v>45665</v>
      </c>
      <c r="G186" s="2">
        <v>45666</v>
      </c>
      <c r="H186" s="1" t="s">
        <v>8</v>
      </c>
      <c r="I186" s="1" t="s">
        <v>3</v>
      </c>
      <c r="J186" s="1">
        <v>5</v>
      </c>
      <c r="K186" s="1" t="s">
        <v>4</v>
      </c>
      <c r="L186" s="1" t="s">
        <v>143</v>
      </c>
      <c r="M186" s="1">
        <f>[1]!orders[[#This Row],[Ship Date]]-[1]!orders[[#This Row],[Order Date]]</f>
        <v>1</v>
      </c>
      <c r="N186" s="1">
        <f>WEEKNUM([1]!orders[[#This Row],[Order Date]])</f>
        <v>2</v>
      </c>
      <c r="O186" t="str" cm="1">
        <f t="array" ref="O186">_xlfn.IFS([1]!orders[[#This Row],[Customer Gender]]="M","Male", [1]!orders[[#This Row],[Customer Gender]]="F","Female", [1]!orders[[#This Row],[Customer Gender]]="O","Other", TRUE,"Unknown")</f>
        <v>Male</v>
      </c>
    </row>
    <row r="187" spans="1:15" x14ac:dyDescent="0.25">
      <c r="A187" t="s">
        <v>245</v>
      </c>
      <c r="B187" t="s">
        <v>29</v>
      </c>
      <c r="C187">
        <v>1</v>
      </c>
      <c r="D187">
        <v>43.4</v>
      </c>
      <c r="E187">
        <v>43.4</v>
      </c>
      <c r="F187" s="3">
        <v>45665</v>
      </c>
      <c r="G187" s="3">
        <v>45670</v>
      </c>
      <c r="H187" t="s">
        <v>8</v>
      </c>
      <c r="I187" t="s">
        <v>3</v>
      </c>
      <c r="J187">
        <v>4</v>
      </c>
      <c r="K187" t="s">
        <v>4</v>
      </c>
      <c r="L187" t="s">
        <v>40</v>
      </c>
      <c r="M187">
        <f>[1]!orders[[#This Row],[Ship Date]]-[1]!orders[[#This Row],[Order Date]]</f>
        <v>5</v>
      </c>
      <c r="N187">
        <f>WEEKNUM([1]!orders[[#This Row],[Order Date]])</f>
        <v>2</v>
      </c>
      <c r="O187" t="str" cm="1">
        <f t="array" ref="O187">_xlfn.IFS([1]!orders[[#This Row],[Customer Gender]]="M","Male", [1]!orders[[#This Row],[Customer Gender]]="F","Female", [1]!orders[[#This Row],[Customer Gender]]="O","Other", TRUE,"Unknown")</f>
        <v>Male</v>
      </c>
    </row>
    <row r="188" spans="1:15" x14ac:dyDescent="0.25">
      <c r="A188" s="1" t="s">
        <v>246</v>
      </c>
      <c r="B188" s="1" t="s">
        <v>52</v>
      </c>
      <c r="C188" s="1">
        <v>9</v>
      </c>
      <c r="D188" s="1">
        <v>33.4</v>
      </c>
      <c r="E188" s="1">
        <v>300.59999999999997</v>
      </c>
      <c r="F188" s="2">
        <v>45665</v>
      </c>
      <c r="G188" s="2">
        <v>45665</v>
      </c>
      <c r="H188" s="1" t="s">
        <v>12</v>
      </c>
      <c r="I188" s="1" t="s">
        <v>3</v>
      </c>
      <c r="J188" s="1">
        <v>4</v>
      </c>
      <c r="K188" s="1" t="s">
        <v>4</v>
      </c>
      <c r="L188" s="1" t="s">
        <v>47</v>
      </c>
      <c r="M188" s="1">
        <f>[1]!orders[[#This Row],[Ship Date]]-[1]!orders[[#This Row],[Order Date]]</f>
        <v>0</v>
      </c>
      <c r="N188" s="1">
        <f>WEEKNUM([1]!orders[[#This Row],[Order Date]])</f>
        <v>2</v>
      </c>
      <c r="O188" t="str" cm="1">
        <f t="array" ref="O188">_xlfn.IFS([1]!orders[[#This Row],[Customer Gender]]="M","Male", [1]!orders[[#This Row],[Customer Gender]]="F","Female", [1]!orders[[#This Row],[Customer Gender]]="O","Other", TRUE,"Unknown")</f>
        <v>Female</v>
      </c>
    </row>
    <row r="189" spans="1:15" x14ac:dyDescent="0.25">
      <c r="A189" t="s">
        <v>247</v>
      </c>
      <c r="B189" t="s">
        <v>29</v>
      </c>
      <c r="C189">
        <v>19</v>
      </c>
      <c r="D189">
        <v>55</v>
      </c>
      <c r="E189">
        <v>1045</v>
      </c>
      <c r="F189" s="3">
        <v>45665</v>
      </c>
      <c r="G189" s="3">
        <v>45666</v>
      </c>
      <c r="H189" t="s">
        <v>12</v>
      </c>
      <c r="I189" t="s">
        <v>20</v>
      </c>
      <c r="J189">
        <v>5</v>
      </c>
      <c r="K189" t="s">
        <v>4</v>
      </c>
      <c r="L189" t="s">
        <v>47</v>
      </c>
      <c r="M189">
        <f>[1]!orders[[#This Row],[Ship Date]]-[1]!orders[[#This Row],[Order Date]]</f>
        <v>1</v>
      </c>
      <c r="N189">
        <f>WEEKNUM([1]!orders[[#This Row],[Order Date]])</f>
        <v>2</v>
      </c>
      <c r="O189" t="str" cm="1">
        <f t="array" ref="O189">_xlfn.IFS([1]!orders[[#This Row],[Customer Gender]]="M","Male", [1]!orders[[#This Row],[Customer Gender]]="F","Female", [1]!orders[[#This Row],[Customer Gender]]="O","Other", TRUE,"Unknown")</f>
        <v>Female</v>
      </c>
    </row>
    <row r="190" spans="1:15" x14ac:dyDescent="0.25">
      <c r="A190" s="1" t="s">
        <v>248</v>
      </c>
      <c r="B190" s="1" t="s">
        <v>29</v>
      </c>
      <c r="C190" s="1">
        <v>3</v>
      </c>
      <c r="D190" s="1">
        <v>23.6</v>
      </c>
      <c r="E190" s="1">
        <v>70.800000000000011</v>
      </c>
      <c r="F190" s="2">
        <v>45665</v>
      </c>
      <c r="G190" s="2">
        <v>45666</v>
      </c>
      <c r="H190" s="1" t="s">
        <v>8</v>
      </c>
      <c r="I190" s="1" t="s">
        <v>3</v>
      </c>
      <c r="J190" s="1">
        <v>5</v>
      </c>
      <c r="K190" s="1" t="s">
        <v>4</v>
      </c>
      <c r="L190" s="1" t="s">
        <v>47</v>
      </c>
      <c r="M190" s="1">
        <f>[1]!orders[[#This Row],[Ship Date]]-[1]!orders[[#This Row],[Order Date]]</f>
        <v>1</v>
      </c>
      <c r="N190" s="1">
        <f>WEEKNUM([1]!orders[[#This Row],[Order Date]])</f>
        <v>2</v>
      </c>
      <c r="O190" t="str" cm="1">
        <f t="array" ref="O190">_xlfn.IFS([1]!orders[[#This Row],[Customer Gender]]="M","Male", [1]!orders[[#This Row],[Customer Gender]]="F","Female", [1]!orders[[#This Row],[Customer Gender]]="O","Other", TRUE,"Unknown")</f>
        <v>Male</v>
      </c>
    </row>
    <row r="191" spans="1:15" x14ac:dyDescent="0.25">
      <c r="A191" t="s">
        <v>249</v>
      </c>
      <c r="B191" t="s">
        <v>54</v>
      </c>
      <c r="C191">
        <v>9</v>
      </c>
      <c r="D191">
        <v>104</v>
      </c>
      <c r="E191">
        <v>936</v>
      </c>
      <c r="F191" s="3">
        <v>45665</v>
      </c>
      <c r="G191" s="3">
        <v>45667</v>
      </c>
      <c r="H191" t="s">
        <v>12</v>
      </c>
      <c r="I191" t="s">
        <v>25</v>
      </c>
      <c r="J191">
        <v>5</v>
      </c>
      <c r="K191" t="s">
        <v>4</v>
      </c>
      <c r="L191" t="s">
        <v>88</v>
      </c>
      <c r="M191">
        <f>[1]!orders[[#This Row],[Ship Date]]-[1]!orders[[#This Row],[Order Date]]</f>
        <v>2</v>
      </c>
      <c r="N191">
        <f>WEEKNUM([1]!orders[[#This Row],[Order Date]])</f>
        <v>2</v>
      </c>
      <c r="O191" t="str" cm="1">
        <f t="array" ref="O191">_xlfn.IFS([1]!orders[[#This Row],[Customer Gender]]="M","Male", [1]!orders[[#This Row],[Customer Gender]]="F","Female", [1]!orders[[#This Row],[Customer Gender]]="O","Other", TRUE,"Unknown")</f>
        <v>Female</v>
      </c>
    </row>
    <row r="192" spans="1:15" x14ac:dyDescent="0.25">
      <c r="A192" s="1" t="s">
        <v>250</v>
      </c>
      <c r="B192" s="1" t="s">
        <v>24</v>
      </c>
      <c r="C192" s="1">
        <v>2</v>
      </c>
      <c r="D192" s="1">
        <v>51.8</v>
      </c>
      <c r="E192" s="1">
        <v>103.6</v>
      </c>
      <c r="F192" s="2">
        <v>45665</v>
      </c>
      <c r="G192" s="2">
        <v>45669</v>
      </c>
      <c r="H192" s="1" t="s">
        <v>2</v>
      </c>
      <c r="I192" s="1" t="s">
        <v>3</v>
      </c>
      <c r="J192" s="1">
        <v>5</v>
      </c>
      <c r="K192" s="1" t="s">
        <v>4</v>
      </c>
      <c r="L192" s="1" t="s">
        <v>59</v>
      </c>
      <c r="M192" s="1">
        <f>[1]!orders[[#This Row],[Ship Date]]-[1]!orders[[#This Row],[Order Date]]</f>
        <v>4</v>
      </c>
      <c r="N192" s="1">
        <f>WEEKNUM([1]!orders[[#This Row],[Order Date]])</f>
        <v>2</v>
      </c>
      <c r="O192" t="str" cm="1">
        <f t="array" ref="O192">_xlfn.IFS([1]!orders[[#This Row],[Customer Gender]]="M","Male", [1]!orders[[#This Row],[Customer Gender]]="F","Female", [1]!orders[[#This Row],[Customer Gender]]="O","Other", TRUE,"Unknown")</f>
        <v>Unknown</v>
      </c>
    </row>
    <row r="193" spans="1:15" x14ac:dyDescent="0.25">
      <c r="A193" t="s">
        <v>251</v>
      </c>
      <c r="B193" t="s">
        <v>39</v>
      </c>
      <c r="C193">
        <v>5</v>
      </c>
      <c r="D193">
        <v>34.5</v>
      </c>
      <c r="E193">
        <v>172.5</v>
      </c>
      <c r="F193" s="3">
        <v>45665</v>
      </c>
      <c r="G193" s="3">
        <v>45667</v>
      </c>
      <c r="H193" t="s">
        <v>2</v>
      </c>
      <c r="I193" t="s">
        <v>25</v>
      </c>
      <c r="J193">
        <v>5</v>
      </c>
      <c r="K193" t="s">
        <v>4</v>
      </c>
      <c r="L193" t="s">
        <v>62</v>
      </c>
      <c r="M193">
        <f>[1]!orders[[#This Row],[Ship Date]]-[1]!orders[[#This Row],[Order Date]]</f>
        <v>2</v>
      </c>
      <c r="N193">
        <f>WEEKNUM([1]!orders[[#This Row],[Order Date]])</f>
        <v>2</v>
      </c>
      <c r="O193" t="str" cm="1">
        <f t="array" ref="O193">_xlfn.IFS([1]!orders[[#This Row],[Customer Gender]]="M","Male", [1]!orders[[#This Row],[Customer Gender]]="F","Female", [1]!orders[[#This Row],[Customer Gender]]="O","Other", TRUE,"Unknown")</f>
        <v>Unknown</v>
      </c>
    </row>
    <row r="194" spans="1:15" x14ac:dyDescent="0.25">
      <c r="A194" s="1" t="s">
        <v>252</v>
      </c>
      <c r="B194" s="1" t="s">
        <v>24</v>
      </c>
      <c r="C194" s="1">
        <v>2</v>
      </c>
      <c r="D194" s="1">
        <v>51.8</v>
      </c>
      <c r="E194" s="1">
        <v>103.6</v>
      </c>
      <c r="F194" s="2">
        <v>45665</v>
      </c>
      <c r="G194" s="2">
        <v>45667</v>
      </c>
      <c r="H194" s="1" t="s">
        <v>8</v>
      </c>
      <c r="I194" s="1" t="s">
        <v>20</v>
      </c>
      <c r="J194" s="1">
        <v>5</v>
      </c>
      <c r="K194" s="1" t="s">
        <v>4</v>
      </c>
      <c r="L194" s="1" t="s">
        <v>253</v>
      </c>
      <c r="M194" s="1">
        <f>[1]!orders[[#This Row],[Ship Date]]-[1]!orders[[#This Row],[Order Date]]</f>
        <v>2</v>
      </c>
      <c r="N194" s="1">
        <f>WEEKNUM([1]!orders[[#This Row],[Order Date]])</f>
        <v>2</v>
      </c>
      <c r="O194" t="str" cm="1">
        <f t="array" ref="O194">_xlfn.IFS([1]!orders[[#This Row],[Customer Gender]]="M","Male", [1]!orders[[#This Row],[Customer Gender]]="F","Female", [1]!orders[[#This Row],[Customer Gender]]="O","Other", TRUE,"Unknown")</f>
        <v>Male</v>
      </c>
    </row>
    <row r="195" spans="1:15" x14ac:dyDescent="0.25">
      <c r="A195" t="s">
        <v>254</v>
      </c>
      <c r="B195" t="s">
        <v>131</v>
      </c>
      <c r="C195">
        <v>43</v>
      </c>
      <c r="D195">
        <v>131.5</v>
      </c>
      <c r="E195">
        <v>5654.5</v>
      </c>
      <c r="F195" s="3">
        <v>45665</v>
      </c>
      <c r="G195" s="3">
        <v>45666</v>
      </c>
      <c r="H195" t="s">
        <v>12</v>
      </c>
      <c r="I195" t="s">
        <v>3</v>
      </c>
      <c r="J195">
        <v>5</v>
      </c>
      <c r="K195" t="s">
        <v>4</v>
      </c>
      <c r="L195" t="s">
        <v>93</v>
      </c>
      <c r="M195">
        <f>[1]!orders[[#This Row],[Ship Date]]-[1]!orders[[#This Row],[Order Date]]</f>
        <v>1</v>
      </c>
      <c r="N195">
        <f>WEEKNUM([1]!orders[[#This Row],[Order Date]])</f>
        <v>2</v>
      </c>
      <c r="O195" t="str" cm="1">
        <f t="array" ref="O195">_xlfn.IFS([1]!orders[[#This Row],[Customer Gender]]="M","Male", [1]!orders[[#This Row],[Customer Gender]]="F","Female", [1]!orders[[#This Row],[Customer Gender]]="O","Other", TRUE,"Unknown")</f>
        <v>Female</v>
      </c>
    </row>
    <row r="196" spans="1:15" x14ac:dyDescent="0.25">
      <c r="A196" s="1" t="s">
        <v>255</v>
      </c>
      <c r="B196" s="1" t="s">
        <v>29</v>
      </c>
      <c r="C196" s="1">
        <v>7</v>
      </c>
      <c r="D196" s="1">
        <v>47.8</v>
      </c>
      <c r="E196" s="1">
        <v>334.59999999999997</v>
      </c>
      <c r="F196" s="2">
        <v>45665</v>
      </c>
      <c r="G196" s="2">
        <v>45665</v>
      </c>
      <c r="H196" s="1" t="s">
        <v>12</v>
      </c>
      <c r="I196" s="1" t="s">
        <v>3</v>
      </c>
      <c r="J196" s="1">
        <v>4</v>
      </c>
      <c r="K196" s="1" t="s">
        <v>4</v>
      </c>
      <c r="L196" s="1" t="s">
        <v>95</v>
      </c>
      <c r="M196" s="1">
        <f>[1]!orders[[#This Row],[Ship Date]]-[1]!orders[[#This Row],[Order Date]]</f>
        <v>0</v>
      </c>
      <c r="N196" s="1">
        <f>WEEKNUM([1]!orders[[#This Row],[Order Date]])</f>
        <v>2</v>
      </c>
      <c r="O196" t="str" cm="1">
        <f t="array" ref="O196">_xlfn.IFS([1]!orders[[#This Row],[Customer Gender]]="M","Male", [1]!orders[[#This Row],[Customer Gender]]="F","Female", [1]!orders[[#This Row],[Customer Gender]]="O","Other", TRUE,"Unknown")</f>
        <v>Female</v>
      </c>
    </row>
    <row r="197" spans="1:15" x14ac:dyDescent="0.25">
      <c r="A197" t="s">
        <v>256</v>
      </c>
      <c r="B197" t="s">
        <v>1</v>
      </c>
      <c r="C197">
        <v>2</v>
      </c>
      <c r="D197">
        <v>10.199999999999999</v>
      </c>
      <c r="E197">
        <v>20.399999999999999</v>
      </c>
      <c r="F197" s="3">
        <v>45665</v>
      </c>
      <c r="G197" s="3">
        <v>45667</v>
      </c>
      <c r="H197" t="s">
        <v>12</v>
      </c>
      <c r="I197" t="s">
        <v>3</v>
      </c>
      <c r="J197">
        <v>4</v>
      </c>
      <c r="K197" t="s">
        <v>4</v>
      </c>
      <c r="L197" t="s">
        <v>95</v>
      </c>
      <c r="M197">
        <f>[1]!orders[[#This Row],[Ship Date]]-[1]!orders[[#This Row],[Order Date]]</f>
        <v>2</v>
      </c>
      <c r="N197">
        <f>WEEKNUM([1]!orders[[#This Row],[Order Date]])</f>
        <v>2</v>
      </c>
      <c r="O197" t="str" cm="1">
        <f t="array" ref="O197">_xlfn.IFS([1]!orders[[#This Row],[Customer Gender]]="M","Male", [1]!orders[[#This Row],[Customer Gender]]="F","Female", [1]!orders[[#This Row],[Customer Gender]]="O","Other", TRUE,"Unknown")</f>
        <v>Female</v>
      </c>
    </row>
    <row r="198" spans="1:15" x14ac:dyDescent="0.25">
      <c r="A198" s="1" t="s">
        <v>257</v>
      </c>
      <c r="B198" s="1" t="s">
        <v>29</v>
      </c>
      <c r="C198" s="1">
        <v>8</v>
      </c>
      <c r="D198" s="1">
        <v>41</v>
      </c>
      <c r="E198" s="1">
        <v>328</v>
      </c>
      <c r="F198" s="2">
        <v>45665</v>
      </c>
      <c r="G198" s="2">
        <v>45665</v>
      </c>
      <c r="H198" s="1" t="s">
        <v>12</v>
      </c>
      <c r="I198" s="1" t="s">
        <v>20</v>
      </c>
      <c r="J198" s="1">
        <v>5</v>
      </c>
      <c r="K198" s="1" t="s">
        <v>4</v>
      </c>
      <c r="L198" s="1" t="s">
        <v>95</v>
      </c>
      <c r="M198" s="1">
        <f>[1]!orders[[#This Row],[Ship Date]]-[1]!orders[[#This Row],[Order Date]]</f>
        <v>0</v>
      </c>
      <c r="N198" s="1">
        <f>WEEKNUM([1]!orders[[#This Row],[Order Date]])</f>
        <v>2</v>
      </c>
      <c r="O198" t="str" cm="1">
        <f t="array" ref="O198">_xlfn.IFS([1]!orders[[#This Row],[Customer Gender]]="M","Male", [1]!orders[[#This Row],[Customer Gender]]="F","Female", [1]!orders[[#This Row],[Customer Gender]]="O","Other", TRUE,"Unknown")</f>
        <v>Female</v>
      </c>
    </row>
    <row r="199" spans="1:15" x14ac:dyDescent="0.25">
      <c r="A199" t="s">
        <v>258</v>
      </c>
      <c r="B199" t="s">
        <v>39</v>
      </c>
      <c r="C199">
        <v>7</v>
      </c>
      <c r="D199">
        <v>50.8</v>
      </c>
      <c r="E199">
        <v>355.59999999999997</v>
      </c>
      <c r="F199" s="3">
        <v>45665</v>
      </c>
      <c r="G199" s="3">
        <v>45668</v>
      </c>
      <c r="H199" t="s">
        <v>12</v>
      </c>
      <c r="I199" t="s">
        <v>20</v>
      </c>
      <c r="J199">
        <v>4</v>
      </c>
      <c r="K199" t="s">
        <v>4</v>
      </c>
      <c r="L199" t="s">
        <v>100</v>
      </c>
      <c r="M199">
        <f>[1]!orders[[#This Row],[Ship Date]]-[1]!orders[[#This Row],[Order Date]]</f>
        <v>3</v>
      </c>
      <c r="N199">
        <f>WEEKNUM([1]!orders[[#This Row],[Order Date]])</f>
        <v>2</v>
      </c>
      <c r="O199" t="str" cm="1">
        <f t="array" ref="O199">_xlfn.IFS([1]!orders[[#This Row],[Customer Gender]]="M","Male", [1]!orders[[#This Row],[Customer Gender]]="F","Female", [1]!orders[[#This Row],[Customer Gender]]="O","Other", TRUE,"Unknown")</f>
        <v>Female</v>
      </c>
    </row>
    <row r="200" spans="1:15" x14ac:dyDescent="0.25">
      <c r="A200" s="1" t="s">
        <v>259</v>
      </c>
      <c r="B200" s="1" t="s">
        <v>131</v>
      </c>
      <c r="C200" s="1">
        <v>3</v>
      </c>
      <c r="D200" s="1">
        <v>39.6</v>
      </c>
      <c r="E200" s="1">
        <v>118.80000000000001</v>
      </c>
      <c r="F200" s="2">
        <v>45665</v>
      </c>
      <c r="G200" s="2">
        <v>45666</v>
      </c>
      <c r="H200" s="1" t="s">
        <v>8</v>
      </c>
      <c r="I200" s="1" t="s">
        <v>25</v>
      </c>
      <c r="J200" s="1">
        <v>5</v>
      </c>
      <c r="K200" s="1" t="s">
        <v>4</v>
      </c>
      <c r="L200" s="1" t="s">
        <v>9</v>
      </c>
      <c r="M200" s="1">
        <f>[1]!orders[[#This Row],[Ship Date]]-[1]!orders[[#This Row],[Order Date]]</f>
        <v>1</v>
      </c>
      <c r="N200" s="1">
        <f>WEEKNUM([1]!orders[[#This Row],[Order Date]])</f>
        <v>2</v>
      </c>
      <c r="O200" t="str" cm="1">
        <f t="array" ref="O200">_xlfn.IFS([1]!orders[[#This Row],[Customer Gender]]="M","Male", [1]!orders[[#This Row],[Customer Gender]]="F","Female", [1]!orders[[#This Row],[Customer Gender]]="O","Other", TRUE,"Unknown")</f>
        <v>Male</v>
      </c>
    </row>
    <row r="201" spans="1:15" x14ac:dyDescent="0.25">
      <c r="A201" t="s">
        <v>260</v>
      </c>
      <c r="B201" t="s">
        <v>22</v>
      </c>
      <c r="C201">
        <v>2</v>
      </c>
      <c r="D201">
        <v>69.5</v>
      </c>
      <c r="E201">
        <v>139</v>
      </c>
      <c r="F201" s="3">
        <v>45665</v>
      </c>
      <c r="G201" s="3">
        <v>45667</v>
      </c>
      <c r="H201" t="s">
        <v>8</v>
      </c>
      <c r="I201" t="s">
        <v>3</v>
      </c>
      <c r="J201">
        <v>5</v>
      </c>
      <c r="K201" t="s">
        <v>4</v>
      </c>
      <c r="L201" t="s">
        <v>13</v>
      </c>
      <c r="M201">
        <f>[1]!orders[[#This Row],[Ship Date]]-[1]!orders[[#This Row],[Order Date]]</f>
        <v>2</v>
      </c>
      <c r="N201">
        <f>WEEKNUM([1]!orders[[#This Row],[Order Date]])</f>
        <v>2</v>
      </c>
      <c r="O201" t="str" cm="1">
        <f t="array" ref="O201">_xlfn.IFS([1]!orders[[#This Row],[Customer Gender]]="M","Male", [1]!orders[[#This Row],[Customer Gender]]="F","Female", [1]!orders[[#This Row],[Customer Gender]]="O","Other", TRUE,"Unknown")</f>
        <v>Male</v>
      </c>
    </row>
    <row r="202" spans="1:15" x14ac:dyDescent="0.25">
      <c r="A202" s="1" t="s">
        <v>261</v>
      </c>
      <c r="B202" s="1" t="s">
        <v>29</v>
      </c>
      <c r="C202" s="1">
        <v>8</v>
      </c>
      <c r="D202" s="1">
        <v>32.6</v>
      </c>
      <c r="E202" s="1">
        <v>260.8</v>
      </c>
      <c r="F202" s="2">
        <v>45665</v>
      </c>
      <c r="G202" s="2">
        <v>45668</v>
      </c>
      <c r="H202" s="1" t="s">
        <v>8</v>
      </c>
      <c r="I202" s="1" t="s">
        <v>20</v>
      </c>
      <c r="J202" s="1">
        <v>4</v>
      </c>
      <c r="K202" s="1" t="s">
        <v>4</v>
      </c>
      <c r="L202" s="1" t="s">
        <v>18</v>
      </c>
      <c r="M202" s="1">
        <f>[1]!orders[[#This Row],[Ship Date]]-[1]!orders[[#This Row],[Order Date]]</f>
        <v>3</v>
      </c>
      <c r="N202" s="1">
        <f>WEEKNUM([1]!orders[[#This Row],[Order Date]])</f>
        <v>2</v>
      </c>
      <c r="O202" t="str" cm="1">
        <f t="array" ref="O202">_xlfn.IFS([1]!orders[[#This Row],[Customer Gender]]="M","Male", [1]!orders[[#This Row],[Customer Gender]]="F","Female", [1]!orders[[#This Row],[Customer Gender]]="O","Other", TRUE,"Unknown")</f>
        <v>Male</v>
      </c>
    </row>
    <row r="203" spans="1:15" x14ac:dyDescent="0.25">
      <c r="A203" t="s">
        <v>262</v>
      </c>
      <c r="B203" t="s">
        <v>27</v>
      </c>
      <c r="C203">
        <v>2</v>
      </c>
      <c r="D203">
        <v>49.1</v>
      </c>
      <c r="E203">
        <v>98.2</v>
      </c>
      <c r="F203" s="3">
        <v>45665</v>
      </c>
      <c r="G203" s="3">
        <v>45673</v>
      </c>
      <c r="H203" t="s">
        <v>8</v>
      </c>
      <c r="I203" t="s">
        <v>36</v>
      </c>
      <c r="J203">
        <v>5</v>
      </c>
      <c r="K203" t="s">
        <v>4</v>
      </c>
      <c r="L203" t="s">
        <v>18</v>
      </c>
      <c r="M203">
        <f>[1]!orders[[#This Row],[Ship Date]]-[1]!orders[[#This Row],[Order Date]]</f>
        <v>8</v>
      </c>
      <c r="N203">
        <f>WEEKNUM([1]!orders[[#This Row],[Order Date]])</f>
        <v>2</v>
      </c>
      <c r="O203" t="str" cm="1">
        <f t="array" ref="O203">_xlfn.IFS([1]!orders[[#This Row],[Customer Gender]]="M","Male", [1]!orders[[#This Row],[Customer Gender]]="F","Female", [1]!orders[[#This Row],[Customer Gender]]="O","Other", TRUE,"Unknown")</f>
        <v>Male</v>
      </c>
    </row>
    <row r="204" spans="1:15" x14ac:dyDescent="0.25">
      <c r="A204" s="1" t="s">
        <v>263</v>
      </c>
      <c r="B204" s="1" t="s">
        <v>24</v>
      </c>
      <c r="C204" s="1">
        <v>2</v>
      </c>
      <c r="D204" s="1">
        <v>49.4</v>
      </c>
      <c r="E204" s="1">
        <v>98.8</v>
      </c>
      <c r="F204" s="2">
        <v>45666</v>
      </c>
      <c r="G204" s="2">
        <v>45667</v>
      </c>
      <c r="H204" s="1" t="s">
        <v>12</v>
      </c>
      <c r="I204" s="1" t="s">
        <v>25</v>
      </c>
      <c r="J204" s="1">
        <v>4</v>
      </c>
      <c r="K204" s="1" t="s">
        <v>4</v>
      </c>
      <c r="L204" s="1" t="s">
        <v>18</v>
      </c>
      <c r="M204" s="1">
        <f>[1]!orders[[#This Row],[Ship Date]]-[1]!orders[[#This Row],[Order Date]]</f>
        <v>1</v>
      </c>
      <c r="N204" s="1">
        <f>WEEKNUM([1]!orders[[#This Row],[Order Date]])</f>
        <v>2</v>
      </c>
      <c r="O204" t="str" cm="1">
        <f t="array" ref="O204">_xlfn.IFS([1]!orders[[#This Row],[Customer Gender]]="M","Male", [1]!orders[[#This Row],[Customer Gender]]="F","Female", [1]!orders[[#This Row],[Customer Gender]]="O","Other", TRUE,"Unknown")</f>
        <v>Female</v>
      </c>
    </row>
    <row r="205" spans="1:15" x14ac:dyDescent="0.25">
      <c r="A205" t="s">
        <v>264</v>
      </c>
      <c r="B205" t="s">
        <v>27</v>
      </c>
      <c r="C205">
        <v>7</v>
      </c>
      <c r="D205">
        <v>65.099999999999994</v>
      </c>
      <c r="E205">
        <v>455.69999999999993</v>
      </c>
      <c r="F205" s="3">
        <v>45666</v>
      </c>
      <c r="G205" s="3">
        <v>45669</v>
      </c>
      <c r="H205" t="s">
        <v>12</v>
      </c>
      <c r="I205" t="s">
        <v>25</v>
      </c>
      <c r="J205">
        <v>5</v>
      </c>
      <c r="K205" t="s">
        <v>4</v>
      </c>
      <c r="L205" t="s">
        <v>18</v>
      </c>
      <c r="M205">
        <f>[1]!orders[[#This Row],[Ship Date]]-[1]!orders[[#This Row],[Order Date]]</f>
        <v>3</v>
      </c>
      <c r="N205">
        <f>WEEKNUM([1]!orders[[#This Row],[Order Date]])</f>
        <v>2</v>
      </c>
      <c r="O205" t="str" cm="1">
        <f t="array" ref="O205">_xlfn.IFS([1]!orders[[#This Row],[Customer Gender]]="M","Male", [1]!orders[[#This Row],[Customer Gender]]="F","Female", [1]!orders[[#This Row],[Customer Gender]]="O","Other", TRUE,"Unknown")</f>
        <v>Female</v>
      </c>
    </row>
    <row r="206" spans="1:15" x14ac:dyDescent="0.25">
      <c r="A206" s="1" t="s">
        <v>265</v>
      </c>
      <c r="B206" s="1" t="s">
        <v>15</v>
      </c>
      <c r="C206" s="1">
        <v>2</v>
      </c>
      <c r="D206" s="1">
        <v>52.1</v>
      </c>
      <c r="E206" s="1">
        <v>104.2</v>
      </c>
      <c r="F206" s="2">
        <v>45666</v>
      </c>
      <c r="G206" s="2">
        <v>45670</v>
      </c>
      <c r="H206" s="1" t="s">
        <v>12</v>
      </c>
      <c r="I206" s="1" t="s">
        <v>25</v>
      </c>
      <c r="J206" s="1">
        <v>4</v>
      </c>
      <c r="K206" s="1" t="s">
        <v>4</v>
      </c>
      <c r="L206" s="1" t="s">
        <v>18</v>
      </c>
      <c r="M206" s="1">
        <f>[1]!orders[[#This Row],[Ship Date]]-[1]!orders[[#This Row],[Order Date]]</f>
        <v>4</v>
      </c>
      <c r="N206" s="1">
        <f>WEEKNUM([1]!orders[[#This Row],[Order Date]])</f>
        <v>2</v>
      </c>
      <c r="O206" t="str" cm="1">
        <f t="array" ref="O206">_xlfn.IFS([1]!orders[[#This Row],[Customer Gender]]="M","Male", [1]!orders[[#This Row],[Customer Gender]]="F","Female", [1]!orders[[#This Row],[Customer Gender]]="O","Other", TRUE,"Unknown")</f>
        <v>Female</v>
      </c>
    </row>
    <row r="207" spans="1:15" x14ac:dyDescent="0.25">
      <c r="A207" t="s">
        <v>266</v>
      </c>
      <c r="B207" t="s">
        <v>11</v>
      </c>
      <c r="C207">
        <v>4</v>
      </c>
      <c r="D207">
        <v>129.19999999999999</v>
      </c>
      <c r="E207">
        <v>516.79999999999995</v>
      </c>
      <c r="F207" s="3">
        <v>45666</v>
      </c>
      <c r="G207" s="3">
        <v>45667</v>
      </c>
      <c r="H207" t="s">
        <v>12</v>
      </c>
      <c r="I207" t="s">
        <v>20</v>
      </c>
      <c r="J207">
        <v>4</v>
      </c>
      <c r="K207" t="s">
        <v>4</v>
      </c>
      <c r="L207" t="s">
        <v>18</v>
      </c>
      <c r="M207">
        <f>[1]!orders[[#This Row],[Ship Date]]-[1]!orders[[#This Row],[Order Date]]</f>
        <v>1</v>
      </c>
      <c r="N207">
        <f>WEEKNUM([1]!orders[[#This Row],[Order Date]])</f>
        <v>2</v>
      </c>
      <c r="O207" t="str" cm="1">
        <f t="array" ref="O207">_xlfn.IFS([1]!orders[[#This Row],[Customer Gender]]="M","Male", [1]!orders[[#This Row],[Customer Gender]]="F","Female", [1]!orders[[#This Row],[Customer Gender]]="O","Other", TRUE,"Unknown")</f>
        <v>Female</v>
      </c>
    </row>
    <row r="208" spans="1:15" x14ac:dyDescent="0.25">
      <c r="A208" s="1" t="s">
        <v>267</v>
      </c>
      <c r="B208" s="1" t="s">
        <v>7</v>
      </c>
      <c r="C208" s="1">
        <v>19</v>
      </c>
      <c r="D208" s="1">
        <v>81.8</v>
      </c>
      <c r="E208" s="1">
        <v>1554.2</v>
      </c>
      <c r="F208" s="2">
        <v>45666</v>
      </c>
      <c r="G208" s="2">
        <v>45666</v>
      </c>
      <c r="H208" s="1" t="s">
        <v>12</v>
      </c>
      <c r="I208" s="1" t="s">
        <v>20</v>
      </c>
      <c r="J208" s="1">
        <v>3</v>
      </c>
      <c r="K208" s="1" t="s">
        <v>4</v>
      </c>
      <c r="L208" s="1" t="s">
        <v>18</v>
      </c>
      <c r="M208" s="1">
        <f>[1]!orders[[#This Row],[Ship Date]]-[1]!orders[[#This Row],[Order Date]]</f>
        <v>0</v>
      </c>
      <c r="N208" s="1">
        <f>WEEKNUM([1]!orders[[#This Row],[Order Date]])</f>
        <v>2</v>
      </c>
      <c r="O208" t="str" cm="1">
        <f t="array" ref="O208">_xlfn.IFS([1]!orders[[#This Row],[Customer Gender]]="M","Male", [1]!orders[[#This Row],[Customer Gender]]="F","Female", [1]!orders[[#This Row],[Customer Gender]]="O","Other", TRUE,"Unknown")</f>
        <v>Female</v>
      </c>
    </row>
    <row r="209" spans="1:15" x14ac:dyDescent="0.25">
      <c r="A209" t="s">
        <v>268</v>
      </c>
      <c r="B209" t="s">
        <v>120</v>
      </c>
      <c r="C209">
        <v>1</v>
      </c>
      <c r="D209">
        <v>24.9</v>
      </c>
      <c r="E209">
        <v>24.9</v>
      </c>
      <c r="F209" s="3">
        <v>45666</v>
      </c>
      <c r="G209" s="3">
        <v>45670</v>
      </c>
      <c r="H209" t="s">
        <v>12</v>
      </c>
      <c r="I209" t="s">
        <v>20</v>
      </c>
      <c r="J209">
        <v>4</v>
      </c>
      <c r="K209" t="s">
        <v>4</v>
      </c>
      <c r="L209" t="s">
        <v>18</v>
      </c>
      <c r="M209">
        <f>[1]!orders[[#This Row],[Ship Date]]-[1]!orders[[#This Row],[Order Date]]</f>
        <v>4</v>
      </c>
      <c r="N209">
        <f>WEEKNUM([1]!orders[[#This Row],[Order Date]])</f>
        <v>2</v>
      </c>
      <c r="O209" t="str" cm="1">
        <f t="array" ref="O209">_xlfn.IFS([1]!orders[[#This Row],[Customer Gender]]="M","Male", [1]!orders[[#This Row],[Customer Gender]]="F","Female", [1]!orders[[#This Row],[Customer Gender]]="O","Other", TRUE,"Unknown")</f>
        <v>Female</v>
      </c>
    </row>
    <row r="210" spans="1:15" x14ac:dyDescent="0.25">
      <c r="A210" s="1" t="s">
        <v>269</v>
      </c>
      <c r="B210" s="1" t="s">
        <v>1</v>
      </c>
      <c r="C210" s="1">
        <v>3</v>
      </c>
      <c r="D210" s="1">
        <v>49.4</v>
      </c>
      <c r="E210" s="1">
        <v>148.19999999999999</v>
      </c>
      <c r="F210" s="2">
        <v>45666</v>
      </c>
      <c r="G210" s="2">
        <v>45669</v>
      </c>
      <c r="H210" s="1" t="s">
        <v>12</v>
      </c>
      <c r="I210" s="1" t="s">
        <v>55</v>
      </c>
      <c r="J210" s="1">
        <v>2</v>
      </c>
      <c r="K210" s="1" t="s">
        <v>4</v>
      </c>
      <c r="L210" s="1" t="s">
        <v>18</v>
      </c>
      <c r="M210" s="1">
        <f>[1]!orders[[#This Row],[Ship Date]]-[1]!orders[[#This Row],[Order Date]]</f>
        <v>3</v>
      </c>
      <c r="N210" s="1">
        <f>WEEKNUM([1]!orders[[#This Row],[Order Date]])</f>
        <v>2</v>
      </c>
      <c r="O210" t="str" cm="1">
        <f t="array" ref="O210">_xlfn.IFS([1]!orders[[#This Row],[Customer Gender]]="M","Male", [1]!orders[[#This Row],[Customer Gender]]="F","Female", [1]!orders[[#This Row],[Customer Gender]]="O","Other", TRUE,"Unknown")</f>
        <v>Female</v>
      </c>
    </row>
    <row r="211" spans="1:15" x14ac:dyDescent="0.25">
      <c r="A211" t="s">
        <v>270</v>
      </c>
      <c r="B211" t="s">
        <v>29</v>
      </c>
      <c r="C211">
        <v>2</v>
      </c>
      <c r="D211">
        <v>22.7</v>
      </c>
      <c r="E211">
        <v>45.4</v>
      </c>
      <c r="F211" s="3">
        <v>45666</v>
      </c>
      <c r="G211" s="3">
        <v>45667</v>
      </c>
      <c r="H211" t="s">
        <v>8</v>
      </c>
      <c r="I211" t="s">
        <v>36</v>
      </c>
      <c r="J211">
        <v>5</v>
      </c>
      <c r="K211" t="s">
        <v>4</v>
      </c>
      <c r="L211" t="s">
        <v>18</v>
      </c>
      <c r="M211">
        <f>[1]!orders[[#This Row],[Ship Date]]-[1]!orders[[#This Row],[Order Date]]</f>
        <v>1</v>
      </c>
      <c r="N211">
        <f>WEEKNUM([1]!orders[[#This Row],[Order Date]])</f>
        <v>2</v>
      </c>
      <c r="O211" t="str" cm="1">
        <f t="array" ref="O211">_xlfn.IFS([1]!orders[[#This Row],[Customer Gender]]="M","Male", [1]!orders[[#This Row],[Customer Gender]]="F","Female", [1]!orders[[#This Row],[Customer Gender]]="O","Other", TRUE,"Unknown")</f>
        <v>Male</v>
      </c>
    </row>
    <row r="212" spans="1:15" x14ac:dyDescent="0.25">
      <c r="A212" s="1" t="s">
        <v>271</v>
      </c>
      <c r="B212" s="1" t="s">
        <v>7</v>
      </c>
      <c r="C212" s="1">
        <v>1</v>
      </c>
      <c r="D212" s="1">
        <v>77.3</v>
      </c>
      <c r="E212" s="1">
        <v>77.3</v>
      </c>
      <c r="F212" s="2">
        <v>45666</v>
      </c>
      <c r="G212" s="2">
        <v>45666</v>
      </c>
      <c r="H212" s="1" t="s">
        <v>12</v>
      </c>
      <c r="I212" s="1" t="s">
        <v>3</v>
      </c>
      <c r="J212" s="1">
        <v>5</v>
      </c>
      <c r="K212" s="1" t="s">
        <v>4</v>
      </c>
      <c r="L212" s="1" t="s">
        <v>40</v>
      </c>
      <c r="M212" s="1">
        <f>[1]!orders[[#This Row],[Ship Date]]-[1]!orders[[#This Row],[Order Date]]</f>
        <v>0</v>
      </c>
      <c r="N212" s="1">
        <f>WEEKNUM([1]!orders[[#This Row],[Order Date]])</f>
        <v>2</v>
      </c>
      <c r="O212" t="str" cm="1">
        <f t="array" ref="O212">_xlfn.IFS([1]!orders[[#This Row],[Customer Gender]]="M","Male", [1]!orders[[#This Row],[Customer Gender]]="F","Female", [1]!orders[[#This Row],[Customer Gender]]="O","Other", TRUE,"Unknown")</f>
        <v>Female</v>
      </c>
    </row>
    <row r="213" spans="1:15" x14ac:dyDescent="0.25">
      <c r="A213" t="s">
        <v>272</v>
      </c>
      <c r="B213" t="s">
        <v>7</v>
      </c>
      <c r="C213">
        <v>5</v>
      </c>
      <c r="D213">
        <v>109.1</v>
      </c>
      <c r="E213">
        <v>545.5</v>
      </c>
      <c r="F213" s="3">
        <v>45666</v>
      </c>
      <c r="G213" s="3">
        <v>45669</v>
      </c>
      <c r="H213" t="s">
        <v>12</v>
      </c>
      <c r="I213" t="s">
        <v>3</v>
      </c>
      <c r="J213">
        <v>4</v>
      </c>
      <c r="K213" t="s">
        <v>4</v>
      </c>
      <c r="L213" t="s">
        <v>40</v>
      </c>
      <c r="M213">
        <f>[1]!orders[[#This Row],[Ship Date]]-[1]!orders[[#This Row],[Order Date]]</f>
        <v>3</v>
      </c>
      <c r="N213">
        <f>WEEKNUM([1]!orders[[#This Row],[Order Date]])</f>
        <v>2</v>
      </c>
      <c r="O213" t="str" cm="1">
        <f t="array" ref="O213">_xlfn.IFS([1]!orders[[#This Row],[Customer Gender]]="M","Male", [1]!orders[[#This Row],[Customer Gender]]="F","Female", [1]!orders[[#This Row],[Customer Gender]]="O","Other", TRUE,"Unknown")</f>
        <v>Female</v>
      </c>
    </row>
    <row r="214" spans="1:15" x14ac:dyDescent="0.25">
      <c r="A214" s="1" t="s">
        <v>273</v>
      </c>
      <c r="B214" s="1" t="s">
        <v>11</v>
      </c>
      <c r="C214" s="1">
        <v>4</v>
      </c>
      <c r="D214" s="1">
        <v>53.9</v>
      </c>
      <c r="E214" s="1">
        <v>215.6</v>
      </c>
      <c r="F214" s="2">
        <v>45666</v>
      </c>
      <c r="G214" s="2">
        <v>45667</v>
      </c>
      <c r="H214" s="1" t="s">
        <v>8</v>
      </c>
      <c r="I214" s="1" t="s">
        <v>3</v>
      </c>
      <c r="J214" s="1">
        <v>3</v>
      </c>
      <c r="K214" s="1" t="s">
        <v>4</v>
      </c>
      <c r="L214" s="1" t="s">
        <v>47</v>
      </c>
      <c r="M214" s="1">
        <f>[1]!orders[[#This Row],[Ship Date]]-[1]!orders[[#This Row],[Order Date]]</f>
        <v>1</v>
      </c>
      <c r="N214" s="1">
        <f>WEEKNUM([1]!orders[[#This Row],[Order Date]])</f>
        <v>2</v>
      </c>
      <c r="O214" t="str" cm="1">
        <f t="array" ref="O214">_xlfn.IFS([1]!orders[[#This Row],[Customer Gender]]="M","Male", [1]!orders[[#This Row],[Customer Gender]]="F","Female", [1]!orders[[#This Row],[Customer Gender]]="O","Other", TRUE,"Unknown")</f>
        <v>Male</v>
      </c>
    </row>
    <row r="215" spans="1:15" x14ac:dyDescent="0.25">
      <c r="A215" t="s">
        <v>274</v>
      </c>
      <c r="B215" t="s">
        <v>31</v>
      </c>
      <c r="C215">
        <v>26</v>
      </c>
      <c r="D215">
        <v>21.2</v>
      </c>
      <c r="E215">
        <v>551.19999999999993</v>
      </c>
      <c r="F215" s="3">
        <v>45666</v>
      </c>
      <c r="G215" s="3">
        <v>45666</v>
      </c>
      <c r="H215" t="s">
        <v>12</v>
      </c>
      <c r="I215" t="s">
        <v>3</v>
      </c>
      <c r="J215">
        <v>4</v>
      </c>
      <c r="K215" t="s">
        <v>4</v>
      </c>
      <c r="L215" t="s">
        <v>57</v>
      </c>
      <c r="M215">
        <f>[1]!orders[[#This Row],[Ship Date]]-[1]!orders[[#This Row],[Order Date]]</f>
        <v>0</v>
      </c>
      <c r="N215">
        <f>WEEKNUM([1]!orders[[#This Row],[Order Date]])</f>
        <v>2</v>
      </c>
      <c r="O215" t="str" cm="1">
        <f t="array" ref="O215">_xlfn.IFS([1]!orders[[#This Row],[Customer Gender]]="M","Male", [1]!orders[[#This Row],[Customer Gender]]="F","Female", [1]!orders[[#This Row],[Customer Gender]]="O","Other", TRUE,"Unknown")</f>
        <v>Female</v>
      </c>
    </row>
    <row r="216" spans="1:15" x14ac:dyDescent="0.25">
      <c r="A216" s="1" t="s">
        <v>275</v>
      </c>
      <c r="B216" s="1" t="s">
        <v>113</v>
      </c>
      <c r="C216" s="1">
        <v>4</v>
      </c>
      <c r="D216" s="1">
        <v>69</v>
      </c>
      <c r="E216" s="1">
        <v>276</v>
      </c>
      <c r="F216" s="2">
        <v>45666</v>
      </c>
      <c r="G216" s="2">
        <v>45668</v>
      </c>
      <c r="H216" s="1" t="s">
        <v>12</v>
      </c>
      <c r="I216" s="1" t="s">
        <v>20</v>
      </c>
      <c r="J216" s="1">
        <v>3</v>
      </c>
      <c r="K216" s="1" t="s">
        <v>4</v>
      </c>
      <c r="L216" s="1" t="s">
        <v>93</v>
      </c>
      <c r="M216" s="1">
        <f>[1]!orders[[#This Row],[Ship Date]]-[1]!orders[[#This Row],[Order Date]]</f>
        <v>2</v>
      </c>
      <c r="N216" s="1">
        <f>WEEKNUM([1]!orders[[#This Row],[Order Date]])</f>
        <v>2</v>
      </c>
      <c r="O216" t="str" cm="1">
        <f t="array" ref="O216">_xlfn.IFS([1]!orders[[#This Row],[Customer Gender]]="M","Male", [1]!orders[[#This Row],[Customer Gender]]="F","Female", [1]!orders[[#This Row],[Customer Gender]]="O","Other", TRUE,"Unknown")</f>
        <v>Female</v>
      </c>
    </row>
    <row r="217" spans="1:15" x14ac:dyDescent="0.25">
      <c r="A217" t="s">
        <v>276</v>
      </c>
      <c r="B217" t="s">
        <v>24</v>
      </c>
      <c r="C217">
        <v>3</v>
      </c>
      <c r="D217">
        <v>46.2</v>
      </c>
      <c r="E217">
        <v>138.60000000000002</v>
      </c>
      <c r="F217" s="3">
        <v>45666</v>
      </c>
      <c r="G217" s="3">
        <v>45668</v>
      </c>
      <c r="H217" t="s">
        <v>12</v>
      </c>
      <c r="I217" t="s">
        <v>3</v>
      </c>
      <c r="J217">
        <v>5</v>
      </c>
      <c r="K217" t="s">
        <v>4</v>
      </c>
      <c r="L217" t="s">
        <v>277</v>
      </c>
      <c r="M217">
        <f>[1]!orders[[#This Row],[Ship Date]]-[1]!orders[[#This Row],[Order Date]]</f>
        <v>2</v>
      </c>
      <c r="N217">
        <f>WEEKNUM([1]!orders[[#This Row],[Order Date]])</f>
        <v>2</v>
      </c>
      <c r="O217" t="str" cm="1">
        <f t="array" ref="O217">_xlfn.IFS([1]!orders[[#This Row],[Customer Gender]]="M","Male", [1]!orders[[#This Row],[Customer Gender]]="F","Female", [1]!orders[[#This Row],[Customer Gender]]="O","Other", TRUE,"Unknown")</f>
        <v>Female</v>
      </c>
    </row>
    <row r="218" spans="1:15" x14ac:dyDescent="0.25">
      <c r="A218" s="1" t="s">
        <v>278</v>
      </c>
      <c r="B218" s="1" t="s">
        <v>7</v>
      </c>
      <c r="C218" s="1">
        <v>5</v>
      </c>
      <c r="D218" s="1">
        <v>97.4</v>
      </c>
      <c r="E218" s="1">
        <v>487</v>
      </c>
      <c r="F218" s="2">
        <v>45666</v>
      </c>
      <c r="G218" s="2">
        <v>45670</v>
      </c>
      <c r="H218" s="1" t="s">
        <v>12</v>
      </c>
      <c r="I218" s="1" t="s">
        <v>55</v>
      </c>
      <c r="J218" s="1">
        <v>5</v>
      </c>
      <c r="K218" s="1" t="s">
        <v>4</v>
      </c>
      <c r="L218" s="1" t="s">
        <v>100</v>
      </c>
      <c r="M218" s="1">
        <f>[1]!orders[[#This Row],[Ship Date]]-[1]!orders[[#This Row],[Order Date]]</f>
        <v>4</v>
      </c>
      <c r="N218" s="1">
        <f>WEEKNUM([1]!orders[[#This Row],[Order Date]])</f>
        <v>2</v>
      </c>
      <c r="O218" t="str" cm="1">
        <f t="array" ref="O218">_xlfn.IFS([1]!orders[[#This Row],[Customer Gender]]="M","Male", [1]!orders[[#This Row],[Customer Gender]]="F","Female", [1]!orders[[#This Row],[Customer Gender]]="O","Other", TRUE,"Unknown")</f>
        <v>Female</v>
      </c>
    </row>
    <row r="219" spans="1:15" x14ac:dyDescent="0.25">
      <c r="A219" t="s">
        <v>279</v>
      </c>
      <c r="B219" t="s">
        <v>29</v>
      </c>
      <c r="C219">
        <v>5</v>
      </c>
      <c r="D219">
        <v>21</v>
      </c>
      <c r="E219">
        <v>105</v>
      </c>
      <c r="F219" s="3">
        <v>45666</v>
      </c>
      <c r="G219" s="3">
        <v>45667</v>
      </c>
      <c r="H219" t="s">
        <v>8</v>
      </c>
      <c r="I219" t="s">
        <v>3</v>
      </c>
      <c r="J219">
        <v>3</v>
      </c>
      <c r="K219" t="s">
        <v>4</v>
      </c>
      <c r="L219" t="s">
        <v>100</v>
      </c>
      <c r="M219">
        <f>[1]!orders[[#This Row],[Ship Date]]-[1]!orders[[#This Row],[Order Date]]</f>
        <v>1</v>
      </c>
      <c r="N219">
        <f>WEEKNUM([1]!orders[[#This Row],[Order Date]])</f>
        <v>2</v>
      </c>
      <c r="O219" t="str" cm="1">
        <f t="array" ref="O219">_xlfn.IFS([1]!orders[[#This Row],[Customer Gender]]="M","Male", [1]!orders[[#This Row],[Customer Gender]]="F","Female", [1]!orders[[#This Row],[Customer Gender]]="O","Other", TRUE,"Unknown")</f>
        <v>Male</v>
      </c>
    </row>
    <row r="220" spans="1:15" x14ac:dyDescent="0.25">
      <c r="A220" s="1" t="s">
        <v>280</v>
      </c>
      <c r="B220" s="1" t="s">
        <v>22</v>
      </c>
      <c r="C220" s="1">
        <v>2</v>
      </c>
      <c r="D220" s="1">
        <v>32.700000000000003</v>
      </c>
      <c r="E220" s="1">
        <v>65.400000000000006</v>
      </c>
      <c r="F220" s="2">
        <v>45667</v>
      </c>
      <c r="G220" s="2">
        <v>45670</v>
      </c>
      <c r="H220" s="1" t="s">
        <v>12</v>
      </c>
      <c r="I220" s="1" t="s">
        <v>20</v>
      </c>
      <c r="J220" s="1">
        <v>4</v>
      </c>
      <c r="K220" s="1" t="s">
        <v>4</v>
      </c>
      <c r="L220" s="1" t="s">
        <v>13</v>
      </c>
      <c r="M220" s="1">
        <f>[1]!orders[[#This Row],[Ship Date]]-[1]!orders[[#This Row],[Order Date]]</f>
        <v>3</v>
      </c>
      <c r="N220" s="1">
        <f>WEEKNUM([1]!orders[[#This Row],[Order Date]])</f>
        <v>2</v>
      </c>
      <c r="O220" t="str" cm="1">
        <f t="array" ref="O220">_xlfn.IFS([1]!orders[[#This Row],[Customer Gender]]="M","Male", [1]!orders[[#This Row],[Customer Gender]]="F","Female", [1]!orders[[#This Row],[Customer Gender]]="O","Other", TRUE,"Unknown")</f>
        <v>Female</v>
      </c>
    </row>
    <row r="221" spans="1:15" x14ac:dyDescent="0.25">
      <c r="A221" t="s">
        <v>281</v>
      </c>
      <c r="B221" t="s">
        <v>24</v>
      </c>
      <c r="C221">
        <v>4</v>
      </c>
      <c r="D221">
        <v>48</v>
      </c>
      <c r="E221">
        <v>192</v>
      </c>
      <c r="F221" s="3">
        <v>45667</v>
      </c>
      <c r="G221" s="3">
        <v>45668</v>
      </c>
      <c r="H221" t="s">
        <v>8</v>
      </c>
      <c r="I221" t="s">
        <v>36</v>
      </c>
      <c r="J221">
        <v>4</v>
      </c>
      <c r="K221" t="s">
        <v>4</v>
      </c>
      <c r="L221" t="s">
        <v>18</v>
      </c>
      <c r="M221">
        <f>[1]!orders[[#This Row],[Ship Date]]-[1]!orders[[#This Row],[Order Date]]</f>
        <v>1</v>
      </c>
      <c r="N221">
        <f>WEEKNUM([1]!orders[[#This Row],[Order Date]])</f>
        <v>2</v>
      </c>
      <c r="O221" t="str" cm="1">
        <f t="array" ref="O221">_xlfn.IFS([1]!orders[[#This Row],[Customer Gender]]="M","Male", [1]!orders[[#This Row],[Customer Gender]]="F","Female", [1]!orders[[#This Row],[Customer Gender]]="O","Other", TRUE,"Unknown")</f>
        <v>Male</v>
      </c>
    </row>
    <row r="222" spans="1:15" x14ac:dyDescent="0.25">
      <c r="A222" s="1" t="s">
        <v>282</v>
      </c>
      <c r="B222" s="1" t="s">
        <v>24</v>
      </c>
      <c r="C222" s="1">
        <v>3</v>
      </c>
      <c r="D222" s="1">
        <v>68.2</v>
      </c>
      <c r="E222" s="1">
        <v>204.60000000000002</v>
      </c>
      <c r="F222" s="2">
        <v>45667</v>
      </c>
      <c r="G222" s="2">
        <v>45671</v>
      </c>
      <c r="H222" s="1" t="s">
        <v>2</v>
      </c>
      <c r="I222" s="1" t="s">
        <v>3</v>
      </c>
      <c r="J222" s="1">
        <v>5</v>
      </c>
      <c r="K222" s="1" t="s">
        <v>4</v>
      </c>
      <c r="L222" s="1" t="s">
        <v>18</v>
      </c>
      <c r="M222" s="1">
        <f>[1]!orders[[#This Row],[Ship Date]]-[1]!orders[[#This Row],[Order Date]]</f>
        <v>4</v>
      </c>
      <c r="N222" s="1">
        <f>WEEKNUM([1]!orders[[#This Row],[Order Date]])</f>
        <v>2</v>
      </c>
      <c r="O222" t="str" cm="1">
        <f t="array" ref="O222">_xlfn.IFS([1]!orders[[#This Row],[Customer Gender]]="M","Male", [1]!orders[[#This Row],[Customer Gender]]="F","Female", [1]!orders[[#This Row],[Customer Gender]]="O","Other", TRUE,"Unknown")</f>
        <v>Unknown</v>
      </c>
    </row>
    <row r="223" spans="1:15" x14ac:dyDescent="0.25">
      <c r="A223" t="s">
        <v>283</v>
      </c>
      <c r="B223" t="s">
        <v>22</v>
      </c>
      <c r="C223">
        <v>1</v>
      </c>
      <c r="D223">
        <v>45.4</v>
      </c>
      <c r="E223">
        <v>45.4</v>
      </c>
      <c r="F223" s="3">
        <v>45667</v>
      </c>
      <c r="G223" s="3">
        <v>45669</v>
      </c>
      <c r="H223" t="s">
        <v>8</v>
      </c>
      <c r="I223" t="s">
        <v>20</v>
      </c>
      <c r="J223">
        <v>4</v>
      </c>
      <c r="K223" t="s">
        <v>4</v>
      </c>
      <c r="L223" t="s">
        <v>18</v>
      </c>
      <c r="M223">
        <f>[1]!orders[[#This Row],[Ship Date]]-[1]!orders[[#This Row],[Order Date]]</f>
        <v>2</v>
      </c>
      <c r="N223">
        <f>WEEKNUM([1]!orders[[#This Row],[Order Date]])</f>
        <v>2</v>
      </c>
      <c r="O223" t="str" cm="1">
        <f t="array" ref="O223">_xlfn.IFS([1]!orders[[#This Row],[Customer Gender]]="M","Male", [1]!orders[[#This Row],[Customer Gender]]="F","Female", [1]!orders[[#This Row],[Customer Gender]]="O","Other", TRUE,"Unknown")</f>
        <v>Male</v>
      </c>
    </row>
    <row r="224" spans="1:15" x14ac:dyDescent="0.25">
      <c r="A224" s="1" t="s">
        <v>284</v>
      </c>
      <c r="B224" s="1" t="s">
        <v>54</v>
      </c>
      <c r="C224" s="1">
        <v>2</v>
      </c>
      <c r="D224" s="1">
        <v>53.9</v>
      </c>
      <c r="E224" s="1">
        <v>107.8</v>
      </c>
      <c r="F224" s="2">
        <v>45667</v>
      </c>
      <c r="G224" s="2">
        <v>45668</v>
      </c>
      <c r="H224" s="1" t="s">
        <v>12</v>
      </c>
      <c r="I224" s="1" t="s">
        <v>25</v>
      </c>
      <c r="J224" s="1">
        <v>4</v>
      </c>
      <c r="K224" s="1" t="s">
        <v>4</v>
      </c>
      <c r="L224" s="1" t="s">
        <v>18</v>
      </c>
      <c r="M224" s="1">
        <f>[1]!orders[[#This Row],[Ship Date]]-[1]!orders[[#This Row],[Order Date]]</f>
        <v>1</v>
      </c>
      <c r="N224" s="1">
        <f>WEEKNUM([1]!orders[[#This Row],[Order Date]])</f>
        <v>2</v>
      </c>
      <c r="O224" t="str" cm="1">
        <f t="array" ref="O224">_xlfn.IFS([1]!orders[[#This Row],[Customer Gender]]="M","Male", [1]!orders[[#This Row],[Customer Gender]]="F","Female", [1]!orders[[#This Row],[Customer Gender]]="O","Other", TRUE,"Unknown")</f>
        <v>Female</v>
      </c>
    </row>
    <row r="225" spans="1:15" x14ac:dyDescent="0.25">
      <c r="A225" t="s">
        <v>285</v>
      </c>
      <c r="B225" t="s">
        <v>11</v>
      </c>
      <c r="C225">
        <v>4</v>
      </c>
      <c r="D225">
        <v>62.1</v>
      </c>
      <c r="E225">
        <v>248.4</v>
      </c>
      <c r="F225" s="3">
        <v>45667</v>
      </c>
      <c r="G225" s="3">
        <v>45671</v>
      </c>
      <c r="H225" t="s">
        <v>12</v>
      </c>
      <c r="I225" t="s">
        <v>3</v>
      </c>
      <c r="J225">
        <v>4</v>
      </c>
      <c r="K225" t="s">
        <v>4</v>
      </c>
      <c r="L225" t="s">
        <v>34</v>
      </c>
      <c r="M225">
        <f>[1]!orders[[#This Row],[Ship Date]]-[1]!orders[[#This Row],[Order Date]]</f>
        <v>4</v>
      </c>
      <c r="N225">
        <f>WEEKNUM([1]!orders[[#This Row],[Order Date]])</f>
        <v>2</v>
      </c>
      <c r="O225" t="str" cm="1">
        <f t="array" ref="O225">_xlfn.IFS([1]!orders[[#This Row],[Customer Gender]]="M","Male", [1]!orders[[#This Row],[Customer Gender]]="F","Female", [1]!orders[[#This Row],[Customer Gender]]="O","Other", TRUE,"Unknown")</f>
        <v>Female</v>
      </c>
    </row>
    <row r="226" spans="1:15" x14ac:dyDescent="0.25">
      <c r="A226" s="1" t="s">
        <v>286</v>
      </c>
      <c r="B226" s="1" t="s">
        <v>61</v>
      </c>
      <c r="C226" s="1">
        <v>7</v>
      </c>
      <c r="D226" s="1">
        <v>33.1</v>
      </c>
      <c r="E226" s="1">
        <v>231.70000000000002</v>
      </c>
      <c r="F226" s="2">
        <v>45667</v>
      </c>
      <c r="G226" s="2">
        <v>45672</v>
      </c>
      <c r="H226" s="1" t="s">
        <v>8</v>
      </c>
      <c r="I226" s="1" t="s">
        <v>20</v>
      </c>
      <c r="J226" s="1">
        <v>4</v>
      </c>
      <c r="K226" s="1" t="s">
        <v>4</v>
      </c>
      <c r="L226" s="1" t="s">
        <v>40</v>
      </c>
      <c r="M226" s="1">
        <f>[1]!orders[[#This Row],[Ship Date]]-[1]!orders[[#This Row],[Order Date]]</f>
        <v>5</v>
      </c>
      <c r="N226" s="1">
        <f>WEEKNUM([1]!orders[[#This Row],[Order Date]])</f>
        <v>2</v>
      </c>
      <c r="O226" t="str" cm="1">
        <f t="array" ref="O226">_xlfn.IFS([1]!orders[[#This Row],[Customer Gender]]="M","Male", [1]!orders[[#This Row],[Customer Gender]]="F","Female", [1]!orders[[#This Row],[Customer Gender]]="O","Other", TRUE,"Unknown")</f>
        <v>Male</v>
      </c>
    </row>
    <row r="227" spans="1:15" x14ac:dyDescent="0.25">
      <c r="A227" t="s">
        <v>287</v>
      </c>
      <c r="B227" t="s">
        <v>131</v>
      </c>
      <c r="C227">
        <v>5</v>
      </c>
      <c r="D227">
        <v>35.200000000000003</v>
      </c>
      <c r="E227">
        <v>176</v>
      </c>
      <c r="F227" s="3">
        <v>45667</v>
      </c>
      <c r="G227" s="3">
        <v>45667</v>
      </c>
      <c r="H227" t="s">
        <v>12</v>
      </c>
      <c r="I227" t="s">
        <v>20</v>
      </c>
      <c r="J227">
        <v>4</v>
      </c>
      <c r="K227" t="s">
        <v>4</v>
      </c>
      <c r="L227" t="s">
        <v>40</v>
      </c>
      <c r="M227">
        <f>[1]!orders[[#This Row],[Ship Date]]-[1]!orders[[#This Row],[Order Date]]</f>
        <v>0</v>
      </c>
      <c r="N227">
        <f>WEEKNUM([1]!orders[[#This Row],[Order Date]])</f>
        <v>2</v>
      </c>
      <c r="O227" t="str" cm="1">
        <f t="array" ref="O227">_xlfn.IFS([1]!orders[[#This Row],[Customer Gender]]="M","Male", [1]!orders[[#This Row],[Customer Gender]]="F","Female", [1]!orders[[#This Row],[Customer Gender]]="O","Other", TRUE,"Unknown")</f>
        <v>Female</v>
      </c>
    </row>
    <row r="228" spans="1:15" x14ac:dyDescent="0.25">
      <c r="A228" s="1" t="s">
        <v>288</v>
      </c>
      <c r="B228" s="1" t="s">
        <v>31</v>
      </c>
      <c r="C228" s="1">
        <v>3</v>
      </c>
      <c r="D228" s="1">
        <v>32.1</v>
      </c>
      <c r="E228" s="1">
        <v>96.300000000000011</v>
      </c>
      <c r="F228" s="2">
        <v>45667</v>
      </c>
      <c r="G228" s="2">
        <v>45672</v>
      </c>
      <c r="H228" s="1" t="s">
        <v>8</v>
      </c>
      <c r="I228" s="1" t="s">
        <v>36</v>
      </c>
      <c r="J228" s="1">
        <v>4</v>
      </c>
      <c r="K228" s="1" t="s">
        <v>4</v>
      </c>
      <c r="L228" s="1" t="s">
        <v>47</v>
      </c>
      <c r="M228" s="1">
        <f>[1]!orders[[#This Row],[Ship Date]]-[1]!orders[[#This Row],[Order Date]]</f>
        <v>5</v>
      </c>
      <c r="N228" s="1">
        <f>WEEKNUM([1]!orders[[#This Row],[Order Date]])</f>
        <v>2</v>
      </c>
      <c r="O228" t="str" cm="1">
        <f t="array" ref="O228">_xlfn.IFS([1]!orders[[#This Row],[Customer Gender]]="M","Male", [1]!orders[[#This Row],[Customer Gender]]="F","Female", [1]!orders[[#This Row],[Customer Gender]]="O","Other", TRUE,"Unknown")</f>
        <v>Male</v>
      </c>
    </row>
    <row r="229" spans="1:15" x14ac:dyDescent="0.25">
      <c r="A229" t="s">
        <v>289</v>
      </c>
      <c r="B229" t="s">
        <v>52</v>
      </c>
      <c r="C229">
        <v>1</v>
      </c>
      <c r="D229">
        <v>38.1</v>
      </c>
      <c r="E229">
        <v>38.1</v>
      </c>
      <c r="F229" s="3">
        <v>45667</v>
      </c>
      <c r="G229" s="3">
        <v>45672</v>
      </c>
      <c r="H229" t="s">
        <v>12</v>
      </c>
      <c r="I229" t="s">
        <v>3</v>
      </c>
      <c r="J229">
        <v>5</v>
      </c>
      <c r="K229" t="s">
        <v>4</v>
      </c>
      <c r="L229" t="s">
        <v>47</v>
      </c>
      <c r="M229">
        <f>[1]!orders[[#This Row],[Ship Date]]-[1]!orders[[#This Row],[Order Date]]</f>
        <v>5</v>
      </c>
      <c r="N229">
        <f>WEEKNUM([1]!orders[[#This Row],[Order Date]])</f>
        <v>2</v>
      </c>
      <c r="O229" t="str" cm="1">
        <f t="array" ref="O229">_xlfn.IFS([1]!orders[[#This Row],[Customer Gender]]="M","Male", [1]!orders[[#This Row],[Customer Gender]]="F","Female", [1]!orders[[#This Row],[Customer Gender]]="O","Other", TRUE,"Unknown")</f>
        <v>Female</v>
      </c>
    </row>
    <row r="230" spans="1:15" x14ac:dyDescent="0.25">
      <c r="A230" s="1" t="s">
        <v>290</v>
      </c>
      <c r="B230" s="1" t="s">
        <v>29</v>
      </c>
      <c r="C230" s="1">
        <v>1</v>
      </c>
      <c r="D230" s="1">
        <v>65.2</v>
      </c>
      <c r="E230" s="1">
        <v>65.2</v>
      </c>
      <c r="F230" s="2">
        <v>45667</v>
      </c>
      <c r="G230" s="2">
        <v>45672</v>
      </c>
      <c r="H230" s="1" t="s">
        <v>12</v>
      </c>
      <c r="I230" s="1" t="s">
        <v>36</v>
      </c>
      <c r="J230" s="1">
        <v>3</v>
      </c>
      <c r="K230" s="1" t="s">
        <v>4</v>
      </c>
      <c r="L230" s="1" t="s">
        <v>47</v>
      </c>
      <c r="M230" s="1">
        <f>[1]!orders[[#This Row],[Ship Date]]-[1]!orders[[#This Row],[Order Date]]</f>
        <v>5</v>
      </c>
      <c r="N230" s="1">
        <f>WEEKNUM([1]!orders[[#This Row],[Order Date]])</f>
        <v>2</v>
      </c>
      <c r="O230" t="str" cm="1">
        <f t="array" ref="O230">_xlfn.IFS([1]!orders[[#This Row],[Customer Gender]]="M","Male", [1]!orders[[#This Row],[Customer Gender]]="F","Female", [1]!orders[[#This Row],[Customer Gender]]="O","Other", TRUE,"Unknown")</f>
        <v>Female</v>
      </c>
    </row>
    <row r="231" spans="1:15" x14ac:dyDescent="0.25">
      <c r="A231" t="s">
        <v>291</v>
      </c>
      <c r="B231" t="s">
        <v>39</v>
      </c>
      <c r="C231">
        <v>7</v>
      </c>
      <c r="D231">
        <v>55.2</v>
      </c>
      <c r="E231">
        <v>386.40000000000003</v>
      </c>
      <c r="F231" s="3">
        <v>45667</v>
      </c>
      <c r="G231" s="3">
        <v>45668</v>
      </c>
      <c r="H231" t="s">
        <v>8</v>
      </c>
      <c r="I231" t="s">
        <v>25</v>
      </c>
      <c r="J231">
        <v>4</v>
      </c>
      <c r="K231" t="s">
        <v>4</v>
      </c>
      <c r="L231" t="s">
        <v>62</v>
      </c>
      <c r="M231">
        <f>[1]!orders[[#This Row],[Ship Date]]-[1]!orders[[#This Row],[Order Date]]</f>
        <v>1</v>
      </c>
      <c r="N231">
        <f>WEEKNUM([1]!orders[[#This Row],[Order Date]])</f>
        <v>2</v>
      </c>
      <c r="O231" t="str" cm="1">
        <f t="array" ref="O231">_xlfn.IFS([1]!orders[[#This Row],[Customer Gender]]="M","Male", [1]!orders[[#This Row],[Customer Gender]]="F","Female", [1]!orders[[#This Row],[Customer Gender]]="O","Other", TRUE,"Unknown")</f>
        <v>Male</v>
      </c>
    </row>
    <row r="232" spans="1:15" x14ac:dyDescent="0.25">
      <c r="A232" s="1" t="s">
        <v>292</v>
      </c>
      <c r="B232" s="1" t="s">
        <v>24</v>
      </c>
      <c r="C232" s="1">
        <v>1</v>
      </c>
      <c r="D232" s="1">
        <v>62</v>
      </c>
      <c r="E232" s="1">
        <v>62</v>
      </c>
      <c r="F232" s="2">
        <v>45667</v>
      </c>
      <c r="G232" s="2">
        <v>45671</v>
      </c>
      <c r="H232" s="1" t="s">
        <v>12</v>
      </c>
      <c r="I232" s="1" t="s">
        <v>3</v>
      </c>
      <c r="J232" s="1">
        <v>4</v>
      </c>
      <c r="K232" s="1" t="s">
        <v>4</v>
      </c>
      <c r="L232" s="1" t="s">
        <v>62</v>
      </c>
      <c r="M232" s="1">
        <f>[1]!orders[[#This Row],[Ship Date]]-[1]!orders[[#This Row],[Order Date]]</f>
        <v>4</v>
      </c>
      <c r="N232" s="1">
        <f>WEEKNUM([1]!orders[[#This Row],[Order Date]])</f>
        <v>2</v>
      </c>
      <c r="O232" t="str" cm="1">
        <f t="array" ref="O232">_xlfn.IFS([1]!orders[[#This Row],[Customer Gender]]="M","Male", [1]!orders[[#This Row],[Customer Gender]]="F","Female", [1]!orders[[#This Row],[Customer Gender]]="O","Other", TRUE,"Unknown")</f>
        <v>Female</v>
      </c>
    </row>
    <row r="233" spans="1:15" x14ac:dyDescent="0.25">
      <c r="A233" t="s">
        <v>293</v>
      </c>
      <c r="B233" t="s">
        <v>27</v>
      </c>
      <c r="C233">
        <v>3</v>
      </c>
      <c r="D233">
        <v>45.9</v>
      </c>
      <c r="E233">
        <v>137.69999999999999</v>
      </c>
      <c r="F233" s="3">
        <v>45667</v>
      </c>
      <c r="G233" s="3">
        <v>45668</v>
      </c>
      <c r="H233" t="s">
        <v>12</v>
      </c>
      <c r="I233" t="s">
        <v>25</v>
      </c>
      <c r="J233">
        <v>4</v>
      </c>
      <c r="K233" t="s">
        <v>4</v>
      </c>
      <c r="L233" t="s">
        <v>294</v>
      </c>
      <c r="M233">
        <f>[1]!orders[[#This Row],[Ship Date]]-[1]!orders[[#This Row],[Order Date]]</f>
        <v>1</v>
      </c>
      <c r="N233">
        <f>WEEKNUM([1]!orders[[#This Row],[Order Date]])</f>
        <v>2</v>
      </c>
      <c r="O233" t="str" cm="1">
        <f t="array" ref="O233">_xlfn.IFS([1]!orders[[#This Row],[Customer Gender]]="M","Male", [1]!orders[[#This Row],[Customer Gender]]="F","Female", [1]!orders[[#This Row],[Customer Gender]]="O","Other", TRUE,"Unknown")</f>
        <v>Female</v>
      </c>
    </row>
    <row r="234" spans="1:15" x14ac:dyDescent="0.25">
      <c r="A234" s="1" t="s">
        <v>295</v>
      </c>
      <c r="B234" s="1" t="s">
        <v>131</v>
      </c>
      <c r="C234" s="1">
        <v>3</v>
      </c>
      <c r="D234" s="1">
        <v>58.3</v>
      </c>
      <c r="E234" s="1">
        <v>174.89999999999998</v>
      </c>
      <c r="F234" s="2">
        <v>45667</v>
      </c>
      <c r="G234" s="2">
        <v>45667</v>
      </c>
      <c r="H234" s="1" t="s">
        <v>8</v>
      </c>
      <c r="I234" s="1" t="s">
        <v>20</v>
      </c>
      <c r="J234" s="1">
        <v>3</v>
      </c>
      <c r="K234" s="1" t="s">
        <v>4</v>
      </c>
      <c r="L234" s="1" t="s">
        <v>93</v>
      </c>
      <c r="M234" s="1">
        <f>[1]!orders[[#This Row],[Ship Date]]-[1]!orders[[#This Row],[Order Date]]</f>
        <v>0</v>
      </c>
      <c r="N234" s="1">
        <f>WEEKNUM([1]!orders[[#This Row],[Order Date]])</f>
        <v>2</v>
      </c>
      <c r="O234" t="str" cm="1">
        <f t="array" ref="O234">_xlfn.IFS([1]!orders[[#This Row],[Customer Gender]]="M","Male", [1]!orders[[#This Row],[Customer Gender]]="F","Female", [1]!orders[[#This Row],[Customer Gender]]="O","Other", TRUE,"Unknown")</f>
        <v>Male</v>
      </c>
    </row>
    <row r="235" spans="1:15" x14ac:dyDescent="0.25">
      <c r="A235" t="s">
        <v>296</v>
      </c>
      <c r="B235" t="s">
        <v>29</v>
      </c>
      <c r="C235">
        <v>2</v>
      </c>
      <c r="D235">
        <v>22.3</v>
      </c>
      <c r="E235">
        <v>44.6</v>
      </c>
      <c r="F235" s="3">
        <v>45667</v>
      </c>
      <c r="G235" s="3">
        <v>45670</v>
      </c>
      <c r="H235" t="s">
        <v>12</v>
      </c>
      <c r="I235" t="s">
        <v>3</v>
      </c>
      <c r="J235">
        <v>5</v>
      </c>
      <c r="K235" t="s">
        <v>4</v>
      </c>
      <c r="L235" t="s">
        <v>98</v>
      </c>
      <c r="M235">
        <f>[1]!orders[[#This Row],[Ship Date]]-[1]!orders[[#This Row],[Order Date]]</f>
        <v>3</v>
      </c>
      <c r="N235">
        <f>WEEKNUM([1]!orders[[#This Row],[Order Date]])</f>
        <v>2</v>
      </c>
      <c r="O235" t="str" cm="1">
        <f t="array" ref="O235">_xlfn.IFS([1]!orders[[#This Row],[Customer Gender]]="M","Male", [1]!orders[[#This Row],[Customer Gender]]="F","Female", [1]!orders[[#This Row],[Customer Gender]]="O","Other", TRUE,"Unknown")</f>
        <v>Female</v>
      </c>
    </row>
    <row r="236" spans="1:15" x14ac:dyDescent="0.25">
      <c r="A236" s="1" t="s">
        <v>297</v>
      </c>
      <c r="B236" s="1" t="s">
        <v>156</v>
      </c>
      <c r="C236" s="1">
        <v>5</v>
      </c>
      <c r="D236" s="1">
        <v>24</v>
      </c>
      <c r="E236" s="1">
        <v>120</v>
      </c>
      <c r="F236" s="2">
        <v>45667</v>
      </c>
      <c r="G236" s="2">
        <v>45668</v>
      </c>
      <c r="H236" s="1" t="s">
        <v>8</v>
      </c>
      <c r="I236" s="1" t="s">
        <v>55</v>
      </c>
      <c r="J236" s="1">
        <v>4</v>
      </c>
      <c r="K236" s="1" t="s">
        <v>4</v>
      </c>
      <c r="L236" s="1" t="s">
        <v>9</v>
      </c>
      <c r="M236" s="1">
        <f>[1]!orders[[#This Row],[Ship Date]]-[1]!orders[[#This Row],[Order Date]]</f>
        <v>1</v>
      </c>
      <c r="N236" s="1">
        <f>WEEKNUM([1]!orders[[#This Row],[Order Date]])</f>
        <v>2</v>
      </c>
      <c r="O236" t="str" cm="1">
        <f t="array" ref="O236">_xlfn.IFS([1]!orders[[#This Row],[Customer Gender]]="M","Male", [1]!orders[[#This Row],[Customer Gender]]="F","Female", [1]!orders[[#This Row],[Customer Gender]]="O","Other", TRUE,"Unknown")</f>
        <v>Male</v>
      </c>
    </row>
    <row r="237" spans="1:15" x14ac:dyDescent="0.25">
      <c r="A237" t="s">
        <v>298</v>
      </c>
      <c r="B237" t="s">
        <v>1</v>
      </c>
      <c r="C237">
        <v>10</v>
      </c>
      <c r="D237">
        <v>21.3</v>
      </c>
      <c r="E237">
        <v>213</v>
      </c>
      <c r="F237" s="3">
        <v>45667</v>
      </c>
      <c r="G237" s="3">
        <v>45667</v>
      </c>
      <c r="H237" t="s">
        <v>12</v>
      </c>
      <c r="I237" t="s">
        <v>20</v>
      </c>
      <c r="J237">
        <v>5</v>
      </c>
      <c r="K237" t="s">
        <v>4</v>
      </c>
      <c r="L237" t="s">
        <v>132</v>
      </c>
      <c r="M237">
        <f>[1]!orders[[#This Row],[Ship Date]]-[1]!orders[[#This Row],[Order Date]]</f>
        <v>0</v>
      </c>
      <c r="N237">
        <f>WEEKNUM([1]!orders[[#This Row],[Order Date]])</f>
        <v>2</v>
      </c>
      <c r="O237" t="str" cm="1">
        <f t="array" ref="O237">_xlfn.IFS([1]!orders[[#This Row],[Customer Gender]]="M","Male", [1]!orders[[#This Row],[Customer Gender]]="F","Female", [1]!orders[[#This Row],[Customer Gender]]="O","Other", TRUE,"Unknown")</f>
        <v>Female</v>
      </c>
    </row>
    <row r="238" spans="1:15" x14ac:dyDescent="0.25">
      <c r="A238" s="1" t="s">
        <v>299</v>
      </c>
      <c r="B238" s="1" t="s">
        <v>24</v>
      </c>
      <c r="C238" s="1">
        <v>41</v>
      </c>
      <c r="D238" s="1">
        <v>57.8</v>
      </c>
      <c r="E238" s="1">
        <v>2369.7999999999997</v>
      </c>
      <c r="F238" s="2">
        <v>45667</v>
      </c>
      <c r="G238" s="2">
        <v>45669</v>
      </c>
      <c r="H238" s="1" t="s">
        <v>12</v>
      </c>
      <c r="I238" s="1" t="s">
        <v>3</v>
      </c>
      <c r="J238" s="1">
        <v>5</v>
      </c>
      <c r="K238" s="1" t="s">
        <v>4</v>
      </c>
      <c r="L238" s="1" t="s">
        <v>18</v>
      </c>
      <c r="M238" s="1">
        <f>[1]!orders[[#This Row],[Ship Date]]-[1]!orders[[#This Row],[Order Date]]</f>
        <v>2</v>
      </c>
      <c r="N238" s="1">
        <f>WEEKNUM([1]!orders[[#This Row],[Order Date]])</f>
        <v>2</v>
      </c>
      <c r="O238" t="str" cm="1">
        <f t="array" ref="O238">_xlfn.IFS([1]!orders[[#This Row],[Customer Gender]]="M","Male", [1]!orders[[#This Row],[Customer Gender]]="F","Female", [1]!orders[[#This Row],[Customer Gender]]="O","Other", TRUE,"Unknown")</f>
        <v>Female</v>
      </c>
    </row>
    <row r="239" spans="1:15" x14ac:dyDescent="0.25">
      <c r="A239" t="s">
        <v>300</v>
      </c>
      <c r="B239" t="s">
        <v>39</v>
      </c>
      <c r="C239">
        <v>3</v>
      </c>
      <c r="D239">
        <v>67.599999999999994</v>
      </c>
      <c r="E239">
        <v>202.79999999999998</v>
      </c>
      <c r="F239" s="3">
        <v>45667</v>
      </c>
      <c r="G239" s="3">
        <v>45668</v>
      </c>
      <c r="H239" t="s">
        <v>12</v>
      </c>
      <c r="I239" t="s">
        <v>3</v>
      </c>
      <c r="J239">
        <v>4</v>
      </c>
      <c r="K239" t="s">
        <v>4</v>
      </c>
      <c r="L239" t="s">
        <v>18</v>
      </c>
      <c r="M239">
        <f>[1]!orders[[#This Row],[Ship Date]]-[1]!orders[[#This Row],[Order Date]]</f>
        <v>1</v>
      </c>
      <c r="N239">
        <f>WEEKNUM([1]!orders[[#This Row],[Order Date]])</f>
        <v>2</v>
      </c>
      <c r="O239" t="str" cm="1">
        <f t="array" ref="O239">_xlfn.IFS([1]!orders[[#This Row],[Customer Gender]]="M","Male", [1]!orders[[#This Row],[Customer Gender]]="F","Female", [1]!orders[[#This Row],[Customer Gender]]="O","Other", TRUE,"Unknown")</f>
        <v>Female</v>
      </c>
    </row>
    <row r="240" spans="1:15" x14ac:dyDescent="0.25">
      <c r="A240" s="1" t="s">
        <v>301</v>
      </c>
      <c r="B240" s="1" t="s">
        <v>24</v>
      </c>
      <c r="C240" s="1">
        <v>6</v>
      </c>
      <c r="D240" s="1">
        <v>66.7</v>
      </c>
      <c r="E240" s="1">
        <v>400.20000000000005</v>
      </c>
      <c r="F240" s="2">
        <v>45667</v>
      </c>
      <c r="G240" s="2">
        <v>45671</v>
      </c>
      <c r="H240" s="1" t="s">
        <v>8</v>
      </c>
      <c r="I240" s="1" t="s">
        <v>55</v>
      </c>
      <c r="J240" s="1">
        <v>3</v>
      </c>
      <c r="K240" s="1" t="s">
        <v>4</v>
      </c>
      <c r="L240" s="1" t="s">
        <v>18</v>
      </c>
      <c r="M240" s="1">
        <f>[1]!orders[[#This Row],[Ship Date]]-[1]!orders[[#This Row],[Order Date]]</f>
        <v>4</v>
      </c>
      <c r="N240" s="1">
        <f>WEEKNUM([1]!orders[[#This Row],[Order Date]])</f>
        <v>2</v>
      </c>
      <c r="O240" t="str" cm="1">
        <f t="array" ref="O240">_xlfn.IFS([1]!orders[[#This Row],[Customer Gender]]="M","Male", [1]!orders[[#This Row],[Customer Gender]]="F","Female", [1]!orders[[#This Row],[Customer Gender]]="O","Other", TRUE,"Unknown")</f>
        <v>Male</v>
      </c>
    </row>
    <row r="241" spans="1:15" x14ac:dyDescent="0.25">
      <c r="A241" t="s">
        <v>302</v>
      </c>
      <c r="B241" t="s">
        <v>7</v>
      </c>
      <c r="C241">
        <v>4</v>
      </c>
      <c r="D241">
        <v>53.1</v>
      </c>
      <c r="E241">
        <v>212.4</v>
      </c>
      <c r="F241" s="3">
        <v>45667</v>
      </c>
      <c r="G241" s="3">
        <v>45669</v>
      </c>
      <c r="H241" t="s">
        <v>12</v>
      </c>
      <c r="I241" t="s">
        <v>20</v>
      </c>
      <c r="J241">
        <v>4</v>
      </c>
      <c r="K241" t="s">
        <v>4</v>
      </c>
      <c r="L241" t="s">
        <v>18</v>
      </c>
      <c r="M241">
        <f>[1]!orders[[#This Row],[Ship Date]]-[1]!orders[[#This Row],[Order Date]]</f>
        <v>2</v>
      </c>
      <c r="N241">
        <f>WEEKNUM([1]!orders[[#This Row],[Order Date]])</f>
        <v>2</v>
      </c>
      <c r="O241" t="str" cm="1">
        <f t="array" ref="O241">_xlfn.IFS([1]!orders[[#This Row],[Customer Gender]]="M","Male", [1]!orders[[#This Row],[Customer Gender]]="F","Female", [1]!orders[[#This Row],[Customer Gender]]="O","Other", TRUE,"Unknown")</f>
        <v>Female</v>
      </c>
    </row>
    <row r="242" spans="1:15" x14ac:dyDescent="0.25">
      <c r="A242" s="1" t="s">
        <v>303</v>
      </c>
      <c r="B242" s="1" t="s">
        <v>54</v>
      </c>
      <c r="C242" s="1">
        <v>3</v>
      </c>
      <c r="D242" s="1">
        <v>57.4</v>
      </c>
      <c r="E242" s="1">
        <v>172.2</v>
      </c>
      <c r="F242" s="2">
        <v>45667</v>
      </c>
      <c r="G242" s="2">
        <v>45670</v>
      </c>
      <c r="H242" s="1" t="s">
        <v>12</v>
      </c>
      <c r="I242" s="1" t="s">
        <v>3</v>
      </c>
      <c r="J242" s="1">
        <v>5</v>
      </c>
      <c r="K242" s="1" t="s">
        <v>4</v>
      </c>
      <c r="L242" s="1" t="s">
        <v>243</v>
      </c>
      <c r="M242" s="1">
        <f>[1]!orders[[#This Row],[Ship Date]]-[1]!orders[[#This Row],[Order Date]]</f>
        <v>3</v>
      </c>
      <c r="N242" s="1">
        <f>WEEKNUM([1]!orders[[#This Row],[Order Date]])</f>
        <v>2</v>
      </c>
      <c r="O242" t="str" cm="1">
        <f t="array" ref="O242">_xlfn.IFS([1]!orders[[#This Row],[Customer Gender]]="M","Male", [1]!orders[[#This Row],[Customer Gender]]="F","Female", [1]!orders[[#This Row],[Customer Gender]]="O","Other", TRUE,"Unknown")</f>
        <v>Female</v>
      </c>
    </row>
    <row r="243" spans="1:15" x14ac:dyDescent="0.25">
      <c r="A243" t="s">
        <v>304</v>
      </c>
      <c r="B243" t="s">
        <v>11</v>
      </c>
      <c r="C243">
        <v>5</v>
      </c>
      <c r="D243">
        <v>58.1</v>
      </c>
      <c r="E243">
        <v>290.5</v>
      </c>
      <c r="F243" s="3">
        <v>45667</v>
      </c>
      <c r="G243" s="3">
        <v>45667</v>
      </c>
      <c r="H243" t="s">
        <v>8</v>
      </c>
      <c r="I243" t="s">
        <v>25</v>
      </c>
      <c r="J243">
        <v>5</v>
      </c>
      <c r="K243" t="s">
        <v>4</v>
      </c>
      <c r="L243" t="s">
        <v>40</v>
      </c>
      <c r="M243">
        <f>[1]!orders[[#This Row],[Ship Date]]-[1]!orders[[#This Row],[Order Date]]</f>
        <v>0</v>
      </c>
      <c r="N243">
        <f>WEEKNUM([1]!orders[[#This Row],[Order Date]])</f>
        <v>2</v>
      </c>
      <c r="O243" t="str" cm="1">
        <f t="array" ref="O243">_xlfn.IFS([1]!orders[[#This Row],[Customer Gender]]="M","Male", [1]!orders[[#This Row],[Customer Gender]]="F","Female", [1]!orders[[#This Row],[Customer Gender]]="O","Other", TRUE,"Unknown")</f>
        <v>Male</v>
      </c>
    </row>
    <row r="244" spans="1:15" x14ac:dyDescent="0.25">
      <c r="A244" s="1" t="s">
        <v>305</v>
      </c>
      <c r="B244" s="1" t="s">
        <v>22</v>
      </c>
      <c r="C244" s="1">
        <v>3</v>
      </c>
      <c r="D244" s="1">
        <v>31.8</v>
      </c>
      <c r="E244" s="1">
        <v>95.4</v>
      </c>
      <c r="F244" s="2">
        <v>45668</v>
      </c>
      <c r="G244" s="2">
        <v>45670</v>
      </c>
      <c r="H244" s="1" t="s">
        <v>8</v>
      </c>
      <c r="I244" s="1" t="s">
        <v>36</v>
      </c>
      <c r="J244" s="1">
        <v>4</v>
      </c>
      <c r="K244" s="1" t="s">
        <v>4</v>
      </c>
      <c r="L244" s="1" t="s">
        <v>40</v>
      </c>
      <c r="M244" s="1">
        <f>[1]!orders[[#This Row],[Ship Date]]-[1]!orders[[#This Row],[Order Date]]</f>
        <v>2</v>
      </c>
      <c r="N244" s="1">
        <f>WEEKNUM([1]!orders[[#This Row],[Order Date]])</f>
        <v>2</v>
      </c>
      <c r="O244" t="str" cm="1">
        <f t="array" ref="O244">_xlfn.IFS([1]!orders[[#This Row],[Customer Gender]]="M","Male", [1]!orders[[#This Row],[Customer Gender]]="F","Female", [1]!orders[[#This Row],[Customer Gender]]="O","Other", TRUE,"Unknown")</f>
        <v>Male</v>
      </c>
    </row>
    <row r="245" spans="1:15" x14ac:dyDescent="0.25">
      <c r="A245" t="s">
        <v>306</v>
      </c>
      <c r="B245" t="s">
        <v>17</v>
      </c>
      <c r="C245">
        <v>3</v>
      </c>
      <c r="D245">
        <v>31.5</v>
      </c>
      <c r="E245">
        <v>94.5</v>
      </c>
      <c r="F245" s="3">
        <v>45668</v>
      </c>
      <c r="G245" s="3">
        <v>45671</v>
      </c>
      <c r="H245" t="s">
        <v>8</v>
      </c>
      <c r="I245" t="s">
        <v>3</v>
      </c>
      <c r="J245">
        <v>3</v>
      </c>
      <c r="K245" t="s">
        <v>4</v>
      </c>
      <c r="L245" t="s">
        <v>47</v>
      </c>
      <c r="M245">
        <f>[1]!orders[[#This Row],[Ship Date]]-[1]!orders[[#This Row],[Order Date]]</f>
        <v>3</v>
      </c>
      <c r="N245">
        <f>WEEKNUM([1]!orders[[#This Row],[Order Date]])</f>
        <v>2</v>
      </c>
      <c r="O245" t="str" cm="1">
        <f t="array" ref="O245">_xlfn.IFS([1]!orders[[#This Row],[Customer Gender]]="M","Male", [1]!orders[[#This Row],[Customer Gender]]="F","Female", [1]!orders[[#This Row],[Customer Gender]]="O","Other", TRUE,"Unknown")</f>
        <v>Male</v>
      </c>
    </row>
    <row r="246" spans="1:15" x14ac:dyDescent="0.25">
      <c r="A246" s="1" t="s">
        <v>307</v>
      </c>
      <c r="B246" s="1" t="s">
        <v>24</v>
      </c>
      <c r="C246" s="1">
        <v>7</v>
      </c>
      <c r="D246" s="1">
        <v>55.9</v>
      </c>
      <c r="E246" s="1">
        <v>391.3</v>
      </c>
      <c r="F246" s="2">
        <v>45668</v>
      </c>
      <c r="G246" s="2">
        <v>45672</v>
      </c>
      <c r="H246" s="1" t="s">
        <v>12</v>
      </c>
      <c r="I246" s="1" t="s">
        <v>20</v>
      </c>
      <c r="J246" s="1">
        <v>5</v>
      </c>
      <c r="K246" s="1" t="s">
        <v>4</v>
      </c>
      <c r="L246" s="1" t="s">
        <v>47</v>
      </c>
      <c r="M246" s="1">
        <f>[1]!orders[[#This Row],[Ship Date]]-[1]!orders[[#This Row],[Order Date]]</f>
        <v>4</v>
      </c>
      <c r="N246" s="1">
        <f>WEEKNUM([1]!orders[[#This Row],[Order Date]])</f>
        <v>2</v>
      </c>
      <c r="O246" t="str" cm="1">
        <f t="array" ref="O246">_xlfn.IFS([1]!orders[[#This Row],[Customer Gender]]="M","Male", [1]!orders[[#This Row],[Customer Gender]]="F","Female", [1]!orders[[#This Row],[Customer Gender]]="O","Other", TRUE,"Unknown")</f>
        <v>Female</v>
      </c>
    </row>
    <row r="247" spans="1:15" x14ac:dyDescent="0.25">
      <c r="A247" t="s">
        <v>308</v>
      </c>
      <c r="B247" t="s">
        <v>29</v>
      </c>
      <c r="C247">
        <v>2</v>
      </c>
      <c r="D247">
        <v>36.4</v>
      </c>
      <c r="E247">
        <v>72.8</v>
      </c>
      <c r="F247" s="3">
        <v>45668</v>
      </c>
      <c r="G247" s="3">
        <v>45669</v>
      </c>
      <c r="H247" t="s">
        <v>8</v>
      </c>
      <c r="I247" t="s">
        <v>20</v>
      </c>
      <c r="J247">
        <v>3</v>
      </c>
      <c r="K247" t="s">
        <v>4</v>
      </c>
      <c r="L247" t="s">
        <v>57</v>
      </c>
      <c r="M247">
        <f>[1]!orders[[#This Row],[Ship Date]]-[1]!orders[[#This Row],[Order Date]]</f>
        <v>1</v>
      </c>
      <c r="N247">
        <f>WEEKNUM([1]!orders[[#This Row],[Order Date]])</f>
        <v>2</v>
      </c>
      <c r="O247" t="str" cm="1">
        <f t="array" ref="O247">_xlfn.IFS([1]!orders[[#This Row],[Customer Gender]]="M","Male", [1]!orders[[#This Row],[Customer Gender]]="F","Female", [1]!orders[[#This Row],[Customer Gender]]="O","Other", TRUE,"Unknown")</f>
        <v>Male</v>
      </c>
    </row>
    <row r="248" spans="1:15" x14ac:dyDescent="0.25">
      <c r="A248" s="1" t="s">
        <v>309</v>
      </c>
      <c r="B248" s="1" t="s">
        <v>7</v>
      </c>
      <c r="C248" s="1">
        <v>5</v>
      </c>
      <c r="D248" s="1">
        <v>47.3</v>
      </c>
      <c r="E248" s="1">
        <v>236.5</v>
      </c>
      <c r="F248" s="2">
        <v>45668</v>
      </c>
      <c r="G248" s="2">
        <v>45671</v>
      </c>
      <c r="H248" s="1" t="s">
        <v>8</v>
      </c>
      <c r="I248" s="1" t="s">
        <v>25</v>
      </c>
      <c r="J248" s="1">
        <v>4</v>
      </c>
      <c r="K248" s="1" t="s">
        <v>4</v>
      </c>
      <c r="L248" s="1" t="s">
        <v>59</v>
      </c>
      <c r="M248" s="1">
        <f>[1]!orders[[#This Row],[Ship Date]]-[1]!orders[[#This Row],[Order Date]]</f>
        <v>3</v>
      </c>
      <c r="N248" s="1">
        <f>WEEKNUM([1]!orders[[#This Row],[Order Date]])</f>
        <v>2</v>
      </c>
      <c r="O248" t="str" cm="1">
        <f t="array" ref="O248">_xlfn.IFS([1]!orders[[#This Row],[Customer Gender]]="M","Male", [1]!orders[[#This Row],[Customer Gender]]="F","Female", [1]!orders[[#This Row],[Customer Gender]]="O","Other", TRUE,"Unknown")</f>
        <v>Male</v>
      </c>
    </row>
    <row r="249" spans="1:15" x14ac:dyDescent="0.25">
      <c r="A249" t="s">
        <v>310</v>
      </c>
      <c r="B249" t="s">
        <v>24</v>
      </c>
      <c r="C249">
        <v>3</v>
      </c>
      <c r="D249">
        <v>82.5</v>
      </c>
      <c r="E249">
        <v>247.5</v>
      </c>
      <c r="F249" s="3">
        <v>45668</v>
      </c>
      <c r="G249" s="3">
        <v>45669</v>
      </c>
      <c r="H249" t="s">
        <v>8</v>
      </c>
      <c r="I249" t="s">
        <v>3</v>
      </c>
      <c r="J249">
        <v>4</v>
      </c>
      <c r="K249" t="s">
        <v>4</v>
      </c>
      <c r="L249" t="s">
        <v>62</v>
      </c>
      <c r="M249">
        <f>[1]!orders[[#This Row],[Ship Date]]-[1]!orders[[#This Row],[Order Date]]</f>
        <v>1</v>
      </c>
      <c r="N249">
        <f>WEEKNUM([1]!orders[[#This Row],[Order Date]])</f>
        <v>2</v>
      </c>
      <c r="O249" t="str" cm="1">
        <f t="array" ref="O249">_xlfn.IFS([1]!orders[[#This Row],[Customer Gender]]="M","Male", [1]!orders[[#This Row],[Customer Gender]]="F","Female", [1]!orders[[#This Row],[Customer Gender]]="O","Other", TRUE,"Unknown")</f>
        <v>Male</v>
      </c>
    </row>
    <row r="250" spans="1:15" x14ac:dyDescent="0.25">
      <c r="A250" s="1" t="s">
        <v>311</v>
      </c>
      <c r="B250" s="1" t="s">
        <v>1</v>
      </c>
      <c r="C250" s="1">
        <v>1</v>
      </c>
      <c r="D250" s="1">
        <v>14.3</v>
      </c>
      <c r="E250" s="1">
        <v>14.3</v>
      </c>
      <c r="F250" s="2">
        <v>45668</v>
      </c>
      <c r="G250" s="2">
        <v>45669</v>
      </c>
      <c r="H250" s="1" t="s">
        <v>12</v>
      </c>
      <c r="I250" s="1" t="s">
        <v>3</v>
      </c>
      <c r="J250" s="1">
        <v>4</v>
      </c>
      <c r="K250" s="1" t="s">
        <v>4</v>
      </c>
      <c r="L250" s="1" t="s">
        <v>100</v>
      </c>
      <c r="M250" s="1">
        <f>[1]!orders[[#This Row],[Ship Date]]-[1]!orders[[#This Row],[Order Date]]</f>
        <v>1</v>
      </c>
      <c r="N250" s="1">
        <f>WEEKNUM([1]!orders[[#This Row],[Order Date]])</f>
        <v>2</v>
      </c>
      <c r="O250" t="str" cm="1">
        <f t="array" ref="O250">_xlfn.IFS([1]!orders[[#This Row],[Customer Gender]]="M","Male", [1]!orders[[#This Row],[Customer Gender]]="F","Female", [1]!orders[[#This Row],[Customer Gender]]="O","Other", TRUE,"Unknown")</f>
        <v>Female</v>
      </c>
    </row>
    <row r="251" spans="1:15" x14ac:dyDescent="0.25">
      <c r="A251" t="s">
        <v>312</v>
      </c>
      <c r="B251" t="s">
        <v>11</v>
      </c>
      <c r="C251">
        <v>6</v>
      </c>
      <c r="D251">
        <v>57.6</v>
      </c>
      <c r="E251">
        <v>345.6</v>
      </c>
      <c r="F251" s="3">
        <v>45668</v>
      </c>
      <c r="G251" s="3">
        <v>45682</v>
      </c>
      <c r="H251" t="s">
        <v>12</v>
      </c>
      <c r="I251" t="s">
        <v>3</v>
      </c>
      <c r="J251">
        <v>4</v>
      </c>
      <c r="K251" t="s">
        <v>4</v>
      </c>
      <c r="L251" t="s">
        <v>100</v>
      </c>
      <c r="M251">
        <f>[1]!orders[[#This Row],[Ship Date]]-[1]!orders[[#This Row],[Order Date]]</f>
        <v>14</v>
      </c>
      <c r="N251">
        <f>WEEKNUM([1]!orders[[#This Row],[Order Date]])</f>
        <v>2</v>
      </c>
      <c r="O251" t="str" cm="1">
        <f t="array" ref="O251">_xlfn.IFS([1]!orders[[#This Row],[Customer Gender]]="M","Male", [1]!orders[[#This Row],[Customer Gender]]="F","Female", [1]!orders[[#This Row],[Customer Gender]]="O","Other", TRUE,"Unknown")</f>
        <v>Female</v>
      </c>
    </row>
    <row r="252" spans="1:15" x14ac:dyDescent="0.25">
      <c r="A252" s="1" t="s">
        <v>313</v>
      </c>
      <c r="B252" s="1" t="s">
        <v>11</v>
      </c>
      <c r="C252" s="1">
        <v>3</v>
      </c>
      <c r="D252" s="1">
        <v>142.4</v>
      </c>
      <c r="E252" s="1">
        <v>427.20000000000005</v>
      </c>
      <c r="F252" s="2">
        <v>45668</v>
      </c>
      <c r="G252" s="2">
        <v>45670</v>
      </c>
      <c r="H252" s="1" t="s">
        <v>8</v>
      </c>
      <c r="I252" s="1" t="s">
        <v>55</v>
      </c>
      <c r="J252" s="1">
        <v>3</v>
      </c>
      <c r="K252" s="1" t="s">
        <v>4</v>
      </c>
      <c r="L252" s="1" t="s">
        <v>100</v>
      </c>
      <c r="M252" s="1">
        <f>[1]!orders[[#This Row],[Ship Date]]-[1]!orders[[#This Row],[Order Date]]</f>
        <v>2</v>
      </c>
      <c r="N252" s="1">
        <f>WEEKNUM([1]!orders[[#This Row],[Order Date]])</f>
        <v>2</v>
      </c>
      <c r="O252" t="str" cm="1">
        <f t="array" ref="O252">_xlfn.IFS([1]!orders[[#This Row],[Customer Gender]]="M","Male", [1]!orders[[#This Row],[Customer Gender]]="F","Female", [1]!orders[[#This Row],[Customer Gender]]="O","Other", TRUE,"Unknown")</f>
        <v>Male</v>
      </c>
    </row>
    <row r="253" spans="1:15" x14ac:dyDescent="0.25">
      <c r="A253" t="s">
        <v>314</v>
      </c>
      <c r="B253" t="s">
        <v>54</v>
      </c>
      <c r="C253">
        <v>1</v>
      </c>
      <c r="D253">
        <v>30.2</v>
      </c>
      <c r="E253">
        <v>30.2</v>
      </c>
      <c r="F253" s="3">
        <v>45668</v>
      </c>
      <c r="G253" s="3">
        <v>45672</v>
      </c>
      <c r="H253" t="s">
        <v>8</v>
      </c>
      <c r="I253" t="s">
        <v>20</v>
      </c>
      <c r="J253">
        <v>5</v>
      </c>
      <c r="K253" t="s">
        <v>4</v>
      </c>
      <c r="L253" t="s">
        <v>13</v>
      </c>
      <c r="M253">
        <f>[1]!orders[[#This Row],[Ship Date]]-[1]!orders[[#This Row],[Order Date]]</f>
        <v>4</v>
      </c>
      <c r="N253">
        <f>WEEKNUM([1]!orders[[#This Row],[Order Date]])</f>
        <v>2</v>
      </c>
      <c r="O253" t="str" cm="1">
        <f t="array" ref="O253">_xlfn.IFS([1]!orders[[#This Row],[Customer Gender]]="M","Male", [1]!orders[[#This Row],[Customer Gender]]="F","Female", [1]!orders[[#This Row],[Customer Gender]]="O","Other", TRUE,"Unknown")</f>
        <v>Male</v>
      </c>
    </row>
    <row r="254" spans="1:15" x14ac:dyDescent="0.25">
      <c r="A254" s="1" t="s">
        <v>315</v>
      </c>
      <c r="B254" s="1" t="s">
        <v>131</v>
      </c>
      <c r="C254" s="1">
        <v>3</v>
      </c>
      <c r="D254" s="1">
        <v>65.3</v>
      </c>
      <c r="E254" s="1">
        <v>195.89999999999998</v>
      </c>
      <c r="F254" s="2">
        <v>45668</v>
      </c>
      <c r="G254" s="2">
        <v>45669</v>
      </c>
      <c r="H254" s="1" t="s">
        <v>74</v>
      </c>
      <c r="I254" s="1" t="s">
        <v>20</v>
      </c>
      <c r="J254" s="1">
        <v>4</v>
      </c>
      <c r="K254" s="1" t="s">
        <v>4</v>
      </c>
      <c r="L254" s="1" t="s">
        <v>316</v>
      </c>
      <c r="M254" s="1">
        <f>[1]!orders[[#This Row],[Ship Date]]-[1]!orders[[#This Row],[Order Date]]</f>
        <v>1</v>
      </c>
      <c r="N254" s="1">
        <f>WEEKNUM([1]!orders[[#This Row],[Order Date]])</f>
        <v>2</v>
      </c>
      <c r="O254" t="str" cm="1">
        <f t="array" ref="O254">_xlfn.IFS([1]!orders[[#This Row],[Customer Gender]]="M","Male", [1]!orders[[#This Row],[Customer Gender]]="F","Female", [1]!orders[[#This Row],[Customer Gender]]="O","Other", TRUE,"Unknown")</f>
        <v>Other</v>
      </c>
    </row>
    <row r="255" spans="1:15" x14ac:dyDescent="0.25">
      <c r="A255" t="s">
        <v>317</v>
      </c>
      <c r="B255" t="s">
        <v>1</v>
      </c>
      <c r="C255">
        <v>2</v>
      </c>
      <c r="D255">
        <v>33.4</v>
      </c>
      <c r="E255">
        <v>66.8</v>
      </c>
      <c r="F255" s="3">
        <v>45668</v>
      </c>
      <c r="G255" s="3">
        <v>45669</v>
      </c>
      <c r="H255" t="s">
        <v>8</v>
      </c>
      <c r="I255" t="s">
        <v>20</v>
      </c>
      <c r="J255">
        <v>3</v>
      </c>
      <c r="K255" t="s">
        <v>4</v>
      </c>
      <c r="L255" t="s">
        <v>132</v>
      </c>
      <c r="M255">
        <f>[1]!orders[[#This Row],[Ship Date]]-[1]!orders[[#This Row],[Order Date]]</f>
        <v>1</v>
      </c>
      <c r="N255">
        <f>WEEKNUM([1]!orders[[#This Row],[Order Date]])</f>
        <v>2</v>
      </c>
      <c r="O255" t="str" cm="1">
        <f t="array" ref="O255">_xlfn.IFS([1]!orders[[#This Row],[Customer Gender]]="M","Male", [1]!orders[[#This Row],[Customer Gender]]="F","Female", [1]!orders[[#This Row],[Customer Gender]]="O","Other", TRUE,"Unknown")</f>
        <v>Male</v>
      </c>
    </row>
    <row r="256" spans="1:15" x14ac:dyDescent="0.25">
      <c r="A256" s="1" t="s">
        <v>318</v>
      </c>
      <c r="B256" s="1" t="s">
        <v>27</v>
      </c>
      <c r="C256" s="1">
        <v>2</v>
      </c>
      <c r="D256" s="1">
        <v>45.1</v>
      </c>
      <c r="E256" s="1">
        <v>90.2</v>
      </c>
      <c r="F256" s="2">
        <v>45668</v>
      </c>
      <c r="G256" s="2">
        <v>45676</v>
      </c>
      <c r="H256" s="1" t="s">
        <v>8</v>
      </c>
      <c r="I256" s="1" t="s">
        <v>3</v>
      </c>
      <c r="J256" s="1">
        <v>4</v>
      </c>
      <c r="K256" s="1" t="s">
        <v>4</v>
      </c>
      <c r="L256" s="1" t="s">
        <v>319</v>
      </c>
      <c r="M256" s="1">
        <f>[1]!orders[[#This Row],[Ship Date]]-[1]!orders[[#This Row],[Order Date]]</f>
        <v>8</v>
      </c>
      <c r="N256" s="1">
        <f>WEEKNUM([1]!orders[[#This Row],[Order Date]])</f>
        <v>2</v>
      </c>
      <c r="O256" t="str" cm="1">
        <f t="array" ref="O256">_xlfn.IFS([1]!orders[[#This Row],[Customer Gender]]="M","Male", [1]!orders[[#This Row],[Customer Gender]]="F","Female", [1]!orders[[#This Row],[Customer Gender]]="O","Other", TRUE,"Unknown")</f>
        <v>Male</v>
      </c>
    </row>
    <row r="257" spans="1:15" x14ac:dyDescent="0.25">
      <c r="A257" t="s">
        <v>320</v>
      </c>
      <c r="B257" t="s">
        <v>11</v>
      </c>
      <c r="C257">
        <v>7</v>
      </c>
      <c r="D257">
        <v>61.7</v>
      </c>
      <c r="E257">
        <v>431.90000000000003</v>
      </c>
      <c r="F257" s="3">
        <v>45668</v>
      </c>
      <c r="G257" s="3">
        <v>45670</v>
      </c>
      <c r="H257" t="s">
        <v>12</v>
      </c>
      <c r="I257" t="s">
        <v>55</v>
      </c>
      <c r="J257">
        <v>4</v>
      </c>
      <c r="K257" t="s">
        <v>4</v>
      </c>
      <c r="L257" t="s">
        <v>18</v>
      </c>
      <c r="M257">
        <f>[1]!orders[[#This Row],[Ship Date]]-[1]!orders[[#This Row],[Order Date]]</f>
        <v>2</v>
      </c>
      <c r="N257">
        <f>WEEKNUM([1]!orders[[#This Row],[Order Date]])</f>
        <v>2</v>
      </c>
      <c r="O257" t="str" cm="1">
        <f t="array" ref="O257">_xlfn.IFS([1]!orders[[#This Row],[Customer Gender]]="M","Male", [1]!orders[[#This Row],[Customer Gender]]="F","Female", [1]!orders[[#This Row],[Customer Gender]]="O","Other", TRUE,"Unknown")</f>
        <v>Female</v>
      </c>
    </row>
    <row r="258" spans="1:15" x14ac:dyDescent="0.25">
      <c r="A258" s="1" t="s">
        <v>321</v>
      </c>
      <c r="B258" s="1" t="s">
        <v>31</v>
      </c>
      <c r="C258" s="1">
        <v>3</v>
      </c>
      <c r="D258" s="1">
        <v>45.1</v>
      </c>
      <c r="E258" s="1">
        <v>135.30000000000001</v>
      </c>
      <c r="F258" s="2">
        <v>45669</v>
      </c>
      <c r="G258" s="2">
        <v>45670</v>
      </c>
      <c r="H258" s="1" t="s">
        <v>8</v>
      </c>
      <c r="I258" s="1" t="s">
        <v>55</v>
      </c>
      <c r="J258" s="1">
        <v>3</v>
      </c>
      <c r="K258" s="1" t="s">
        <v>4</v>
      </c>
      <c r="L258" s="1" t="s">
        <v>18</v>
      </c>
      <c r="M258" s="1">
        <f>[1]!orders[[#This Row],[Ship Date]]-[1]!orders[[#This Row],[Order Date]]</f>
        <v>1</v>
      </c>
      <c r="N258" s="1">
        <f>WEEKNUM([1]!orders[[#This Row],[Order Date]])</f>
        <v>3</v>
      </c>
      <c r="O258" t="str" cm="1">
        <f t="array" ref="O258">_xlfn.IFS([1]!orders[[#This Row],[Customer Gender]]="M","Male", [1]!orders[[#This Row],[Customer Gender]]="F","Female", [1]!orders[[#This Row],[Customer Gender]]="O","Other", TRUE,"Unknown")</f>
        <v>Male</v>
      </c>
    </row>
    <row r="259" spans="1:15" x14ac:dyDescent="0.25">
      <c r="A259" t="s">
        <v>322</v>
      </c>
      <c r="B259" t="s">
        <v>108</v>
      </c>
      <c r="C259">
        <v>5</v>
      </c>
      <c r="D259">
        <v>22.7</v>
      </c>
      <c r="E259">
        <v>113.5</v>
      </c>
      <c r="F259" s="3">
        <v>45669</v>
      </c>
      <c r="G259" s="3">
        <v>45674</v>
      </c>
      <c r="H259" t="s">
        <v>8</v>
      </c>
      <c r="I259" t="s">
        <v>3</v>
      </c>
      <c r="J259">
        <v>5</v>
      </c>
      <c r="K259" t="s">
        <v>4</v>
      </c>
      <c r="L259" t="s">
        <v>323</v>
      </c>
      <c r="M259">
        <f>[1]!orders[[#This Row],[Ship Date]]-[1]!orders[[#This Row],[Order Date]]</f>
        <v>5</v>
      </c>
      <c r="N259">
        <f>WEEKNUM([1]!orders[[#This Row],[Order Date]])</f>
        <v>3</v>
      </c>
      <c r="O259" t="str" cm="1">
        <f t="array" ref="O259">_xlfn.IFS([1]!orders[[#This Row],[Customer Gender]]="M","Male", [1]!orders[[#This Row],[Customer Gender]]="F","Female", [1]!orders[[#This Row],[Customer Gender]]="O","Other", TRUE,"Unknown")</f>
        <v>Male</v>
      </c>
    </row>
    <row r="260" spans="1:15" x14ac:dyDescent="0.25">
      <c r="A260" s="1" t="s">
        <v>324</v>
      </c>
      <c r="B260" s="1" t="s">
        <v>29</v>
      </c>
      <c r="C260" s="1">
        <v>1</v>
      </c>
      <c r="D260" s="1">
        <v>17.600000000000001</v>
      </c>
      <c r="E260" s="1">
        <v>17.600000000000001</v>
      </c>
      <c r="F260" s="2">
        <v>45669</v>
      </c>
      <c r="G260" s="2">
        <v>45670</v>
      </c>
      <c r="H260" s="1" t="s">
        <v>12</v>
      </c>
      <c r="I260" s="1" t="s">
        <v>3</v>
      </c>
      <c r="J260" s="1">
        <v>5</v>
      </c>
      <c r="K260" s="1" t="s">
        <v>4</v>
      </c>
      <c r="L260" s="1" t="s">
        <v>143</v>
      </c>
      <c r="M260" s="1">
        <f>[1]!orders[[#This Row],[Ship Date]]-[1]!orders[[#This Row],[Order Date]]</f>
        <v>1</v>
      </c>
      <c r="N260" s="1">
        <f>WEEKNUM([1]!orders[[#This Row],[Order Date]])</f>
        <v>3</v>
      </c>
      <c r="O260" t="str" cm="1">
        <f t="array" ref="O260">_xlfn.IFS([1]!orders[[#This Row],[Customer Gender]]="M","Male", [1]!orders[[#This Row],[Customer Gender]]="F","Female", [1]!orders[[#This Row],[Customer Gender]]="O","Other", TRUE,"Unknown")</f>
        <v>Female</v>
      </c>
    </row>
    <row r="261" spans="1:15" x14ac:dyDescent="0.25">
      <c r="A261" t="s">
        <v>325</v>
      </c>
      <c r="B261" t="s">
        <v>66</v>
      </c>
      <c r="C261">
        <v>2</v>
      </c>
      <c r="D261">
        <v>11.3</v>
      </c>
      <c r="E261">
        <v>22.6</v>
      </c>
      <c r="F261" s="3">
        <v>45669</v>
      </c>
      <c r="G261" s="3">
        <v>45672</v>
      </c>
      <c r="H261" t="s">
        <v>12</v>
      </c>
      <c r="I261" t="s">
        <v>36</v>
      </c>
      <c r="J261">
        <v>5</v>
      </c>
      <c r="K261" t="s">
        <v>4</v>
      </c>
      <c r="L261" t="s">
        <v>143</v>
      </c>
      <c r="M261">
        <f>[1]!orders[[#This Row],[Ship Date]]-[1]!orders[[#This Row],[Order Date]]</f>
        <v>3</v>
      </c>
      <c r="N261">
        <f>WEEKNUM([1]!orders[[#This Row],[Order Date]])</f>
        <v>3</v>
      </c>
      <c r="O261" t="str" cm="1">
        <f t="array" ref="O261">_xlfn.IFS([1]!orders[[#This Row],[Customer Gender]]="M","Male", [1]!orders[[#This Row],[Customer Gender]]="F","Female", [1]!orders[[#This Row],[Customer Gender]]="O","Other", TRUE,"Unknown")</f>
        <v>Female</v>
      </c>
    </row>
    <row r="262" spans="1:15" x14ac:dyDescent="0.25">
      <c r="A262" s="1" t="s">
        <v>326</v>
      </c>
      <c r="B262" s="1" t="s">
        <v>24</v>
      </c>
      <c r="C262" s="1">
        <v>3</v>
      </c>
      <c r="D262" s="1">
        <v>53.4</v>
      </c>
      <c r="E262" s="1">
        <v>160.19999999999999</v>
      </c>
      <c r="F262" s="2">
        <v>45669</v>
      </c>
      <c r="G262" s="2">
        <v>45672</v>
      </c>
      <c r="H262" s="1" t="s">
        <v>8</v>
      </c>
      <c r="I262" s="1" t="s">
        <v>36</v>
      </c>
      <c r="J262" s="1">
        <v>5</v>
      </c>
      <c r="K262" s="1" t="s">
        <v>4</v>
      </c>
      <c r="L262" s="1" t="s">
        <v>327</v>
      </c>
      <c r="M262" s="1">
        <f>[1]!orders[[#This Row],[Ship Date]]-[1]!orders[[#This Row],[Order Date]]</f>
        <v>3</v>
      </c>
      <c r="N262" s="1">
        <f>WEEKNUM([1]!orders[[#This Row],[Order Date]])</f>
        <v>3</v>
      </c>
      <c r="O262" t="str" cm="1">
        <f t="array" ref="O262">_xlfn.IFS([1]!orders[[#This Row],[Customer Gender]]="M","Male", [1]!orders[[#This Row],[Customer Gender]]="F","Female", [1]!orders[[#This Row],[Customer Gender]]="O","Other", TRUE,"Unknown")</f>
        <v>Male</v>
      </c>
    </row>
    <row r="263" spans="1:15" x14ac:dyDescent="0.25">
      <c r="A263" t="s">
        <v>328</v>
      </c>
      <c r="B263" t="s">
        <v>24</v>
      </c>
      <c r="C263">
        <v>11</v>
      </c>
      <c r="D263">
        <v>51.1</v>
      </c>
      <c r="E263">
        <v>562.1</v>
      </c>
      <c r="F263" s="3">
        <v>45669</v>
      </c>
      <c r="G263" s="3">
        <v>45671</v>
      </c>
      <c r="H263" t="s">
        <v>12</v>
      </c>
      <c r="I263" t="s">
        <v>25</v>
      </c>
      <c r="J263">
        <v>5</v>
      </c>
      <c r="K263" t="s">
        <v>4</v>
      </c>
      <c r="L263" t="s">
        <v>47</v>
      </c>
      <c r="M263">
        <f>[1]!orders[[#This Row],[Ship Date]]-[1]!orders[[#This Row],[Order Date]]</f>
        <v>2</v>
      </c>
      <c r="N263">
        <f>WEEKNUM([1]!orders[[#This Row],[Order Date]])</f>
        <v>3</v>
      </c>
      <c r="O263" t="str" cm="1">
        <f t="array" ref="O263">_xlfn.IFS([1]!orders[[#This Row],[Customer Gender]]="M","Male", [1]!orders[[#This Row],[Customer Gender]]="F","Female", [1]!orders[[#This Row],[Customer Gender]]="O","Other", TRUE,"Unknown")</f>
        <v>Female</v>
      </c>
    </row>
    <row r="264" spans="1:15" x14ac:dyDescent="0.25">
      <c r="A264" s="1" t="s">
        <v>329</v>
      </c>
      <c r="B264" s="1" t="s">
        <v>29</v>
      </c>
      <c r="C264" s="1">
        <v>2</v>
      </c>
      <c r="D264" s="1">
        <v>27.5</v>
      </c>
      <c r="E264" s="1">
        <v>55</v>
      </c>
      <c r="F264" s="2">
        <v>45669</v>
      </c>
      <c r="G264" s="2">
        <v>45670</v>
      </c>
      <c r="H264" s="1" t="s">
        <v>8</v>
      </c>
      <c r="I264" s="1" t="s">
        <v>55</v>
      </c>
      <c r="J264" s="1">
        <v>3</v>
      </c>
      <c r="K264" s="1" t="s">
        <v>4</v>
      </c>
      <c r="L264" s="1" t="s">
        <v>47</v>
      </c>
      <c r="M264" s="1">
        <f>[1]!orders[[#This Row],[Ship Date]]-[1]!orders[[#This Row],[Order Date]]</f>
        <v>1</v>
      </c>
      <c r="N264" s="1">
        <f>WEEKNUM([1]!orders[[#This Row],[Order Date]])</f>
        <v>3</v>
      </c>
      <c r="O264" t="str" cm="1">
        <f t="array" ref="O264">_xlfn.IFS([1]!orders[[#This Row],[Customer Gender]]="M","Male", [1]!orders[[#This Row],[Customer Gender]]="F","Female", [1]!orders[[#This Row],[Customer Gender]]="O","Other", TRUE,"Unknown")</f>
        <v>Male</v>
      </c>
    </row>
    <row r="265" spans="1:15" x14ac:dyDescent="0.25">
      <c r="A265" t="s">
        <v>330</v>
      </c>
      <c r="B265" t="s">
        <v>31</v>
      </c>
      <c r="C265">
        <v>1</v>
      </c>
      <c r="D265">
        <v>33.5</v>
      </c>
      <c r="E265">
        <v>33.5</v>
      </c>
      <c r="F265" s="3">
        <v>45669</v>
      </c>
      <c r="G265" s="3">
        <v>45671</v>
      </c>
      <c r="H265" t="s">
        <v>12</v>
      </c>
      <c r="I265" t="s">
        <v>3</v>
      </c>
      <c r="J265">
        <v>2</v>
      </c>
      <c r="K265" t="s">
        <v>4</v>
      </c>
      <c r="L265" t="s">
        <v>47</v>
      </c>
      <c r="M265">
        <f>[1]!orders[[#This Row],[Ship Date]]-[1]!orders[[#This Row],[Order Date]]</f>
        <v>2</v>
      </c>
      <c r="N265">
        <f>WEEKNUM([1]!orders[[#This Row],[Order Date]])</f>
        <v>3</v>
      </c>
      <c r="O265" t="str" cm="1">
        <f t="array" ref="O265">_xlfn.IFS([1]!orders[[#This Row],[Customer Gender]]="M","Male", [1]!orders[[#This Row],[Customer Gender]]="F","Female", [1]!orders[[#This Row],[Customer Gender]]="O","Other", TRUE,"Unknown")</f>
        <v>Female</v>
      </c>
    </row>
    <row r="266" spans="1:15" x14ac:dyDescent="0.25">
      <c r="A266" s="1" t="s">
        <v>331</v>
      </c>
      <c r="B266" s="1" t="s">
        <v>17</v>
      </c>
      <c r="C266" s="1">
        <v>1</v>
      </c>
      <c r="D266" s="1">
        <v>59.5</v>
      </c>
      <c r="E266" s="1">
        <v>59.5</v>
      </c>
      <c r="F266" s="2">
        <v>45669</v>
      </c>
      <c r="G266" s="2">
        <v>45669</v>
      </c>
      <c r="H266" s="1" t="s">
        <v>8</v>
      </c>
      <c r="I266" s="1" t="s">
        <v>3</v>
      </c>
      <c r="J266" s="1">
        <v>5</v>
      </c>
      <c r="K266" s="1" t="s">
        <v>4</v>
      </c>
      <c r="L266" s="1" t="s">
        <v>93</v>
      </c>
      <c r="M266" s="1">
        <f>[1]!orders[[#This Row],[Ship Date]]-[1]!orders[[#This Row],[Order Date]]</f>
        <v>0</v>
      </c>
      <c r="N266" s="1">
        <f>WEEKNUM([1]!orders[[#This Row],[Order Date]])</f>
        <v>3</v>
      </c>
      <c r="O266" t="str" cm="1">
        <f t="array" ref="O266">_xlfn.IFS([1]!orders[[#This Row],[Customer Gender]]="M","Male", [1]!orders[[#This Row],[Customer Gender]]="F","Female", [1]!orders[[#This Row],[Customer Gender]]="O","Other", TRUE,"Unknown")</f>
        <v>Male</v>
      </c>
    </row>
    <row r="267" spans="1:15" x14ac:dyDescent="0.25">
      <c r="A267" t="s">
        <v>332</v>
      </c>
      <c r="B267" t="s">
        <v>120</v>
      </c>
      <c r="C267">
        <v>4</v>
      </c>
      <c r="D267">
        <v>23.5</v>
      </c>
      <c r="E267">
        <v>94</v>
      </c>
      <c r="F267" s="3">
        <v>45669</v>
      </c>
      <c r="G267" s="3">
        <v>45670</v>
      </c>
      <c r="H267" t="s">
        <v>12</v>
      </c>
      <c r="I267" t="s">
        <v>36</v>
      </c>
      <c r="J267">
        <v>1</v>
      </c>
      <c r="K267" t="s">
        <v>4</v>
      </c>
      <c r="L267" t="s">
        <v>95</v>
      </c>
      <c r="M267">
        <f>[1]!orders[[#This Row],[Ship Date]]-[1]!orders[[#This Row],[Order Date]]</f>
        <v>1</v>
      </c>
      <c r="N267">
        <f>WEEKNUM([1]!orders[[#This Row],[Order Date]])</f>
        <v>3</v>
      </c>
      <c r="O267" t="str" cm="1">
        <f t="array" ref="O267">_xlfn.IFS([1]!orders[[#This Row],[Customer Gender]]="M","Male", [1]!orders[[#This Row],[Customer Gender]]="F","Female", [1]!orders[[#This Row],[Customer Gender]]="O","Other", TRUE,"Unknown")</f>
        <v>Female</v>
      </c>
    </row>
    <row r="268" spans="1:15" x14ac:dyDescent="0.25">
      <c r="A268" s="1" t="s">
        <v>333</v>
      </c>
      <c r="B268" s="1" t="s">
        <v>24</v>
      </c>
      <c r="C268" s="1">
        <v>1</v>
      </c>
      <c r="D268" s="1">
        <v>49.7</v>
      </c>
      <c r="E268" s="1">
        <v>49.7</v>
      </c>
      <c r="F268" s="2">
        <v>45669</v>
      </c>
      <c r="G268" s="2">
        <v>45670</v>
      </c>
      <c r="H268" s="1" t="s">
        <v>2</v>
      </c>
      <c r="I268" s="1" t="s">
        <v>20</v>
      </c>
      <c r="J268" s="1">
        <v>5</v>
      </c>
      <c r="K268" s="1" t="s">
        <v>4</v>
      </c>
      <c r="L268" s="1" t="s">
        <v>98</v>
      </c>
      <c r="M268" s="1">
        <f>[1]!orders[[#This Row],[Ship Date]]-[1]!orders[[#This Row],[Order Date]]</f>
        <v>1</v>
      </c>
      <c r="N268" s="1">
        <f>WEEKNUM([1]!orders[[#This Row],[Order Date]])</f>
        <v>3</v>
      </c>
      <c r="O268" t="str" cm="1">
        <f t="array" ref="O268">_xlfn.IFS([1]!orders[[#This Row],[Customer Gender]]="M","Male", [1]!orders[[#This Row],[Customer Gender]]="F","Female", [1]!orders[[#This Row],[Customer Gender]]="O","Other", TRUE,"Unknown")</f>
        <v>Unknown</v>
      </c>
    </row>
    <row r="269" spans="1:15" x14ac:dyDescent="0.25">
      <c r="A269" t="s">
        <v>334</v>
      </c>
      <c r="B269" t="s">
        <v>24</v>
      </c>
      <c r="C269">
        <v>4</v>
      </c>
      <c r="D269">
        <v>44.2</v>
      </c>
      <c r="E269">
        <v>176.8</v>
      </c>
      <c r="F269" s="3">
        <v>45669</v>
      </c>
      <c r="G269" s="3">
        <v>45672</v>
      </c>
      <c r="H269" t="s">
        <v>12</v>
      </c>
      <c r="I269" t="s">
        <v>3</v>
      </c>
      <c r="J269">
        <v>5</v>
      </c>
      <c r="K269" t="s">
        <v>4</v>
      </c>
      <c r="L269" t="s">
        <v>100</v>
      </c>
      <c r="M269">
        <f>[1]!orders[[#This Row],[Ship Date]]-[1]!orders[[#This Row],[Order Date]]</f>
        <v>3</v>
      </c>
      <c r="N269">
        <f>WEEKNUM([1]!orders[[#This Row],[Order Date]])</f>
        <v>3</v>
      </c>
      <c r="O269" t="str" cm="1">
        <f t="array" ref="O269">_xlfn.IFS([1]!orders[[#This Row],[Customer Gender]]="M","Male", [1]!orders[[#This Row],[Customer Gender]]="F","Female", [1]!orders[[#This Row],[Customer Gender]]="O","Other", TRUE,"Unknown")</f>
        <v>Female</v>
      </c>
    </row>
    <row r="270" spans="1:15" x14ac:dyDescent="0.25">
      <c r="A270" s="1" t="s">
        <v>335</v>
      </c>
      <c r="B270" s="1" t="s">
        <v>29</v>
      </c>
      <c r="C270" s="1">
        <v>1</v>
      </c>
      <c r="D270" s="1">
        <v>22.1</v>
      </c>
      <c r="E270" s="1">
        <v>22.1</v>
      </c>
      <c r="F270" s="2">
        <v>45669</v>
      </c>
      <c r="G270" s="2">
        <v>45673</v>
      </c>
      <c r="H270" s="1" t="s">
        <v>12</v>
      </c>
      <c r="I270" s="1" t="s">
        <v>20</v>
      </c>
      <c r="J270" s="1">
        <v>3</v>
      </c>
      <c r="K270" s="1" t="s">
        <v>4</v>
      </c>
      <c r="L270" s="1" t="s">
        <v>316</v>
      </c>
      <c r="M270" s="1">
        <f>[1]!orders[[#This Row],[Ship Date]]-[1]!orders[[#This Row],[Order Date]]</f>
        <v>4</v>
      </c>
      <c r="N270" s="1">
        <f>WEEKNUM([1]!orders[[#This Row],[Order Date]])</f>
        <v>3</v>
      </c>
      <c r="O270" t="str" cm="1">
        <f t="array" ref="O270">_xlfn.IFS([1]!orders[[#This Row],[Customer Gender]]="M","Male", [1]!orders[[#This Row],[Customer Gender]]="F","Female", [1]!orders[[#This Row],[Customer Gender]]="O","Other", TRUE,"Unknown")</f>
        <v>Female</v>
      </c>
    </row>
    <row r="271" spans="1:15" x14ac:dyDescent="0.25">
      <c r="A271" t="s">
        <v>336</v>
      </c>
      <c r="B271" t="s">
        <v>24</v>
      </c>
      <c r="C271">
        <v>3</v>
      </c>
      <c r="D271">
        <v>90.9</v>
      </c>
      <c r="E271">
        <v>272.70000000000005</v>
      </c>
      <c r="F271" s="3">
        <v>45669</v>
      </c>
      <c r="G271" s="3">
        <v>45670</v>
      </c>
      <c r="H271" t="s">
        <v>12</v>
      </c>
      <c r="I271" t="s">
        <v>25</v>
      </c>
      <c r="J271">
        <v>2</v>
      </c>
      <c r="K271" t="s">
        <v>4</v>
      </c>
      <c r="L271" t="s">
        <v>18</v>
      </c>
      <c r="M271">
        <f>[1]!orders[[#This Row],[Ship Date]]-[1]!orders[[#This Row],[Order Date]]</f>
        <v>1</v>
      </c>
      <c r="N271">
        <f>WEEKNUM([1]!orders[[#This Row],[Order Date]])</f>
        <v>3</v>
      </c>
      <c r="O271" t="str" cm="1">
        <f t="array" ref="O271">_xlfn.IFS([1]!orders[[#This Row],[Customer Gender]]="M","Male", [1]!orders[[#This Row],[Customer Gender]]="F","Female", [1]!orders[[#This Row],[Customer Gender]]="O","Other", TRUE,"Unknown")</f>
        <v>Female</v>
      </c>
    </row>
    <row r="272" spans="1:15" x14ac:dyDescent="0.25">
      <c r="A272" s="1" t="s">
        <v>337</v>
      </c>
      <c r="B272" s="1" t="s">
        <v>29</v>
      </c>
      <c r="C272" s="1">
        <v>3</v>
      </c>
      <c r="D272" s="1">
        <v>44.5</v>
      </c>
      <c r="E272" s="1">
        <v>133.5</v>
      </c>
      <c r="F272" s="2">
        <v>45669</v>
      </c>
      <c r="G272" s="2">
        <v>45670</v>
      </c>
      <c r="H272" s="1" t="s">
        <v>12</v>
      </c>
      <c r="I272" s="1" t="s">
        <v>20</v>
      </c>
      <c r="J272" s="1">
        <v>4</v>
      </c>
      <c r="K272" s="1" t="s">
        <v>4</v>
      </c>
      <c r="L272" s="1" t="s">
        <v>18</v>
      </c>
      <c r="M272" s="1">
        <f>[1]!orders[[#This Row],[Ship Date]]-[1]!orders[[#This Row],[Order Date]]</f>
        <v>1</v>
      </c>
      <c r="N272" s="1">
        <f>WEEKNUM([1]!orders[[#This Row],[Order Date]])</f>
        <v>3</v>
      </c>
      <c r="O272" t="str" cm="1">
        <f t="array" ref="O272">_xlfn.IFS([1]!orders[[#This Row],[Customer Gender]]="M","Male", [1]!orders[[#This Row],[Customer Gender]]="F","Female", [1]!orders[[#This Row],[Customer Gender]]="O","Other", TRUE,"Unknown")</f>
        <v>Female</v>
      </c>
    </row>
    <row r="273" spans="1:15" x14ac:dyDescent="0.25">
      <c r="A273" t="s">
        <v>338</v>
      </c>
      <c r="B273" t="s">
        <v>31</v>
      </c>
      <c r="C273">
        <v>6</v>
      </c>
      <c r="D273">
        <v>32.299999999999997</v>
      </c>
      <c r="E273">
        <v>193.79999999999998</v>
      </c>
      <c r="F273" s="3">
        <v>45669</v>
      </c>
      <c r="G273" s="3">
        <v>45673</v>
      </c>
      <c r="H273" t="s">
        <v>12</v>
      </c>
      <c r="I273" t="s">
        <v>3</v>
      </c>
      <c r="J273">
        <v>4</v>
      </c>
      <c r="K273" t="s">
        <v>4</v>
      </c>
      <c r="L273" t="s">
        <v>18</v>
      </c>
      <c r="M273">
        <f>[1]!orders[[#This Row],[Ship Date]]-[1]!orders[[#This Row],[Order Date]]</f>
        <v>4</v>
      </c>
      <c r="N273">
        <f>WEEKNUM([1]!orders[[#This Row],[Order Date]])</f>
        <v>3</v>
      </c>
      <c r="O273" t="str" cm="1">
        <f t="array" ref="O273">_xlfn.IFS([1]!orders[[#This Row],[Customer Gender]]="M","Male", [1]!orders[[#This Row],[Customer Gender]]="F","Female", [1]!orders[[#This Row],[Customer Gender]]="O","Other", TRUE,"Unknown")</f>
        <v>Female</v>
      </c>
    </row>
    <row r="274" spans="1:15" x14ac:dyDescent="0.25">
      <c r="A274" s="1" t="s">
        <v>339</v>
      </c>
      <c r="B274" s="1" t="s">
        <v>120</v>
      </c>
      <c r="C274" s="1">
        <v>3</v>
      </c>
      <c r="D274" s="1">
        <v>87.5</v>
      </c>
      <c r="E274" s="1">
        <v>262.5</v>
      </c>
      <c r="F274" s="2">
        <v>45669</v>
      </c>
      <c r="G274" s="2">
        <v>45670</v>
      </c>
      <c r="H274" s="1" t="s">
        <v>12</v>
      </c>
      <c r="I274" s="1" t="s">
        <v>20</v>
      </c>
      <c r="J274" s="1">
        <v>3</v>
      </c>
      <c r="K274" s="1" t="s">
        <v>4</v>
      </c>
      <c r="L274" s="1" t="s">
        <v>18</v>
      </c>
      <c r="M274" s="1">
        <f>[1]!orders[[#This Row],[Ship Date]]-[1]!orders[[#This Row],[Order Date]]</f>
        <v>1</v>
      </c>
      <c r="N274" s="1">
        <f>WEEKNUM([1]!orders[[#This Row],[Order Date]])</f>
        <v>3</v>
      </c>
      <c r="O274" t="str" cm="1">
        <f t="array" ref="O274">_xlfn.IFS([1]!orders[[#This Row],[Customer Gender]]="M","Male", [1]!orders[[#This Row],[Customer Gender]]="F","Female", [1]!orders[[#This Row],[Customer Gender]]="O","Other", TRUE,"Unknown")</f>
        <v>Female</v>
      </c>
    </row>
    <row r="275" spans="1:15" x14ac:dyDescent="0.25">
      <c r="A275" t="s">
        <v>340</v>
      </c>
      <c r="B275" t="s">
        <v>113</v>
      </c>
      <c r="C275">
        <v>5</v>
      </c>
      <c r="D275">
        <v>48.7</v>
      </c>
      <c r="E275">
        <v>243.5</v>
      </c>
      <c r="F275" s="3">
        <v>45669</v>
      </c>
      <c r="G275" s="3">
        <v>45670</v>
      </c>
      <c r="H275" t="s">
        <v>8</v>
      </c>
      <c r="I275" t="s">
        <v>25</v>
      </c>
      <c r="J275">
        <v>4</v>
      </c>
      <c r="K275" t="s">
        <v>4</v>
      </c>
      <c r="L275" t="s">
        <v>18</v>
      </c>
      <c r="M275">
        <f>[1]!orders[[#This Row],[Ship Date]]-[1]!orders[[#This Row],[Order Date]]</f>
        <v>1</v>
      </c>
      <c r="N275">
        <f>WEEKNUM([1]!orders[[#This Row],[Order Date]])</f>
        <v>3</v>
      </c>
      <c r="O275" t="str" cm="1">
        <f t="array" ref="O275">_xlfn.IFS([1]!orders[[#This Row],[Customer Gender]]="M","Male", [1]!orders[[#This Row],[Customer Gender]]="F","Female", [1]!orders[[#This Row],[Customer Gender]]="O","Other", TRUE,"Unknown")</f>
        <v>Male</v>
      </c>
    </row>
    <row r="276" spans="1:15" x14ac:dyDescent="0.25">
      <c r="A276" s="1" t="s">
        <v>341</v>
      </c>
      <c r="B276" s="1" t="s">
        <v>1</v>
      </c>
      <c r="C276" s="1">
        <v>5</v>
      </c>
      <c r="D276" s="1">
        <v>22.5</v>
      </c>
      <c r="E276" s="1">
        <v>112.5</v>
      </c>
      <c r="F276" s="2">
        <v>45669</v>
      </c>
      <c r="G276" s="2">
        <v>45670</v>
      </c>
      <c r="H276" s="1" t="s">
        <v>8</v>
      </c>
      <c r="I276" s="1" t="s">
        <v>3</v>
      </c>
      <c r="J276" s="1">
        <v>4</v>
      </c>
      <c r="K276" s="1" t="s">
        <v>4</v>
      </c>
      <c r="L276" s="1" t="s">
        <v>18</v>
      </c>
      <c r="M276" s="1">
        <f>[1]!orders[[#This Row],[Ship Date]]-[1]!orders[[#This Row],[Order Date]]</f>
        <v>1</v>
      </c>
      <c r="N276" s="1">
        <f>WEEKNUM([1]!orders[[#This Row],[Order Date]])</f>
        <v>3</v>
      </c>
      <c r="O276" t="str" cm="1">
        <f t="array" ref="O276">_xlfn.IFS([1]!orders[[#This Row],[Customer Gender]]="M","Male", [1]!orders[[#This Row],[Customer Gender]]="F","Female", [1]!orders[[#This Row],[Customer Gender]]="O","Other", TRUE,"Unknown")</f>
        <v>Male</v>
      </c>
    </row>
    <row r="277" spans="1:15" x14ac:dyDescent="0.25">
      <c r="A277" t="s">
        <v>342</v>
      </c>
      <c r="B277" t="s">
        <v>7</v>
      </c>
      <c r="C277">
        <v>8</v>
      </c>
      <c r="D277">
        <v>65.900000000000006</v>
      </c>
      <c r="E277">
        <v>527.20000000000005</v>
      </c>
      <c r="F277" s="3">
        <v>45669</v>
      </c>
      <c r="G277" s="3">
        <v>45672</v>
      </c>
      <c r="H277" t="s">
        <v>12</v>
      </c>
      <c r="I277" t="s">
        <v>20</v>
      </c>
      <c r="J277">
        <v>5</v>
      </c>
      <c r="K277" t="s">
        <v>4</v>
      </c>
      <c r="L277" t="s">
        <v>18</v>
      </c>
      <c r="M277">
        <f>[1]!orders[[#This Row],[Ship Date]]-[1]!orders[[#This Row],[Order Date]]</f>
        <v>3</v>
      </c>
      <c r="N277">
        <f>WEEKNUM([1]!orders[[#This Row],[Order Date]])</f>
        <v>3</v>
      </c>
      <c r="O277" t="str" cm="1">
        <f t="array" ref="O277">_xlfn.IFS([1]!orders[[#This Row],[Customer Gender]]="M","Male", [1]!orders[[#This Row],[Customer Gender]]="F","Female", [1]!orders[[#This Row],[Customer Gender]]="O","Other", TRUE,"Unknown")</f>
        <v>Female</v>
      </c>
    </row>
    <row r="278" spans="1:15" x14ac:dyDescent="0.25">
      <c r="A278" s="1" t="s">
        <v>343</v>
      </c>
      <c r="B278" s="1" t="s">
        <v>24</v>
      </c>
      <c r="C278" s="1">
        <v>5</v>
      </c>
      <c r="D278" s="1">
        <v>41.9</v>
      </c>
      <c r="E278" s="1">
        <v>209.5</v>
      </c>
      <c r="F278" s="2">
        <v>45669</v>
      </c>
      <c r="G278" s="2">
        <v>45676</v>
      </c>
      <c r="H278" s="1" t="s">
        <v>2</v>
      </c>
      <c r="I278" s="1" t="s">
        <v>3</v>
      </c>
      <c r="J278" s="1">
        <v>4</v>
      </c>
      <c r="K278" s="1" t="s">
        <v>4</v>
      </c>
      <c r="L278" s="1" t="s">
        <v>18</v>
      </c>
      <c r="M278" s="1">
        <f>[1]!orders[[#This Row],[Ship Date]]-[1]!orders[[#This Row],[Order Date]]</f>
        <v>7</v>
      </c>
      <c r="N278" s="1">
        <f>WEEKNUM([1]!orders[[#This Row],[Order Date]])</f>
        <v>3</v>
      </c>
      <c r="O278" t="str" cm="1">
        <f t="array" ref="O278">_xlfn.IFS([1]!orders[[#This Row],[Customer Gender]]="M","Male", [1]!orders[[#This Row],[Customer Gender]]="F","Female", [1]!orders[[#This Row],[Customer Gender]]="O","Other", TRUE,"Unknown")</f>
        <v>Unknown</v>
      </c>
    </row>
    <row r="279" spans="1:15" x14ac:dyDescent="0.25">
      <c r="A279" t="s">
        <v>344</v>
      </c>
      <c r="B279" t="s">
        <v>7</v>
      </c>
      <c r="C279">
        <v>5</v>
      </c>
      <c r="D279">
        <v>67.5</v>
      </c>
      <c r="E279">
        <v>337.5</v>
      </c>
      <c r="F279" s="3">
        <v>45669</v>
      </c>
      <c r="G279" s="3">
        <v>45670</v>
      </c>
      <c r="H279" t="s">
        <v>12</v>
      </c>
      <c r="I279" t="s">
        <v>3</v>
      </c>
      <c r="J279">
        <v>5</v>
      </c>
      <c r="K279" t="s">
        <v>4</v>
      </c>
      <c r="L279" t="s">
        <v>18</v>
      </c>
      <c r="M279">
        <f>[1]!orders[[#This Row],[Ship Date]]-[1]!orders[[#This Row],[Order Date]]</f>
        <v>1</v>
      </c>
      <c r="N279">
        <f>WEEKNUM([1]!orders[[#This Row],[Order Date]])</f>
        <v>3</v>
      </c>
      <c r="O279" t="str" cm="1">
        <f t="array" ref="O279">_xlfn.IFS([1]!orders[[#This Row],[Customer Gender]]="M","Male", [1]!orders[[#This Row],[Customer Gender]]="F","Female", [1]!orders[[#This Row],[Customer Gender]]="O","Other", TRUE,"Unknown")</f>
        <v>Female</v>
      </c>
    </row>
    <row r="280" spans="1:15" x14ac:dyDescent="0.25">
      <c r="A280" s="1" t="s">
        <v>345</v>
      </c>
      <c r="B280" s="1" t="s">
        <v>31</v>
      </c>
      <c r="C280" s="1">
        <v>1</v>
      </c>
      <c r="D280" s="1">
        <v>60.4</v>
      </c>
      <c r="E280" s="1">
        <v>60.4</v>
      </c>
      <c r="F280" s="2">
        <v>45670</v>
      </c>
      <c r="G280" s="2">
        <v>45672</v>
      </c>
      <c r="H280" s="1" t="s">
        <v>12</v>
      </c>
      <c r="I280" s="1" t="s">
        <v>20</v>
      </c>
      <c r="J280" s="1">
        <v>3</v>
      </c>
      <c r="K280" s="1" t="s">
        <v>4</v>
      </c>
      <c r="L280" s="1" t="s">
        <v>18</v>
      </c>
      <c r="M280" s="1">
        <f>[1]!orders[[#This Row],[Ship Date]]-[1]!orders[[#This Row],[Order Date]]</f>
        <v>2</v>
      </c>
      <c r="N280" s="1">
        <f>WEEKNUM([1]!orders[[#This Row],[Order Date]])</f>
        <v>3</v>
      </c>
      <c r="O280" t="str" cm="1">
        <f t="array" ref="O280">_xlfn.IFS([1]!orders[[#This Row],[Customer Gender]]="M","Male", [1]!orders[[#This Row],[Customer Gender]]="F","Female", [1]!orders[[#This Row],[Customer Gender]]="O","Other", TRUE,"Unknown")</f>
        <v>Female</v>
      </c>
    </row>
    <row r="281" spans="1:15" x14ac:dyDescent="0.25">
      <c r="A281" t="s">
        <v>346</v>
      </c>
      <c r="B281" t="s">
        <v>7</v>
      </c>
      <c r="C281">
        <v>7</v>
      </c>
      <c r="D281">
        <v>30.4</v>
      </c>
      <c r="E281">
        <v>212.79999999999998</v>
      </c>
      <c r="F281" s="3">
        <v>45670</v>
      </c>
      <c r="G281" s="3">
        <v>45673</v>
      </c>
      <c r="H281" t="s">
        <v>12</v>
      </c>
      <c r="I281" t="s">
        <v>55</v>
      </c>
      <c r="J281">
        <v>4</v>
      </c>
      <c r="K281" t="s">
        <v>4</v>
      </c>
      <c r="L281" t="s">
        <v>18</v>
      </c>
      <c r="M281">
        <f>[1]!orders[[#This Row],[Ship Date]]-[1]!orders[[#This Row],[Order Date]]</f>
        <v>3</v>
      </c>
      <c r="N281">
        <f>WEEKNUM([1]!orders[[#This Row],[Order Date]])</f>
        <v>3</v>
      </c>
      <c r="O281" t="str" cm="1">
        <f t="array" ref="O281">_xlfn.IFS([1]!orders[[#This Row],[Customer Gender]]="M","Male", [1]!orders[[#This Row],[Customer Gender]]="F","Female", [1]!orders[[#This Row],[Customer Gender]]="O","Other", TRUE,"Unknown")</f>
        <v>Female</v>
      </c>
    </row>
    <row r="282" spans="1:15" x14ac:dyDescent="0.25">
      <c r="A282" s="1" t="s">
        <v>347</v>
      </c>
      <c r="B282" s="1" t="s">
        <v>66</v>
      </c>
      <c r="C282" s="1">
        <v>2</v>
      </c>
      <c r="D282" s="1">
        <v>24.5</v>
      </c>
      <c r="E282" s="1">
        <v>49</v>
      </c>
      <c r="F282" s="2">
        <v>45670</v>
      </c>
      <c r="G282" s="2">
        <v>45671</v>
      </c>
      <c r="H282" s="1" t="s">
        <v>8</v>
      </c>
      <c r="I282" s="1" t="s">
        <v>36</v>
      </c>
      <c r="J282" s="1">
        <v>5</v>
      </c>
      <c r="K282" s="1" t="s">
        <v>4</v>
      </c>
      <c r="L282" s="1" t="s">
        <v>18</v>
      </c>
      <c r="M282" s="1">
        <f>[1]!orders[[#This Row],[Ship Date]]-[1]!orders[[#This Row],[Order Date]]</f>
        <v>1</v>
      </c>
      <c r="N282" s="1">
        <f>WEEKNUM([1]!orders[[#This Row],[Order Date]])</f>
        <v>3</v>
      </c>
      <c r="O282" t="str" cm="1">
        <f t="array" ref="O282">_xlfn.IFS([1]!orders[[#This Row],[Customer Gender]]="M","Male", [1]!orders[[#This Row],[Customer Gender]]="F","Female", [1]!orders[[#This Row],[Customer Gender]]="O","Other", TRUE,"Unknown")</f>
        <v>Male</v>
      </c>
    </row>
    <row r="283" spans="1:15" x14ac:dyDescent="0.25">
      <c r="A283" t="s">
        <v>348</v>
      </c>
      <c r="B283" t="s">
        <v>11</v>
      </c>
      <c r="C283">
        <v>3</v>
      </c>
      <c r="D283">
        <v>105.9</v>
      </c>
      <c r="E283">
        <v>317.70000000000005</v>
      </c>
      <c r="F283" s="3">
        <v>45670</v>
      </c>
      <c r="G283" s="3">
        <v>45675</v>
      </c>
      <c r="H283" t="s">
        <v>8</v>
      </c>
      <c r="I283" t="s">
        <v>3</v>
      </c>
      <c r="J283">
        <v>4</v>
      </c>
      <c r="K283" t="s">
        <v>4</v>
      </c>
      <c r="L283" t="s">
        <v>349</v>
      </c>
      <c r="M283">
        <f>[1]!orders[[#This Row],[Ship Date]]-[1]!orders[[#This Row],[Order Date]]</f>
        <v>5</v>
      </c>
      <c r="N283">
        <f>WEEKNUM([1]!orders[[#This Row],[Order Date]])</f>
        <v>3</v>
      </c>
      <c r="O283" t="str" cm="1">
        <f t="array" ref="O283">_xlfn.IFS([1]!orders[[#This Row],[Customer Gender]]="M","Male", [1]!orders[[#This Row],[Customer Gender]]="F","Female", [1]!orders[[#This Row],[Customer Gender]]="O","Other", TRUE,"Unknown")</f>
        <v>Male</v>
      </c>
    </row>
    <row r="284" spans="1:15" x14ac:dyDescent="0.25">
      <c r="A284" s="1" t="s">
        <v>350</v>
      </c>
      <c r="B284" s="1" t="s">
        <v>39</v>
      </c>
      <c r="C284" s="1">
        <v>24</v>
      </c>
      <c r="D284" s="1">
        <v>25.9</v>
      </c>
      <c r="E284" s="1">
        <v>621.59999999999991</v>
      </c>
      <c r="F284" s="2">
        <v>45670</v>
      </c>
      <c r="G284" s="2">
        <v>45671</v>
      </c>
      <c r="H284" s="1" t="s">
        <v>12</v>
      </c>
      <c r="I284" s="1" t="s">
        <v>55</v>
      </c>
      <c r="J284" s="1">
        <v>4</v>
      </c>
      <c r="K284" s="1" t="s">
        <v>4</v>
      </c>
      <c r="L284" s="1" t="s">
        <v>143</v>
      </c>
      <c r="M284" s="1">
        <f>[1]!orders[[#This Row],[Ship Date]]-[1]!orders[[#This Row],[Order Date]]</f>
        <v>1</v>
      </c>
      <c r="N284" s="1">
        <f>WEEKNUM([1]!orders[[#This Row],[Order Date]])</f>
        <v>3</v>
      </c>
      <c r="O284" t="str" cm="1">
        <f t="array" ref="O284">_xlfn.IFS([1]!orders[[#This Row],[Customer Gender]]="M","Male", [1]!orders[[#This Row],[Customer Gender]]="F","Female", [1]!orders[[#This Row],[Customer Gender]]="O","Other", TRUE,"Unknown")</f>
        <v>Female</v>
      </c>
    </row>
    <row r="285" spans="1:15" x14ac:dyDescent="0.25">
      <c r="A285" t="s">
        <v>351</v>
      </c>
      <c r="B285" t="s">
        <v>24</v>
      </c>
      <c r="C285">
        <v>3</v>
      </c>
      <c r="D285">
        <v>66.8</v>
      </c>
      <c r="E285">
        <v>200.39999999999998</v>
      </c>
      <c r="F285" s="3">
        <v>45670</v>
      </c>
      <c r="G285" s="3">
        <v>45670</v>
      </c>
      <c r="H285" t="s">
        <v>8</v>
      </c>
      <c r="I285" t="s">
        <v>3</v>
      </c>
      <c r="J285">
        <v>4</v>
      </c>
      <c r="K285" t="s">
        <v>4</v>
      </c>
      <c r="L285" t="s">
        <v>143</v>
      </c>
      <c r="M285">
        <f>[1]!orders[[#This Row],[Ship Date]]-[1]!orders[[#This Row],[Order Date]]</f>
        <v>0</v>
      </c>
      <c r="N285">
        <f>WEEKNUM([1]!orders[[#This Row],[Order Date]])</f>
        <v>3</v>
      </c>
      <c r="O285" t="str" cm="1">
        <f t="array" ref="O285">_xlfn.IFS([1]!orders[[#This Row],[Customer Gender]]="M","Male", [1]!orders[[#This Row],[Customer Gender]]="F","Female", [1]!orders[[#This Row],[Customer Gender]]="O","Other", TRUE,"Unknown")</f>
        <v>Male</v>
      </c>
    </row>
    <row r="286" spans="1:15" x14ac:dyDescent="0.25">
      <c r="A286" s="1" t="s">
        <v>352</v>
      </c>
      <c r="B286" s="1" t="s">
        <v>24</v>
      </c>
      <c r="C286" s="1">
        <v>3</v>
      </c>
      <c r="D286" s="1">
        <v>112.3</v>
      </c>
      <c r="E286" s="1">
        <v>336.9</v>
      </c>
      <c r="F286" s="2">
        <v>45670</v>
      </c>
      <c r="G286" s="2">
        <v>45671</v>
      </c>
      <c r="H286" s="1" t="s">
        <v>8</v>
      </c>
      <c r="I286" s="1" t="s">
        <v>25</v>
      </c>
      <c r="J286" s="1">
        <v>2</v>
      </c>
      <c r="K286" s="1" t="s">
        <v>4</v>
      </c>
      <c r="L286" s="1" t="s">
        <v>40</v>
      </c>
      <c r="M286" s="1">
        <f>[1]!orders[[#This Row],[Ship Date]]-[1]!orders[[#This Row],[Order Date]]</f>
        <v>1</v>
      </c>
      <c r="N286" s="1">
        <f>WEEKNUM([1]!orders[[#This Row],[Order Date]])</f>
        <v>3</v>
      </c>
      <c r="O286" t="str" cm="1">
        <f t="array" ref="O286">_xlfn.IFS([1]!orders[[#This Row],[Customer Gender]]="M","Male", [1]!orders[[#This Row],[Customer Gender]]="F","Female", [1]!orders[[#This Row],[Customer Gender]]="O","Other", TRUE,"Unknown")</f>
        <v>Male</v>
      </c>
    </row>
    <row r="287" spans="1:15" x14ac:dyDescent="0.25">
      <c r="A287" t="s">
        <v>353</v>
      </c>
      <c r="B287" t="s">
        <v>7</v>
      </c>
      <c r="C287">
        <v>6</v>
      </c>
      <c r="D287">
        <v>94.1</v>
      </c>
      <c r="E287">
        <v>564.59999999999991</v>
      </c>
      <c r="F287" s="3">
        <v>45670</v>
      </c>
      <c r="G287" s="3">
        <v>45671</v>
      </c>
      <c r="H287" t="s">
        <v>12</v>
      </c>
      <c r="I287" t="s">
        <v>3</v>
      </c>
      <c r="J287">
        <v>2</v>
      </c>
      <c r="K287" t="s">
        <v>4</v>
      </c>
      <c r="L287" t="s">
        <v>40</v>
      </c>
      <c r="M287">
        <f>[1]!orders[[#This Row],[Ship Date]]-[1]!orders[[#This Row],[Order Date]]</f>
        <v>1</v>
      </c>
      <c r="N287">
        <f>WEEKNUM([1]!orders[[#This Row],[Order Date]])</f>
        <v>3</v>
      </c>
      <c r="O287" t="str" cm="1">
        <f t="array" ref="O287">_xlfn.IFS([1]!orders[[#This Row],[Customer Gender]]="M","Male", [1]!orders[[#This Row],[Customer Gender]]="F","Female", [1]!orders[[#This Row],[Customer Gender]]="O","Other", TRUE,"Unknown")</f>
        <v>Female</v>
      </c>
    </row>
    <row r="288" spans="1:15" x14ac:dyDescent="0.25">
      <c r="A288" s="1" t="s">
        <v>354</v>
      </c>
      <c r="B288" s="1" t="s">
        <v>22</v>
      </c>
      <c r="C288" s="1">
        <v>1</v>
      </c>
      <c r="D288" s="1">
        <v>40.700000000000003</v>
      </c>
      <c r="E288" s="1">
        <v>40.700000000000003</v>
      </c>
      <c r="F288" s="2">
        <v>45670</v>
      </c>
      <c r="G288" s="2">
        <v>45673</v>
      </c>
      <c r="H288" s="1" t="s">
        <v>12</v>
      </c>
      <c r="I288" s="1" t="s">
        <v>25</v>
      </c>
      <c r="J288" s="1">
        <v>4</v>
      </c>
      <c r="K288" s="1" t="s">
        <v>4</v>
      </c>
      <c r="L288" s="1" t="s">
        <v>40</v>
      </c>
      <c r="M288" s="1">
        <f>[1]!orders[[#This Row],[Ship Date]]-[1]!orders[[#This Row],[Order Date]]</f>
        <v>3</v>
      </c>
      <c r="N288" s="1">
        <f>WEEKNUM([1]!orders[[#This Row],[Order Date]])</f>
        <v>3</v>
      </c>
      <c r="O288" t="str" cm="1">
        <f t="array" ref="O288">_xlfn.IFS([1]!orders[[#This Row],[Customer Gender]]="M","Male", [1]!orders[[#This Row],[Customer Gender]]="F","Female", [1]!orders[[#This Row],[Customer Gender]]="O","Other", TRUE,"Unknown")</f>
        <v>Female</v>
      </c>
    </row>
    <row r="289" spans="1:15" x14ac:dyDescent="0.25">
      <c r="A289" t="s">
        <v>355</v>
      </c>
      <c r="B289" t="s">
        <v>15</v>
      </c>
      <c r="C289">
        <v>2</v>
      </c>
      <c r="D289">
        <v>71.400000000000006</v>
      </c>
      <c r="E289">
        <v>142.80000000000001</v>
      </c>
      <c r="F289" s="3">
        <v>45670</v>
      </c>
      <c r="G289" s="3">
        <v>45671</v>
      </c>
      <c r="H289" t="s">
        <v>8</v>
      </c>
      <c r="I289" t="s">
        <v>3</v>
      </c>
      <c r="J289">
        <v>4</v>
      </c>
      <c r="K289" t="s">
        <v>4</v>
      </c>
      <c r="L289" t="s">
        <v>44</v>
      </c>
      <c r="M289">
        <f>[1]!orders[[#This Row],[Ship Date]]-[1]!orders[[#This Row],[Order Date]]</f>
        <v>1</v>
      </c>
      <c r="N289">
        <f>WEEKNUM([1]!orders[[#This Row],[Order Date]])</f>
        <v>3</v>
      </c>
      <c r="O289" t="str" cm="1">
        <f t="array" ref="O289">_xlfn.IFS([1]!orders[[#This Row],[Customer Gender]]="M","Male", [1]!orders[[#This Row],[Customer Gender]]="F","Female", [1]!orders[[#This Row],[Customer Gender]]="O","Other", TRUE,"Unknown")</f>
        <v>Male</v>
      </c>
    </row>
    <row r="290" spans="1:15" x14ac:dyDescent="0.25">
      <c r="A290" s="1" t="s">
        <v>356</v>
      </c>
      <c r="B290" s="1" t="s">
        <v>1</v>
      </c>
      <c r="C290" s="1">
        <v>18</v>
      </c>
      <c r="D290" s="1">
        <v>15.6</v>
      </c>
      <c r="E290" s="1">
        <v>280.8</v>
      </c>
      <c r="F290" s="2">
        <v>45670</v>
      </c>
      <c r="G290" s="2">
        <v>45671</v>
      </c>
      <c r="H290" s="1" t="s">
        <v>8</v>
      </c>
      <c r="I290" s="1" t="s">
        <v>20</v>
      </c>
      <c r="J290" s="1">
        <v>1</v>
      </c>
      <c r="K290" s="1" t="s">
        <v>4</v>
      </c>
      <c r="L290" s="1" t="s">
        <v>47</v>
      </c>
      <c r="M290" s="1">
        <f>[1]!orders[[#This Row],[Ship Date]]-[1]!orders[[#This Row],[Order Date]]</f>
        <v>1</v>
      </c>
      <c r="N290" s="1">
        <f>WEEKNUM([1]!orders[[#This Row],[Order Date]])</f>
        <v>3</v>
      </c>
      <c r="O290" t="str" cm="1">
        <f t="array" ref="O290">_xlfn.IFS([1]!orders[[#This Row],[Customer Gender]]="M","Male", [1]!orders[[#This Row],[Customer Gender]]="F","Female", [1]!orders[[#This Row],[Customer Gender]]="O","Other", TRUE,"Unknown")</f>
        <v>Male</v>
      </c>
    </row>
    <row r="291" spans="1:15" x14ac:dyDescent="0.25">
      <c r="A291" t="s">
        <v>357</v>
      </c>
      <c r="B291" t="s">
        <v>39</v>
      </c>
      <c r="C291">
        <v>4</v>
      </c>
      <c r="D291">
        <v>37.799999999999997</v>
      </c>
      <c r="E291">
        <v>151.19999999999999</v>
      </c>
      <c r="F291" s="3">
        <v>45670</v>
      </c>
      <c r="G291" s="3">
        <v>45671</v>
      </c>
      <c r="H291" t="s">
        <v>8</v>
      </c>
      <c r="I291" t="s">
        <v>25</v>
      </c>
      <c r="J291">
        <v>5</v>
      </c>
      <c r="K291" t="s">
        <v>4</v>
      </c>
      <c r="L291" t="s">
        <v>47</v>
      </c>
      <c r="M291">
        <f>[1]!orders[[#This Row],[Ship Date]]-[1]!orders[[#This Row],[Order Date]]</f>
        <v>1</v>
      </c>
      <c r="N291">
        <f>WEEKNUM([1]!orders[[#This Row],[Order Date]])</f>
        <v>3</v>
      </c>
      <c r="O291" t="str" cm="1">
        <f t="array" ref="O291">_xlfn.IFS([1]!orders[[#This Row],[Customer Gender]]="M","Male", [1]!orders[[#This Row],[Customer Gender]]="F","Female", [1]!orders[[#This Row],[Customer Gender]]="O","Other", TRUE,"Unknown")</f>
        <v>Male</v>
      </c>
    </row>
    <row r="292" spans="1:15" x14ac:dyDescent="0.25">
      <c r="A292" s="1" t="s">
        <v>358</v>
      </c>
      <c r="B292" s="1" t="s">
        <v>17</v>
      </c>
      <c r="C292" s="1">
        <v>3</v>
      </c>
      <c r="D292" s="1">
        <v>28.1</v>
      </c>
      <c r="E292" s="1">
        <v>84.300000000000011</v>
      </c>
      <c r="F292" s="2">
        <v>45670</v>
      </c>
      <c r="G292" s="2">
        <v>45674</v>
      </c>
      <c r="H292" s="1" t="s">
        <v>8</v>
      </c>
      <c r="I292" s="1" t="s">
        <v>3</v>
      </c>
      <c r="J292" s="1">
        <v>4</v>
      </c>
      <c r="K292" s="1" t="s">
        <v>4</v>
      </c>
      <c r="L292" s="1" t="s">
        <v>47</v>
      </c>
      <c r="M292" s="1">
        <f>[1]!orders[[#This Row],[Ship Date]]-[1]!orders[[#This Row],[Order Date]]</f>
        <v>4</v>
      </c>
      <c r="N292" s="1">
        <f>WEEKNUM([1]!orders[[#This Row],[Order Date]])</f>
        <v>3</v>
      </c>
      <c r="O292" t="str" cm="1">
        <f t="array" ref="O292">_xlfn.IFS([1]!orders[[#This Row],[Customer Gender]]="M","Male", [1]!orders[[#This Row],[Customer Gender]]="F","Female", [1]!orders[[#This Row],[Customer Gender]]="O","Other", TRUE,"Unknown")</f>
        <v>Male</v>
      </c>
    </row>
    <row r="293" spans="1:15" x14ac:dyDescent="0.25">
      <c r="A293" t="s">
        <v>359</v>
      </c>
      <c r="B293" t="s">
        <v>27</v>
      </c>
      <c r="C293">
        <v>6</v>
      </c>
      <c r="D293">
        <v>51.4</v>
      </c>
      <c r="E293">
        <v>308.39999999999998</v>
      </c>
      <c r="F293" s="3">
        <v>45670</v>
      </c>
      <c r="G293" s="3">
        <v>45674</v>
      </c>
      <c r="H293" t="s">
        <v>8</v>
      </c>
      <c r="I293" t="s">
        <v>3</v>
      </c>
      <c r="J293">
        <v>4</v>
      </c>
      <c r="K293" t="s">
        <v>4</v>
      </c>
      <c r="L293" t="s">
        <v>47</v>
      </c>
      <c r="M293">
        <f>[1]!orders[[#This Row],[Ship Date]]-[1]!orders[[#This Row],[Order Date]]</f>
        <v>4</v>
      </c>
      <c r="N293">
        <f>WEEKNUM([1]!orders[[#This Row],[Order Date]])</f>
        <v>3</v>
      </c>
      <c r="O293" t="str" cm="1">
        <f t="array" ref="O293">_xlfn.IFS([1]!orders[[#This Row],[Customer Gender]]="M","Male", [1]!orders[[#This Row],[Customer Gender]]="F","Female", [1]!orders[[#This Row],[Customer Gender]]="O","Other", TRUE,"Unknown")</f>
        <v>Male</v>
      </c>
    </row>
    <row r="294" spans="1:15" x14ac:dyDescent="0.25">
      <c r="A294" s="1" t="s">
        <v>360</v>
      </c>
      <c r="B294" s="1" t="s">
        <v>27</v>
      </c>
      <c r="C294" s="1">
        <v>2</v>
      </c>
      <c r="D294" s="1">
        <v>97.7</v>
      </c>
      <c r="E294" s="1">
        <v>195.4</v>
      </c>
      <c r="F294" s="2">
        <v>45670</v>
      </c>
      <c r="G294" s="2">
        <v>45672</v>
      </c>
      <c r="H294" s="1" t="s">
        <v>12</v>
      </c>
      <c r="I294" s="1" t="s">
        <v>55</v>
      </c>
      <c r="J294" s="1">
        <v>5</v>
      </c>
      <c r="K294" s="1" t="s">
        <v>4</v>
      </c>
      <c r="L294" s="1" t="s">
        <v>88</v>
      </c>
      <c r="M294" s="1">
        <f>[1]!orders[[#This Row],[Ship Date]]-[1]!orders[[#This Row],[Order Date]]</f>
        <v>2</v>
      </c>
      <c r="N294" s="1">
        <f>WEEKNUM([1]!orders[[#This Row],[Order Date]])</f>
        <v>3</v>
      </c>
      <c r="O294" t="str" cm="1">
        <f t="array" ref="O294">_xlfn.IFS([1]!orders[[#This Row],[Customer Gender]]="M","Male", [1]!orders[[#This Row],[Customer Gender]]="F","Female", [1]!orders[[#This Row],[Customer Gender]]="O","Other", TRUE,"Unknown")</f>
        <v>Female</v>
      </c>
    </row>
    <row r="295" spans="1:15" x14ac:dyDescent="0.25">
      <c r="A295" t="s">
        <v>361</v>
      </c>
      <c r="B295" t="s">
        <v>7</v>
      </c>
      <c r="C295">
        <v>4</v>
      </c>
      <c r="D295">
        <v>63.8</v>
      </c>
      <c r="E295">
        <v>255.2</v>
      </c>
      <c r="F295" s="3">
        <v>45670</v>
      </c>
      <c r="G295" s="3">
        <v>45671</v>
      </c>
      <c r="H295" t="s">
        <v>8</v>
      </c>
      <c r="I295" t="s">
        <v>25</v>
      </c>
      <c r="J295">
        <v>4</v>
      </c>
      <c r="K295" t="s">
        <v>4</v>
      </c>
      <c r="L295" t="s">
        <v>362</v>
      </c>
      <c r="M295">
        <f>[1]!orders[[#This Row],[Ship Date]]-[1]!orders[[#This Row],[Order Date]]</f>
        <v>1</v>
      </c>
      <c r="N295">
        <f>WEEKNUM([1]!orders[[#This Row],[Order Date]])</f>
        <v>3</v>
      </c>
      <c r="O295" t="str" cm="1">
        <f t="array" ref="O295">_xlfn.IFS([1]!orders[[#This Row],[Customer Gender]]="M","Male", [1]!orders[[#This Row],[Customer Gender]]="F","Female", [1]!orders[[#This Row],[Customer Gender]]="O","Other", TRUE,"Unknown")</f>
        <v>Male</v>
      </c>
    </row>
    <row r="296" spans="1:15" x14ac:dyDescent="0.25">
      <c r="A296" s="1" t="s">
        <v>363</v>
      </c>
      <c r="B296" s="1" t="s">
        <v>61</v>
      </c>
      <c r="C296" s="1">
        <v>2</v>
      </c>
      <c r="D296" s="1">
        <v>20.100000000000001</v>
      </c>
      <c r="E296" s="1">
        <v>40.200000000000003</v>
      </c>
      <c r="F296" s="2">
        <v>45670</v>
      </c>
      <c r="G296" s="2">
        <v>45672</v>
      </c>
      <c r="H296" s="1" t="s">
        <v>8</v>
      </c>
      <c r="I296" s="1" t="s">
        <v>3</v>
      </c>
      <c r="J296" s="1">
        <v>5</v>
      </c>
      <c r="K296" s="1" t="s">
        <v>4</v>
      </c>
      <c r="L296" s="1" t="s">
        <v>98</v>
      </c>
      <c r="M296" s="1">
        <f>[1]!orders[[#This Row],[Ship Date]]-[1]!orders[[#This Row],[Order Date]]</f>
        <v>2</v>
      </c>
      <c r="N296" s="1">
        <f>WEEKNUM([1]!orders[[#This Row],[Order Date]])</f>
        <v>3</v>
      </c>
      <c r="O296" t="str" cm="1">
        <f t="array" ref="O296">_xlfn.IFS([1]!orders[[#This Row],[Customer Gender]]="M","Male", [1]!orders[[#This Row],[Customer Gender]]="F","Female", [1]!orders[[#This Row],[Customer Gender]]="O","Other", TRUE,"Unknown")</f>
        <v>Male</v>
      </c>
    </row>
    <row r="297" spans="1:15" x14ac:dyDescent="0.25">
      <c r="A297" t="s">
        <v>364</v>
      </c>
      <c r="B297" t="s">
        <v>52</v>
      </c>
      <c r="C297">
        <v>3</v>
      </c>
      <c r="D297">
        <v>50.4</v>
      </c>
      <c r="E297">
        <v>151.19999999999999</v>
      </c>
      <c r="F297" s="3">
        <v>45670</v>
      </c>
      <c r="G297" s="3">
        <v>45673</v>
      </c>
      <c r="H297" t="s">
        <v>12</v>
      </c>
      <c r="I297" t="s">
        <v>36</v>
      </c>
      <c r="J297">
        <v>4</v>
      </c>
      <c r="K297" t="s">
        <v>4</v>
      </c>
      <c r="L297" t="s">
        <v>67</v>
      </c>
      <c r="M297">
        <f>[1]!orders[[#This Row],[Ship Date]]-[1]!orders[[#This Row],[Order Date]]</f>
        <v>3</v>
      </c>
      <c r="N297">
        <f>WEEKNUM([1]!orders[[#This Row],[Order Date]])</f>
        <v>3</v>
      </c>
      <c r="O297" t="str" cm="1">
        <f t="array" ref="O297">_xlfn.IFS([1]!orders[[#This Row],[Customer Gender]]="M","Male", [1]!orders[[#This Row],[Customer Gender]]="F","Female", [1]!orders[[#This Row],[Customer Gender]]="O","Other", TRUE,"Unknown")</f>
        <v>Female</v>
      </c>
    </row>
    <row r="298" spans="1:15" x14ac:dyDescent="0.25">
      <c r="A298" s="1" t="s">
        <v>365</v>
      </c>
      <c r="B298" s="1" t="s">
        <v>1</v>
      </c>
      <c r="C298" s="1">
        <v>1</v>
      </c>
      <c r="D298" s="1">
        <v>16.2</v>
      </c>
      <c r="E298" s="1">
        <v>16.2</v>
      </c>
      <c r="F298" s="2">
        <v>45670</v>
      </c>
      <c r="G298" s="2">
        <v>45683</v>
      </c>
      <c r="H298" s="1" t="s">
        <v>12</v>
      </c>
      <c r="I298" s="1" t="s">
        <v>20</v>
      </c>
      <c r="J298" s="1">
        <v>4</v>
      </c>
      <c r="K298" s="1" t="s">
        <v>4</v>
      </c>
      <c r="L298" s="1" t="s">
        <v>9</v>
      </c>
      <c r="M298" s="1">
        <f>[1]!orders[[#This Row],[Ship Date]]-[1]!orders[[#This Row],[Order Date]]</f>
        <v>13</v>
      </c>
      <c r="N298" s="1">
        <f>WEEKNUM([1]!orders[[#This Row],[Order Date]])</f>
        <v>3</v>
      </c>
      <c r="O298" t="str" cm="1">
        <f t="array" ref="O298">_xlfn.IFS([1]!orders[[#This Row],[Customer Gender]]="M","Male", [1]!orders[[#This Row],[Customer Gender]]="F","Female", [1]!orders[[#This Row],[Customer Gender]]="O","Other", TRUE,"Unknown")</f>
        <v>Female</v>
      </c>
    </row>
    <row r="299" spans="1:15" x14ac:dyDescent="0.25">
      <c r="A299" t="s">
        <v>366</v>
      </c>
      <c r="B299" t="s">
        <v>24</v>
      </c>
      <c r="C299">
        <v>7</v>
      </c>
      <c r="D299">
        <v>80.900000000000006</v>
      </c>
      <c r="E299">
        <v>566.30000000000007</v>
      </c>
      <c r="F299" s="3">
        <v>45670</v>
      </c>
      <c r="G299" s="3">
        <v>45672</v>
      </c>
      <c r="H299" t="s">
        <v>8</v>
      </c>
      <c r="I299" t="s">
        <v>55</v>
      </c>
      <c r="J299">
        <v>2</v>
      </c>
      <c r="K299" t="s">
        <v>4</v>
      </c>
      <c r="L299" t="s">
        <v>13</v>
      </c>
      <c r="M299">
        <f>[1]!orders[[#This Row],[Ship Date]]-[1]!orders[[#This Row],[Order Date]]</f>
        <v>2</v>
      </c>
      <c r="N299">
        <f>WEEKNUM([1]!orders[[#This Row],[Order Date]])</f>
        <v>3</v>
      </c>
      <c r="O299" t="str" cm="1">
        <f t="array" ref="O299">_xlfn.IFS([1]!orders[[#This Row],[Customer Gender]]="M","Male", [1]!orders[[#This Row],[Customer Gender]]="F","Female", [1]!orders[[#This Row],[Customer Gender]]="O","Other", TRUE,"Unknown")</f>
        <v>Male</v>
      </c>
    </row>
    <row r="300" spans="1:15" x14ac:dyDescent="0.25">
      <c r="A300" s="1" t="s">
        <v>367</v>
      </c>
      <c r="B300" s="1" t="s">
        <v>31</v>
      </c>
      <c r="C300" s="1">
        <v>6</v>
      </c>
      <c r="D300" s="1">
        <v>95.2</v>
      </c>
      <c r="E300" s="1">
        <v>571.20000000000005</v>
      </c>
      <c r="F300" s="2">
        <v>45670</v>
      </c>
      <c r="G300" s="2">
        <v>45672</v>
      </c>
      <c r="H300" s="1" t="s">
        <v>12</v>
      </c>
      <c r="I300" s="1" t="s">
        <v>3</v>
      </c>
      <c r="J300" s="1">
        <v>5</v>
      </c>
      <c r="K300" s="1" t="s">
        <v>4</v>
      </c>
      <c r="L300" s="1" t="s">
        <v>13</v>
      </c>
      <c r="M300" s="1">
        <f>[1]!orders[[#This Row],[Ship Date]]-[1]!orders[[#This Row],[Order Date]]</f>
        <v>2</v>
      </c>
      <c r="N300" s="1">
        <f>WEEKNUM([1]!orders[[#This Row],[Order Date]])</f>
        <v>3</v>
      </c>
      <c r="O300" t="str" cm="1">
        <f t="array" ref="O300">_xlfn.IFS([1]!orders[[#This Row],[Customer Gender]]="M","Male", [1]!orders[[#This Row],[Customer Gender]]="F","Female", [1]!orders[[#This Row],[Customer Gender]]="O","Other", TRUE,"Unknown")</f>
        <v>Female</v>
      </c>
    </row>
    <row r="301" spans="1:15" x14ac:dyDescent="0.25">
      <c r="A301" t="s">
        <v>368</v>
      </c>
      <c r="B301" t="s">
        <v>22</v>
      </c>
      <c r="C301">
        <v>8</v>
      </c>
      <c r="D301">
        <v>70.400000000000006</v>
      </c>
      <c r="E301">
        <v>563.20000000000005</v>
      </c>
      <c r="F301" s="3">
        <v>45670</v>
      </c>
      <c r="G301" s="3">
        <v>45671</v>
      </c>
      <c r="H301" t="s">
        <v>8</v>
      </c>
      <c r="I301" t="s">
        <v>20</v>
      </c>
      <c r="J301">
        <v>3</v>
      </c>
      <c r="K301" t="s">
        <v>4</v>
      </c>
      <c r="L301" t="s">
        <v>18</v>
      </c>
      <c r="M301">
        <f>[1]!orders[[#This Row],[Ship Date]]-[1]!orders[[#This Row],[Order Date]]</f>
        <v>1</v>
      </c>
      <c r="N301">
        <f>WEEKNUM([1]!orders[[#This Row],[Order Date]])</f>
        <v>3</v>
      </c>
      <c r="O301" t="str" cm="1">
        <f t="array" ref="O301">_xlfn.IFS([1]!orders[[#This Row],[Customer Gender]]="M","Male", [1]!orders[[#This Row],[Customer Gender]]="F","Female", [1]!orders[[#This Row],[Customer Gender]]="O","Other", TRUE,"Unknown")</f>
        <v>Male</v>
      </c>
    </row>
    <row r="302" spans="1:15" x14ac:dyDescent="0.25">
      <c r="A302" s="1" t="s">
        <v>369</v>
      </c>
      <c r="B302" s="1" t="s">
        <v>1</v>
      </c>
      <c r="C302" s="1">
        <v>5</v>
      </c>
      <c r="D302" s="1">
        <v>10.7</v>
      </c>
      <c r="E302" s="1">
        <v>53.5</v>
      </c>
      <c r="F302" s="2">
        <v>45670</v>
      </c>
      <c r="G302" s="2">
        <v>45674</v>
      </c>
      <c r="H302" s="1" t="s">
        <v>12</v>
      </c>
      <c r="I302" s="1" t="s">
        <v>25</v>
      </c>
      <c r="J302" s="1">
        <v>4</v>
      </c>
      <c r="K302" s="1" t="s">
        <v>4</v>
      </c>
      <c r="L302" s="1" t="s">
        <v>18</v>
      </c>
      <c r="M302" s="1">
        <f>[1]!orders[[#This Row],[Ship Date]]-[1]!orders[[#This Row],[Order Date]]</f>
        <v>4</v>
      </c>
      <c r="N302" s="1">
        <f>WEEKNUM([1]!orders[[#This Row],[Order Date]])</f>
        <v>3</v>
      </c>
      <c r="O302" t="str" cm="1">
        <f t="array" ref="O302">_xlfn.IFS([1]!orders[[#This Row],[Customer Gender]]="M","Male", [1]!orders[[#This Row],[Customer Gender]]="F","Female", [1]!orders[[#This Row],[Customer Gender]]="O","Other", TRUE,"Unknown")</f>
        <v>Female</v>
      </c>
    </row>
    <row r="303" spans="1:15" x14ac:dyDescent="0.25">
      <c r="A303" t="s">
        <v>370</v>
      </c>
      <c r="B303" t="s">
        <v>29</v>
      </c>
      <c r="C303">
        <v>5</v>
      </c>
      <c r="D303">
        <v>19.600000000000001</v>
      </c>
      <c r="E303">
        <v>98</v>
      </c>
      <c r="F303" s="3">
        <v>45670</v>
      </c>
      <c r="G303" s="3">
        <v>45672</v>
      </c>
      <c r="H303" t="s">
        <v>12</v>
      </c>
      <c r="I303" t="s">
        <v>3</v>
      </c>
      <c r="J303">
        <v>1</v>
      </c>
      <c r="K303" t="s">
        <v>4</v>
      </c>
      <c r="L303" t="s">
        <v>18</v>
      </c>
      <c r="M303">
        <f>[1]!orders[[#This Row],[Ship Date]]-[1]!orders[[#This Row],[Order Date]]</f>
        <v>2</v>
      </c>
      <c r="N303">
        <f>WEEKNUM([1]!orders[[#This Row],[Order Date]])</f>
        <v>3</v>
      </c>
      <c r="O303" t="str" cm="1">
        <f t="array" ref="O303">_xlfn.IFS([1]!orders[[#This Row],[Customer Gender]]="M","Male", [1]!orders[[#This Row],[Customer Gender]]="F","Female", [1]!orders[[#This Row],[Customer Gender]]="O","Other", TRUE,"Unknown")</f>
        <v>Female</v>
      </c>
    </row>
    <row r="304" spans="1:15" x14ac:dyDescent="0.25">
      <c r="A304" s="1" t="s">
        <v>371</v>
      </c>
      <c r="B304" s="1" t="s">
        <v>29</v>
      </c>
      <c r="C304" s="1">
        <v>11</v>
      </c>
      <c r="D304" s="1">
        <v>34.700000000000003</v>
      </c>
      <c r="E304" s="1">
        <v>381.70000000000005</v>
      </c>
      <c r="F304" s="2">
        <v>45670</v>
      </c>
      <c r="G304" s="2">
        <v>45672</v>
      </c>
      <c r="H304" s="1" t="s">
        <v>12</v>
      </c>
      <c r="I304" s="1" t="s">
        <v>3</v>
      </c>
      <c r="J304" s="1">
        <v>5</v>
      </c>
      <c r="K304" s="1" t="s">
        <v>4</v>
      </c>
      <c r="L304" s="1" t="s">
        <v>18</v>
      </c>
      <c r="M304" s="1">
        <f>[1]!orders[[#This Row],[Ship Date]]-[1]!orders[[#This Row],[Order Date]]</f>
        <v>2</v>
      </c>
      <c r="N304" s="1">
        <f>WEEKNUM([1]!orders[[#This Row],[Order Date]])</f>
        <v>3</v>
      </c>
      <c r="O304" t="str" cm="1">
        <f t="array" ref="O304">_xlfn.IFS([1]!orders[[#This Row],[Customer Gender]]="M","Male", [1]!orders[[#This Row],[Customer Gender]]="F","Female", [1]!orders[[#This Row],[Customer Gender]]="O","Other", TRUE,"Unknown")</f>
        <v>Female</v>
      </c>
    </row>
    <row r="305" spans="1:15" x14ac:dyDescent="0.25">
      <c r="A305" t="s">
        <v>372</v>
      </c>
      <c r="B305" t="s">
        <v>39</v>
      </c>
      <c r="C305">
        <v>9</v>
      </c>
      <c r="D305">
        <v>34.1</v>
      </c>
      <c r="E305">
        <v>306.90000000000003</v>
      </c>
      <c r="F305" s="3">
        <v>45670</v>
      </c>
      <c r="G305" s="3">
        <v>45671</v>
      </c>
      <c r="H305" t="s">
        <v>12</v>
      </c>
      <c r="I305" t="s">
        <v>55</v>
      </c>
      <c r="J305">
        <v>3</v>
      </c>
      <c r="K305" t="s">
        <v>4</v>
      </c>
      <c r="L305" t="s">
        <v>18</v>
      </c>
      <c r="M305">
        <f>[1]!orders[[#This Row],[Ship Date]]-[1]!orders[[#This Row],[Order Date]]</f>
        <v>1</v>
      </c>
      <c r="N305">
        <f>WEEKNUM([1]!orders[[#This Row],[Order Date]])</f>
        <v>3</v>
      </c>
      <c r="O305" t="str" cm="1">
        <f t="array" ref="O305">_xlfn.IFS([1]!orders[[#This Row],[Customer Gender]]="M","Male", [1]!orders[[#This Row],[Customer Gender]]="F","Female", [1]!orders[[#This Row],[Customer Gender]]="O","Other", TRUE,"Unknown")</f>
        <v>Female</v>
      </c>
    </row>
    <row r="306" spans="1:15" x14ac:dyDescent="0.25">
      <c r="A306" s="1" t="s">
        <v>373</v>
      </c>
      <c r="B306" s="1" t="s">
        <v>1</v>
      </c>
      <c r="C306" s="1">
        <v>49</v>
      </c>
      <c r="D306" s="1">
        <v>29.3</v>
      </c>
      <c r="E306" s="1">
        <v>1435.7</v>
      </c>
      <c r="F306" s="2">
        <v>45670</v>
      </c>
      <c r="G306" s="2">
        <v>45670</v>
      </c>
      <c r="H306" s="1" t="s">
        <v>8</v>
      </c>
      <c r="I306" s="1" t="s">
        <v>3</v>
      </c>
      <c r="J306" s="1">
        <v>3</v>
      </c>
      <c r="K306" s="1" t="s">
        <v>4</v>
      </c>
      <c r="L306" s="1" t="s">
        <v>18</v>
      </c>
      <c r="M306" s="1">
        <f>[1]!orders[[#This Row],[Ship Date]]-[1]!orders[[#This Row],[Order Date]]</f>
        <v>0</v>
      </c>
      <c r="N306" s="1">
        <f>WEEKNUM([1]!orders[[#This Row],[Order Date]])</f>
        <v>3</v>
      </c>
      <c r="O306" t="str" cm="1">
        <f t="array" ref="O306">_xlfn.IFS([1]!orders[[#This Row],[Customer Gender]]="M","Male", [1]!orders[[#This Row],[Customer Gender]]="F","Female", [1]!orders[[#This Row],[Customer Gender]]="O","Other", TRUE,"Unknown")</f>
        <v>Male</v>
      </c>
    </row>
    <row r="307" spans="1:15" x14ac:dyDescent="0.25">
      <c r="A307" t="s">
        <v>374</v>
      </c>
      <c r="B307" t="s">
        <v>7</v>
      </c>
      <c r="C307">
        <v>1</v>
      </c>
      <c r="D307">
        <v>55.2</v>
      </c>
      <c r="E307">
        <v>55.2</v>
      </c>
      <c r="F307" s="3">
        <v>45670</v>
      </c>
      <c r="G307" s="3">
        <v>45671</v>
      </c>
      <c r="H307" t="s">
        <v>12</v>
      </c>
      <c r="I307" t="s">
        <v>3</v>
      </c>
      <c r="J307">
        <v>3</v>
      </c>
      <c r="K307" t="s">
        <v>4</v>
      </c>
      <c r="L307" t="s">
        <v>18</v>
      </c>
      <c r="M307">
        <f>[1]!orders[[#This Row],[Ship Date]]-[1]!orders[[#This Row],[Order Date]]</f>
        <v>1</v>
      </c>
      <c r="N307">
        <f>WEEKNUM([1]!orders[[#This Row],[Order Date]])</f>
        <v>3</v>
      </c>
      <c r="O307" t="str" cm="1">
        <f t="array" ref="O307">_xlfn.IFS([1]!orders[[#This Row],[Customer Gender]]="M","Male", [1]!orders[[#This Row],[Customer Gender]]="F","Female", [1]!orders[[#This Row],[Customer Gender]]="O","Other", TRUE,"Unknown")</f>
        <v>Female</v>
      </c>
    </row>
    <row r="308" spans="1:15" x14ac:dyDescent="0.25">
      <c r="A308" s="1" t="s">
        <v>375</v>
      </c>
      <c r="B308" s="1" t="s">
        <v>131</v>
      </c>
      <c r="C308" s="1">
        <v>3</v>
      </c>
      <c r="D308" s="1">
        <v>26</v>
      </c>
      <c r="E308" s="1">
        <v>78</v>
      </c>
      <c r="F308" s="2">
        <v>45670</v>
      </c>
      <c r="G308" s="2">
        <v>45673</v>
      </c>
      <c r="H308" s="1" t="s">
        <v>12</v>
      </c>
      <c r="I308" s="1" t="s">
        <v>3</v>
      </c>
      <c r="J308" s="1">
        <v>5</v>
      </c>
      <c r="K308" s="1" t="s">
        <v>4</v>
      </c>
      <c r="L308" s="1" t="s">
        <v>18</v>
      </c>
      <c r="M308" s="1">
        <f>[1]!orders[[#This Row],[Ship Date]]-[1]!orders[[#This Row],[Order Date]]</f>
        <v>3</v>
      </c>
      <c r="N308" s="1">
        <f>WEEKNUM([1]!orders[[#This Row],[Order Date]])</f>
        <v>3</v>
      </c>
      <c r="O308" t="str" cm="1">
        <f t="array" ref="O308">_xlfn.IFS([1]!orders[[#This Row],[Customer Gender]]="M","Male", [1]!orders[[#This Row],[Customer Gender]]="F","Female", [1]!orders[[#This Row],[Customer Gender]]="O","Other", TRUE,"Unknown")</f>
        <v>Female</v>
      </c>
    </row>
    <row r="309" spans="1:15" x14ac:dyDescent="0.25">
      <c r="A309" t="s">
        <v>376</v>
      </c>
      <c r="B309" t="s">
        <v>66</v>
      </c>
      <c r="C309">
        <v>2</v>
      </c>
      <c r="D309">
        <v>14.2</v>
      </c>
      <c r="E309">
        <v>28.4</v>
      </c>
      <c r="F309" s="3">
        <v>45670</v>
      </c>
      <c r="G309" s="3">
        <v>45675</v>
      </c>
      <c r="H309" t="s">
        <v>12</v>
      </c>
      <c r="I309" t="s">
        <v>36</v>
      </c>
      <c r="J309">
        <v>4</v>
      </c>
      <c r="K309" t="s">
        <v>4</v>
      </c>
      <c r="L309" t="s">
        <v>377</v>
      </c>
      <c r="M309">
        <f>[1]!orders[[#This Row],[Ship Date]]-[1]!orders[[#This Row],[Order Date]]</f>
        <v>5</v>
      </c>
      <c r="N309">
        <f>WEEKNUM([1]!orders[[#This Row],[Order Date]])</f>
        <v>3</v>
      </c>
      <c r="O309" t="str" cm="1">
        <f t="array" ref="O309">_xlfn.IFS([1]!orders[[#This Row],[Customer Gender]]="M","Male", [1]!orders[[#This Row],[Customer Gender]]="F","Female", [1]!orders[[#This Row],[Customer Gender]]="O","Other", TRUE,"Unknown")</f>
        <v>Female</v>
      </c>
    </row>
    <row r="310" spans="1:15" x14ac:dyDescent="0.25">
      <c r="A310" s="1" t="s">
        <v>378</v>
      </c>
      <c r="B310" s="1" t="s">
        <v>29</v>
      </c>
      <c r="C310" s="1">
        <v>9</v>
      </c>
      <c r="D310" s="1">
        <v>22.7</v>
      </c>
      <c r="E310" s="1">
        <v>204.29999999999998</v>
      </c>
      <c r="F310" s="2">
        <v>45671</v>
      </c>
      <c r="G310" s="2">
        <v>45672</v>
      </c>
      <c r="H310" s="1" t="s">
        <v>8</v>
      </c>
      <c r="I310" s="1" t="s">
        <v>20</v>
      </c>
      <c r="J310" s="1">
        <v>4</v>
      </c>
      <c r="K310" s="1" t="s">
        <v>4</v>
      </c>
      <c r="L310" s="1" t="s">
        <v>40</v>
      </c>
      <c r="M310" s="1">
        <f>[1]!orders[[#This Row],[Ship Date]]-[1]!orders[[#This Row],[Order Date]]</f>
        <v>1</v>
      </c>
      <c r="N310" s="1">
        <f>WEEKNUM([1]!orders[[#This Row],[Order Date]])</f>
        <v>3</v>
      </c>
      <c r="O310" t="str" cm="1">
        <f t="array" ref="O310">_xlfn.IFS([1]!orders[[#This Row],[Customer Gender]]="M","Male", [1]!orders[[#This Row],[Customer Gender]]="F","Female", [1]!orders[[#This Row],[Customer Gender]]="O","Other", TRUE,"Unknown")</f>
        <v>Male</v>
      </c>
    </row>
    <row r="311" spans="1:15" x14ac:dyDescent="0.25">
      <c r="A311" t="s">
        <v>379</v>
      </c>
      <c r="B311" t="s">
        <v>1</v>
      </c>
      <c r="C311">
        <v>15</v>
      </c>
      <c r="D311">
        <v>19.8</v>
      </c>
      <c r="E311">
        <v>297</v>
      </c>
      <c r="F311" s="3">
        <v>45671</v>
      </c>
      <c r="G311" s="3">
        <v>45671</v>
      </c>
      <c r="H311" t="s">
        <v>12</v>
      </c>
      <c r="I311" t="s">
        <v>3</v>
      </c>
      <c r="J311">
        <v>5</v>
      </c>
      <c r="K311" t="s">
        <v>4</v>
      </c>
      <c r="L311" t="s">
        <v>40</v>
      </c>
      <c r="M311">
        <f>[1]!orders[[#This Row],[Ship Date]]-[1]!orders[[#This Row],[Order Date]]</f>
        <v>0</v>
      </c>
      <c r="N311">
        <f>WEEKNUM([1]!orders[[#This Row],[Order Date]])</f>
        <v>3</v>
      </c>
      <c r="O311" t="str" cm="1">
        <f t="array" ref="O311">_xlfn.IFS([1]!orders[[#This Row],[Customer Gender]]="M","Male", [1]!orders[[#This Row],[Customer Gender]]="F","Female", [1]!orders[[#This Row],[Customer Gender]]="O","Other", TRUE,"Unknown")</f>
        <v>Female</v>
      </c>
    </row>
    <row r="312" spans="1:15" x14ac:dyDescent="0.25">
      <c r="A312" s="1" t="s">
        <v>380</v>
      </c>
      <c r="B312" s="1" t="s">
        <v>1</v>
      </c>
      <c r="C312" s="1">
        <v>3</v>
      </c>
      <c r="D312" s="1">
        <v>31.7</v>
      </c>
      <c r="E312" s="1">
        <v>95.1</v>
      </c>
      <c r="F312" s="2">
        <v>45671</v>
      </c>
      <c r="G312" s="2">
        <v>45672</v>
      </c>
      <c r="H312" s="1" t="s">
        <v>8</v>
      </c>
      <c r="I312" s="1" t="s">
        <v>25</v>
      </c>
      <c r="J312" s="1">
        <v>4</v>
      </c>
      <c r="K312" s="1" t="s">
        <v>4</v>
      </c>
      <c r="L312" s="1" t="s">
        <v>40</v>
      </c>
      <c r="M312" s="1">
        <f>[1]!orders[[#This Row],[Ship Date]]-[1]!orders[[#This Row],[Order Date]]</f>
        <v>1</v>
      </c>
      <c r="N312" s="1">
        <f>WEEKNUM([1]!orders[[#This Row],[Order Date]])</f>
        <v>3</v>
      </c>
      <c r="O312" t="str" cm="1">
        <f t="array" ref="O312">_xlfn.IFS([1]!orders[[#This Row],[Customer Gender]]="M","Male", [1]!orders[[#This Row],[Customer Gender]]="F","Female", [1]!orders[[#This Row],[Customer Gender]]="O","Other", TRUE,"Unknown")</f>
        <v>Male</v>
      </c>
    </row>
    <row r="313" spans="1:15" x14ac:dyDescent="0.25">
      <c r="A313" t="s">
        <v>381</v>
      </c>
      <c r="B313" t="s">
        <v>29</v>
      </c>
      <c r="C313">
        <v>4</v>
      </c>
      <c r="D313">
        <v>30.4</v>
      </c>
      <c r="E313">
        <v>121.6</v>
      </c>
      <c r="F313" s="3">
        <v>45671</v>
      </c>
      <c r="G313" s="3">
        <v>45675</v>
      </c>
      <c r="H313" t="s">
        <v>8</v>
      </c>
      <c r="I313" t="s">
        <v>3</v>
      </c>
      <c r="J313">
        <v>4</v>
      </c>
      <c r="K313" t="s">
        <v>4</v>
      </c>
      <c r="L313" t="s">
        <v>40</v>
      </c>
      <c r="M313">
        <f>[1]!orders[[#This Row],[Ship Date]]-[1]!orders[[#This Row],[Order Date]]</f>
        <v>4</v>
      </c>
      <c r="N313">
        <f>WEEKNUM([1]!orders[[#This Row],[Order Date]])</f>
        <v>3</v>
      </c>
      <c r="O313" t="str" cm="1">
        <f t="array" ref="O313">_xlfn.IFS([1]!orders[[#This Row],[Customer Gender]]="M","Male", [1]!orders[[#This Row],[Customer Gender]]="F","Female", [1]!orders[[#This Row],[Customer Gender]]="O","Other", TRUE,"Unknown")</f>
        <v>Male</v>
      </c>
    </row>
    <row r="314" spans="1:15" x14ac:dyDescent="0.25">
      <c r="A314" s="1" t="s">
        <v>382</v>
      </c>
      <c r="B314" s="1" t="s">
        <v>1</v>
      </c>
      <c r="C314" s="1">
        <v>4</v>
      </c>
      <c r="D314" s="1">
        <v>25.6</v>
      </c>
      <c r="E314" s="1">
        <v>102.4</v>
      </c>
      <c r="F314" s="2">
        <v>45671</v>
      </c>
      <c r="G314" s="2">
        <v>45672</v>
      </c>
      <c r="H314" s="1" t="s">
        <v>8</v>
      </c>
      <c r="I314" s="1" t="s">
        <v>36</v>
      </c>
      <c r="J314" s="1">
        <v>4</v>
      </c>
      <c r="K314" s="1" t="s">
        <v>4</v>
      </c>
      <c r="L314" s="1" t="s">
        <v>47</v>
      </c>
      <c r="M314" s="1">
        <f>[1]!orders[[#This Row],[Ship Date]]-[1]!orders[[#This Row],[Order Date]]</f>
        <v>1</v>
      </c>
      <c r="N314" s="1">
        <f>WEEKNUM([1]!orders[[#This Row],[Order Date]])</f>
        <v>3</v>
      </c>
      <c r="O314" t="str" cm="1">
        <f t="array" ref="O314">_xlfn.IFS([1]!orders[[#This Row],[Customer Gender]]="M","Male", [1]!orders[[#This Row],[Customer Gender]]="F","Female", [1]!orders[[#This Row],[Customer Gender]]="O","Other", TRUE,"Unknown")</f>
        <v>Male</v>
      </c>
    </row>
    <row r="315" spans="1:15" x14ac:dyDescent="0.25">
      <c r="A315" t="s">
        <v>383</v>
      </c>
      <c r="B315" t="s">
        <v>22</v>
      </c>
      <c r="C315">
        <v>2</v>
      </c>
      <c r="D315">
        <v>34.9</v>
      </c>
      <c r="E315">
        <v>69.8</v>
      </c>
      <c r="F315" s="3">
        <v>45671</v>
      </c>
      <c r="G315" s="3">
        <v>45672</v>
      </c>
      <c r="H315" t="s">
        <v>12</v>
      </c>
      <c r="I315" t="s">
        <v>25</v>
      </c>
      <c r="J315">
        <v>4</v>
      </c>
      <c r="K315" t="s">
        <v>4</v>
      </c>
      <c r="L315" t="s">
        <v>57</v>
      </c>
      <c r="M315">
        <f>[1]!orders[[#This Row],[Ship Date]]-[1]!orders[[#This Row],[Order Date]]</f>
        <v>1</v>
      </c>
      <c r="N315">
        <f>WEEKNUM([1]!orders[[#This Row],[Order Date]])</f>
        <v>3</v>
      </c>
      <c r="O315" t="str" cm="1">
        <f t="array" ref="O315">_xlfn.IFS([1]!orders[[#This Row],[Customer Gender]]="M","Male", [1]!orders[[#This Row],[Customer Gender]]="F","Female", [1]!orders[[#This Row],[Customer Gender]]="O","Other", TRUE,"Unknown")</f>
        <v>Female</v>
      </c>
    </row>
    <row r="316" spans="1:15" x14ac:dyDescent="0.25">
      <c r="A316" s="1" t="s">
        <v>384</v>
      </c>
      <c r="B316" s="1" t="s">
        <v>27</v>
      </c>
      <c r="C316" s="1">
        <v>6</v>
      </c>
      <c r="D316" s="1">
        <v>42.7</v>
      </c>
      <c r="E316" s="1">
        <v>256.20000000000005</v>
      </c>
      <c r="F316" s="2">
        <v>45671</v>
      </c>
      <c r="G316" s="2">
        <v>45674</v>
      </c>
      <c r="H316" s="1" t="s">
        <v>8</v>
      </c>
      <c r="I316" s="1" t="s">
        <v>25</v>
      </c>
      <c r="J316" s="1">
        <v>3</v>
      </c>
      <c r="K316" s="1" t="s">
        <v>4</v>
      </c>
      <c r="L316" s="1" t="s">
        <v>62</v>
      </c>
      <c r="M316" s="1">
        <f>[1]!orders[[#This Row],[Ship Date]]-[1]!orders[[#This Row],[Order Date]]</f>
        <v>3</v>
      </c>
      <c r="N316" s="1">
        <f>WEEKNUM([1]!orders[[#This Row],[Order Date]])</f>
        <v>3</v>
      </c>
      <c r="O316" t="str" cm="1">
        <f t="array" ref="O316">_xlfn.IFS([1]!orders[[#This Row],[Customer Gender]]="M","Male", [1]!orders[[#This Row],[Customer Gender]]="F","Female", [1]!orders[[#This Row],[Customer Gender]]="O","Other", TRUE,"Unknown")</f>
        <v>Male</v>
      </c>
    </row>
    <row r="317" spans="1:15" x14ac:dyDescent="0.25">
      <c r="A317" t="s">
        <v>385</v>
      </c>
      <c r="B317" t="s">
        <v>29</v>
      </c>
      <c r="C317">
        <v>1</v>
      </c>
      <c r="D317">
        <v>23.9</v>
      </c>
      <c r="E317">
        <v>23.9</v>
      </c>
      <c r="F317" s="3">
        <v>45671</v>
      </c>
      <c r="G317" s="3">
        <v>45673</v>
      </c>
      <c r="H317" t="s">
        <v>12</v>
      </c>
      <c r="I317" t="s">
        <v>36</v>
      </c>
      <c r="J317">
        <v>4</v>
      </c>
      <c r="K317" t="s">
        <v>4</v>
      </c>
      <c r="L317" t="s">
        <v>62</v>
      </c>
      <c r="M317">
        <f>[1]!orders[[#This Row],[Ship Date]]-[1]!orders[[#This Row],[Order Date]]</f>
        <v>2</v>
      </c>
      <c r="N317">
        <f>WEEKNUM([1]!orders[[#This Row],[Order Date]])</f>
        <v>3</v>
      </c>
      <c r="O317" t="str" cm="1">
        <f t="array" ref="O317">_xlfn.IFS([1]!orders[[#This Row],[Customer Gender]]="M","Male", [1]!orders[[#This Row],[Customer Gender]]="F","Female", [1]!orders[[#This Row],[Customer Gender]]="O","Other", TRUE,"Unknown")</f>
        <v>Female</v>
      </c>
    </row>
    <row r="318" spans="1:15" x14ac:dyDescent="0.25">
      <c r="A318" s="1" t="s">
        <v>386</v>
      </c>
      <c r="B318" s="1" t="s">
        <v>24</v>
      </c>
      <c r="C318" s="1">
        <v>1</v>
      </c>
      <c r="D318" s="1">
        <v>124.3</v>
      </c>
      <c r="E318" s="1">
        <v>124.3</v>
      </c>
      <c r="F318" s="2">
        <v>45671</v>
      </c>
      <c r="G318" s="2">
        <v>45672</v>
      </c>
      <c r="H318" s="1" t="s">
        <v>2</v>
      </c>
      <c r="I318" s="1" t="s">
        <v>25</v>
      </c>
      <c r="J318" s="1">
        <v>3</v>
      </c>
      <c r="K318" s="1" t="s">
        <v>4</v>
      </c>
      <c r="L318" s="1" t="s">
        <v>100</v>
      </c>
      <c r="M318" s="1">
        <f>[1]!orders[[#This Row],[Ship Date]]-[1]!orders[[#This Row],[Order Date]]</f>
        <v>1</v>
      </c>
      <c r="N318" s="1">
        <f>WEEKNUM([1]!orders[[#This Row],[Order Date]])</f>
        <v>3</v>
      </c>
      <c r="O318" t="str" cm="1">
        <f t="array" ref="O318">_xlfn.IFS([1]!orders[[#This Row],[Customer Gender]]="M","Male", [1]!orders[[#This Row],[Customer Gender]]="F","Female", [1]!orders[[#This Row],[Customer Gender]]="O","Other", TRUE,"Unknown")</f>
        <v>Unknown</v>
      </c>
    </row>
    <row r="319" spans="1:15" x14ac:dyDescent="0.25">
      <c r="A319" t="s">
        <v>387</v>
      </c>
      <c r="B319" t="s">
        <v>29</v>
      </c>
      <c r="C319">
        <v>6</v>
      </c>
      <c r="D319">
        <v>35.9</v>
      </c>
      <c r="E319">
        <v>215.39999999999998</v>
      </c>
      <c r="F319" s="3">
        <v>45671</v>
      </c>
      <c r="G319" s="3">
        <v>45672</v>
      </c>
      <c r="H319" t="s">
        <v>12</v>
      </c>
      <c r="I319" t="s">
        <v>3</v>
      </c>
      <c r="J319">
        <v>3</v>
      </c>
      <c r="K319" t="s">
        <v>4</v>
      </c>
      <c r="L319" t="s">
        <v>9</v>
      </c>
      <c r="M319">
        <f>[1]!orders[[#This Row],[Ship Date]]-[1]!orders[[#This Row],[Order Date]]</f>
        <v>1</v>
      </c>
      <c r="N319">
        <f>WEEKNUM([1]!orders[[#This Row],[Order Date]])</f>
        <v>3</v>
      </c>
      <c r="O319" t="str" cm="1">
        <f t="array" ref="O319">_xlfn.IFS([1]!orders[[#This Row],[Customer Gender]]="M","Male", [1]!orders[[#This Row],[Customer Gender]]="F","Female", [1]!orders[[#This Row],[Customer Gender]]="O","Other", TRUE,"Unknown")</f>
        <v>Female</v>
      </c>
    </row>
    <row r="320" spans="1:15" x14ac:dyDescent="0.25">
      <c r="A320" s="1" t="s">
        <v>388</v>
      </c>
      <c r="B320" s="1" t="s">
        <v>11</v>
      </c>
      <c r="C320" s="1">
        <v>2</v>
      </c>
      <c r="D320" s="1">
        <v>69.099999999999994</v>
      </c>
      <c r="E320" s="1">
        <v>138.19999999999999</v>
      </c>
      <c r="F320" s="2">
        <v>45671</v>
      </c>
      <c r="G320" s="2">
        <v>45674</v>
      </c>
      <c r="H320" s="1" t="s">
        <v>12</v>
      </c>
      <c r="I320" s="1" t="s">
        <v>3</v>
      </c>
      <c r="J320" s="1">
        <v>5</v>
      </c>
      <c r="K320" s="1" t="s">
        <v>4</v>
      </c>
      <c r="L320" s="1" t="s">
        <v>132</v>
      </c>
      <c r="M320" s="1">
        <f>[1]!orders[[#This Row],[Ship Date]]-[1]!orders[[#This Row],[Order Date]]</f>
        <v>3</v>
      </c>
      <c r="N320" s="1">
        <f>WEEKNUM([1]!orders[[#This Row],[Order Date]])</f>
        <v>3</v>
      </c>
      <c r="O320" t="str" cm="1">
        <f t="array" ref="O320">_xlfn.IFS([1]!orders[[#This Row],[Customer Gender]]="M","Male", [1]!orders[[#This Row],[Customer Gender]]="F","Female", [1]!orders[[#This Row],[Customer Gender]]="O","Other", TRUE,"Unknown")</f>
        <v>Female</v>
      </c>
    </row>
    <row r="321" spans="1:15" x14ac:dyDescent="0.25">
      <c r="A321" t="s">
        <v>389</v>
      </c>
      <c r="B321" t="s">
        <v>27</v>
      </c>
      <c r="C321">
        <v>1</v>
      </c>
      <c r="D321">
        <v>58.4</v>
      </c>
      <c r="E321">
        <v>58.4</v>
      </c>
      <c r="F321" s="3">
        <v>45671</v>
      </c>
      <c r="G321" s="3">
        <v>45675</v>
      </c>
      <c r="H321" t="s">
        <v>8</v>
      </c>
      <c r="I321" t="s">
        <v>3</v>
      </c>
      <c r="J321">
        <v>4</v>
      </c>
      <c r="K321" t="s">
        <v>4</v>
      </c>
      <c r="L321" t="s">
        <v>132</v>
      </c>
      <c r="M321">
        <f>[1]!orders[[#This Row],[Ship Date]]-[1]!orders[[#This Row],[Order Date]]</f>
        <v>4</v>
      </c>
      <c r="N321">
        <f>WEEKNUM([1]!orders[[#This Row],[Order Date]])</f>
        <v>3</v>
      </c>
      <c r="O321" t="str" cm="1">
        <f t="array" ref="O321">_xlfn.IFS([1]!orders[[#This Row],[Customer Gender]]="M","Male", [1]!orders[[#This Row],[Customer Gender]]="F","Female", [1]!orders[[#This Row],[Customer Gender]]="O","Other", TRUE,"Unknown")</f>
        <v>Male</v>
      </c>
    </row>
    <row r="322" spans="1:15" x14ac:dyDescent="0.25">
      <c r="A322" s="1" t="s">
        <v>390</v>
      </c>
      <c r="B322" s="1" t="s">
        <v>22</v>
      </c>
      <c r="C322" s="1">
        <v>1</v>
      </c>
      <c r="D322" s="1">
        <v>65.2</v>
      </c>
      <c r="E322" s="1">
        <v>65.2</v>
      </c>
      <c r="F322" s="2">
        <v>45671</v>
      </c>
      <c r="G322" s="2">
        <v>45673</v>
      </c>
      <c r="H322" s="1" t="s">
        <v>74</v>
      </c>
      <c r="I322" s="1" t="s">
        <v>55</v>
      </c>
      <c r="J322" s="1">
        <v>2</v>
      </c>
      <c r="K322" s="1" t="s">
        <v>4</v>
      </c>
      <c r="L322" s="1" t="s">
        <v>18</v>
      </c>
      <c r="M322" s="1">
        <f>[1]!orders[[#This Row],[Ship Date]]-[1]!orders[[#This Row],[Order Date]]</f>
        <v>2</v>
      </c>
      <c r="N322" s="1">
        <f>WEEKNUM([1]!orders[[#This Row],[Order Date]])</f>
        <v>3</v>
      </c>
      <c r="O322" t="str" cm="1">
        <f t="array" ref="O322">_xlfn.IFS([1]!orders[[#This Row],[Customer Gender]]="M","Male", [1]!orders[[#This Row],[Customer Gender]]="F","Female", [1]!orders[[#This Row],[Customer Gender]]="O","Other", TRUE,"Unknown")</f>
        <v>Other</v>
      </c>
    </row>
    <row r="323" spans="1:15" x14ac:dyDescent="0.25">
      <c r="A323" t="s">
        <v>391</v>
      </c>
      <c r="B323" t="s">
        <v>29</v>
      </c>
      <c r="C323">
        <v>17</v>
      </c>
      <c r="D323">
        <v>32.700000000000003</v>
      </c>
      <c r="E323">
        <v>555.90000000000009</v>
      </c>
      <c r="F323" s="3">
        <v>45671</v>
      </c>
      <c r="G323" s="3">
        <v>45678</v>
      </c>
      <c r="H323" t="s">
        <v>2</v>
      </c>
      <c r="I323" t="s">
        <v>55</v>
      </c>
      <c r="J323">
        <v>4</v>
      </c>
      <c r="K323" t="s">
        <v>4</v>
      </c>
      <c r="L323" t="s">
        <v>18</v>
      </c>
      <c r="M323">
        <f>[1]!orders[[#This Row],[Ship Date]]-[1]!orders[[#This Row],[Order Date]]</f>
        <v>7</v>
      </c>
      <c r="N323">
        <f>WEEKNUM([1]!orders[[#This Row],[Order Date]])</f>
        <v>3</v>
      </c>
      <c r="O323" t="str" cm="1">
        <f t="array" ref="O323">_xlfn.IFS([1]!orders[[#This Row],[Customer Gender]]="M","Male", [1]!orders[[#This Row],[Customer Gender]]="F","Female", [1]!orders[[#This Row],[Customer Gender]]="O","Other", TRUE,"Unknown")</f>
        <v>Unknown</v>
      </c>
    </row>
    <row r="324" spans="1:15" x14ac:dyDescent="0.25">
      <c r="A324" s="1" t="s">
        <v>392</v>
      </c>
      <c r="B324" s="1" t="s">
        <v>39</v>
      </c>
      <c r="C324" s="1">
        <v>7</v>
      </c>
      <c r="D324" s="1">
        <v>24.4</v>
      </c>
      <c r="E324" s="1">
        <v>170.79999999999998</v>
      </c>
      <c r="F324" s="2">
        <v>45671</v>
      </c>
      <c r="G324" s="2">
        <v>45672</v>
      </c>
      <c r="H324" s="1" t="s">
        <v>12</v>
      </c>
      <c r="I324" s="1" t="s">
        <v>3</v>
      </c>
      <c r="J324" s="1">
        <v>4</v>
      </c>
      <c r="K324" s="1" t="s">
        <v>4</v>
      </c>
      <c r="L324" s="1" t="s">
        <v>18</v>
      </c>
      <c r="M324" s="1">
        <f>[1]!orders[[#This Row],[Ship Date]]-[1]!orders[[#This Row],[Order Date]]</f>
        <v>1</v>
      </c>
      <c r="N324" s="1">
        <f>WEEKNUM([1]!orders[[#This Row],[Order Date]])</f>
        <v>3</v>
      </c>
      <c r="O324" t="str" cm="1">
        <f t="array" ref="O324">_xlfn.IFS([1]!orders[[#This Row],[Customer Gender]]="M","Male", [1]!orders[[#This Row],[Customer Gender]]="F","Female", [1]!orders[[#This Row],[Customer Gender]]="O","Other", TRUE,"Unknown")</f>
        <v>Female</v>
      </c>
    </row>
    <row r="325" spans="1:15" x14ac:dyDescent="0.25">
      <c r="A325" t="s">
        <v>393</v>
      </c>
      <c r="B325" t="s">
        <v>66</v>
      </c>
      <c r="C325">
        <v>2</v>
      </c>
      <c r="D325">
        <v>50.4</v>
      </c>
      <c r="E325">
        <v>100.8</v>
      </c>
      <c r="F325" s="3">
        <v>45671</v>
      </c>
      <c r="G325" s="3">
        <v>45677</v>
      </c>
      <c r="H325" t="s">
        <v>8</v>
      </c>
      <c r="I325" t="s">
        <v>3</v>
      </c>
      <c r="J325">
        <v>3</v>
      </c>
      <c r="K325" t="s">
        <v>4</v>
      </c>
      <c r="L325" t="s">
        <v>18</v>
      </c>
      <c r="M325">
        <f>[1]!orders[[#This Row],[Ship Date]]-[1]!orders[[#This Row],[Order Date]]</f>
        <v>6</v>
      </c>
      <c r="N325">
        <f>WEEKNUM([1]!orders[[#This Row],[Order Date]])</f>
        <v>3</v>
      </c>
      <c r="O325" t="str" cm="1">
        <f t="array" ref="O325">_xlfn.IFS([1]!orders[[#This Row],[Customer Gender]]="M","Male", [1]!orders[[#This Row],[Customer Gender]]="F","Female", [1]!orders[[#This Row],[Customer Gender]]="O","Other", TRUE,"Unknown")</f>
        <v>Male</v>
      </c>
    </row>
    <row r="326" spans="1:15" x14ac:dyDescent="0.25">
      <c r="A326" s="1" t="s">
        <v>394</v>
      </c>
      <c r="B326" s="1" t="s">
        <v>7</v>
      </c>
      <c r="C326" s="1">
        <v>2</v>
      </c>
      <c r="D326" s="1">
        <v>100</v>
      </c>
      <c r="E326" s="1">
        <v>200</v>
      </c>
      <c r="F326" s="2">
        <v>45671</v>
      </c>
      <c r="G326" s="2">
        <v>45672</v>
      </c>
      <c r="H326" s="1" t="s">
        <v>12</v>
      </c>
      <c r="I326" s="1" t="s">
        <v>3</v>
      </c>
      <c r="J326" s="1">
        <v>4</v>
      </c>
      <c r="K326" s="1" t="s">
        <v>4</v>
      </c>
      <c r="L326" s="1" t="s">
        <v>18</v>
      </c>
      <c r="M326" s="1">
        <f>[1]!orders[[#This Row],[Ship Date]]-[1]!orders[[#This Row],[Order Date]]</f>
        <v>1</v>
      </c>
      <c r="N326" s="1">
        <f>WEEKNUM([1]!orders[[#This Row],[Order Date]])</f>
        <v>3</v>
      </c>
      <c r="O326" t="str" cm="1">
        <f t="array" ref="O326">_xlfn.IFS([1]!orders[[#This Row],[Customer Gender]]="M","Male", [1]!orders[[#This Row],[Customer Gender]]="F","Female", [1]!orders[[#This Row],[Customer Gender]]="O","Other", TRUE,"Unknown")</f>
        <v>Female</v>
      </c>
    </row>
    <row r="327" spans="1:15" x14ac:dyDescent="0.25">
      <c r="A327" t="s">
        <v>395</v>
      </c>
      <c r="B327" t="s">
        <v>39</v>
      </c>
      <c r="C327">
        <v>3</v>
      </c>
      <c r="D327">
        <v>43</v>
      </c>
      <c r="E327">
        <v>129</v>
      </c>
      <c r="F327" s="3">
        <v>45672</v>
      </c>
      <c r="G327" s="3">
        <v>45672</v>
      </c>
      <c r="H327" t="s">
        <v>12</v>
      </c>
      <c r="I327" t="s">
        <v>25</v>
      </c>
      <c r="J327">
        <v>3</v>
      </c>
      <c r="K327" t="s">
        <v>4</v>
      </c>
      <c r="L327" t="s">
        <v>18</v>
      </c>
      <c r="M327">
        <f>[1]!orders[[#This Row],[Ship Date]]-[1]!orders[[#This Row],[Order Date]]</f>
        <v>0</v>
      </c>
      <c r="N327">
        <f>WEEKNUM([1]!orders[[#This Row],[Order Date]])</f>
        <v>3</v>
      </c>
      <c r="O327" t="str" cm="1">
        <f t="array" ref="O327">_xlfn.IFS([1]!orders[[#This Row],[Customer Gender]]="M","Male", [1]!orders[[#This Row],[Customer Gender]]="F","Female", [1]!orders[[#This Row],[Customer Gender]]="O","Other", TRUE,"Unknown")</f>
        <v>Female</v>
      </c>
    </row>
    <row r="328" spans="1:15" x14ac:dyDescent="0.25">
      <c r="A328" s="1" t="s">
        <v>396</v>
      </c>
      <c r="B328" s="1" t="s">
        <v>7</v>
      </c>
      <c r="C328" s="1">
        <v>5</v>
      </c>
      <c r="D328" s="1">
        <v>64.400000000000006</v>
      </c>
      <c r="E328" s="1">
        <v>322</v>
      </c>
      <c r="F328" s="2">
        <v>45672</v>
      </c>
      <c r="G328" s="2">
        <v>45674</v>
      </c>
      <c r="H328" s="1" t="s">
        <v>8</v>
      </c>
      <c r="I328" s="1" t="s">
        <v>25</v>
      </c>
      <c r="J328" s="1">
        <v>3</v>
      </c>
      <c r="K328" s="1" t="s">
        <v>4</v>
      </c>
      <c r="L328" s="1" t="s">
        <v>18</v>
      </c>
      <c r="M328" s="1">
        <f>[1]!orders[[#This Row],[Ship Date]]-[1]!orders[[#This Row],[Order Date]]</f>
        <v>2</v>
      </c>
      <c r="N328" s="1">
        <f>WEEKNUM([1]!orders[[#This Row],[Order Date]])</f>
        <v>3</v>
      </c>
      <c r="O328" t="str" cm="1">
        <f t="array" ref="O328">_xlfn.IFS([1]!orders[[#This Row],[Customer Gender]]="M","Male", [1]!orders[[#This Row],[Customer Gender]]="F","Female", [1]!orders[[#This Row],[Customer Gender]]="O","Other", TRUE,"Unknown")</f>
        <v>Male</v>
      </c>
    </row>
    <row r="329" spans="1:15" x14ac:dyDescent="0.25">
      <c r="A329" t="s">
        <v>397</v>
      </c>
      <c r="B329" t="s">
        <v>131</v>
      </c>
      <c r="C329">
        <v>2</v>
      </c>
      <c r="D329">
        <v>57.4</v>
      </c>
      <c r="E329">
        <v>114.8</v>
      </c>
      <c r="F329" s="3">
        <v>45672</v>
      </c>
      <c r="G329" s="3">
        <v>45673</v>
      </c>
      <c r="H329" t="s">
        <v>8</v>
      </c>
      <c r="I329" t="s">
        <v>25</v>
      </c>
      <c r="J329">
        <v>3</v>
      </c>
      <c r="K329" t="s">
        <v>4</v>
      </c>
      <c r="L329" t="s">
        <v>18</v>
      </c>
      <c r="M329">
        <f>[1]!orders[[#This Row],[Ship Date]]-[1]!orders[[#This Row],[Order Date]]</f>
        <v>1</v>
      </c>
      <c r="N329">
        <f>WEEKNUM([1]!orders[[#This Row],[Order Date]])</f>
        <v>3</v>
      </c>
      <c r="O329" t="str" cm="1">
        <f t="array" ref="O329">_xlfn.IFS([1]!orders[[#This Row],[Customer Gender]]="M","Male", [1]!orders[[#This Row],[Customer Gender]]="F","Female", [1]!orders[[#This Row],[Customer Gender]]="O","Other", TRUE,"Unknown")</f>
        <v>Male</v>
      </c>
    </row>
    <row r="330" spans="1:15" x14ac:dyDescent="0.25">
      <c r="A330" s="1" t="s">
        <v>398</v>
      </c>
      <c r="B330" s="1" t="s">
        <v>11</v>
      </c>
      <c r="C330" s="1">
        <v>3</v>
      </c>
      <c r="D330" s="1">
        <v>55.1</v>
      </c>
      <c r="E330" s="1">
        <v>165.3</v>
      </c>
      <c r="F330" s="2">
        <v>45672</v>
      </c>
      <c r="G330" s="2">
        <v>45675</v>
      </c>
      <c r="H330" s="1" t="s">
        <v>12</v>
      </c>
      <c r="I330" s="1" t="s">
        <v>20</v>
      </c>
      <c r="J330" s="1">
        <v>4</v>
      </c>
      <c r="K330" s="1" t="s">
        <v>4</v>
      </c>
      <c r="L330" s="1" t="s">
        <v>18</v>
      </c>
      <c r="M330" s="1">
        <f>[1]!orders[[#This Row],[Ship Date]]-[1]!orders[[#This Row],[Order Date]]</f>
        <v>3</v>
      </c>
      <c r="N330" s="1">
        <f>WEEKNUM([1]!orders[[#This Row],[Order Date]])</f>
        <v>3</v>
      </c>
      <c r="O330" t="str" cm="1">
        <f t="array" ref="O330">_xlfn.IFS([1]!orders[[#This Row],[Customer Gender]]="M","Male", [1]!orders[[#This Row],[Customer Gender]]="F","Female", [1]!orders[[#This Row],[Customer Gender]]="O","Other", TRUE,"Unknown")</f>
        <v>Female</v>
      </c>
    </row>
    <row r="331" spans="1:15" x14ac:dyDescent="0.25">
      <c r="A331" t="s">
        <v>399</v>
      </c>
      <c r="B331" t="s">
        <v>27</v>
      </c>
      <c r="C331">
        <v>4</v>
      </c>
      <c r="D331">
        <v>45.4</v>
      </c>
      <c r="E331">
        <v>181.6</v>
      </c>
      <c r="F331" s="3">
        <v>45672</v>
      </c>
      <c r="G331" s="3">
        <v>45673</v>
      </c>
      <c r="H331" t="s">
        <v>12</v>
      </c>
      <c r="I331" t="s">
        <v>20</v>
      </c>
      <c r="J331">
        <v>4</v>
      </c>
      <c r="K331" t="s">
        <v>4</v>
      </c>
      <c r="L331" t="s">
        <v>18</v>
      </c>
      <c r="M331">
        <f>[1]!orders[[#This Row],[Ship Date]]-[1]!orders[[#This Row],[Order Date]]</f>
        <v>1</v>
      </c>
      <c r="N331">
        <f>WEEKNUM([1]!orders[[#This Row],[Order Date]])</f>
        <v>3</v>
      </c>
      <c r="O331" t="str" cm="1">
        <f t="array" ref="O331">_xlfn.IFS([1]!orders[[#This Row],[Customer Gender]]="M","Male", [1]!orders[[#This Row],[Customer Gender]]="F","Female", [1]!orders[[#This Row],[Customer Gender]]="O","Other", TRUE,"Unknown")</f>
        <v>Female</v>
      </c>
    </row>
    <row r="332" spans="1:15" x14ac:dyDescent="0.25">
      <c r="A332" s="1" t="s">
        <v>400</v>
      </c>
      <c r="B332" s="1" t="s">
        <v>15</v>
      </c>
      <c r="C332" s="1">
        <v>3</v>
      </c>
      <c r="D332" s="1">
        <v>93.3</v>
      </c>
      <c r="E332" s="1">
        <v>279.89999999999998</v>
      </c>
      <c r="F332" s="2">
        <v>45672</v>
      </c>
      <c r="G332" s="2">
        <v>45673</v>
      </c>
      <c r="H332" s="1" t="s">
        <v>12</v>
      </c>
      <c r="I332" s="1" t="s">
        <v>3</v>
      </c>
      <c r="J332" s="1">
        <v>4</v>
      </c>
      <c r="K332" s="1" t="s">
        <v>4</v>
      </c>
      <c r="L332" s="1" t="s">
        <v>401</v>
      </c>
      <c r="M332" s="1">
        <f>[1]!orders[[#This Row],[Ship Date]]-[1]!orders[[#This Row],[Order Date]]</f>
        <v>1</v>
      </c>
      <c r="N332" s="1">
        <f>WEEKNUM([1]!orders[[#This Row],[Order Date]])</f>
        <v>3</v>
      </c>
      <c r="O332" t="str" cm="1">
        <f t="array" ref="O332">_xlfn.IFS([1]!orders[[#This Row],[Customer Gender]]="M","Male", [1]!orders[[#This Row],[Customer Gender]]="F","Female", [1]!orders[[#This Row],[Customer Gender]]="O","Other", TRUE,"Unknown")</f>
        <v>Female</v>
      </c>
    </row>
    <row r="333" spans="1:15" x14ac:dyDescent="0.25">
      <c r="A333" t="s">
        <v>402</v>
      </c>
      <c r="B333" t="s">
        <v>11</v>
      </c>
      <c r="C333">
        <v>19</v>
      </c>
      <c r="D333">
        <v>158.19999999999999</v>
      </c>
      <c r="E333">
        <v>3005.7999999999997</v>
      </c>
      <c r="F333" s="3">
        <v>45672</v>
      </c>
      <c r="G333" s="3">
        <v>45673</v>
      </c>
      <c r="H333" t="s">
        <v>12</v>
      </c>
      <c r="I333" t="s">
        <v>20</v>
      </c>
      <c r="J333">
        <v>5</v>
      </c>
      <c r="K333" t="s">
        <v>4</v>
      </c>
      <c r="L333" t="s">
        <v>83</v>
      </c>
      <c r="M333">
        <f>[1]!orders[[#This Row],[Ship Date]]-[1]!orders[[#This Row],[Order Date]]</f>
        <v>1</v>
      </c>
      <c r="N333">
        <f>WEEKNUM([1]!orders[[#This Row],[Order Date]])</f>
        <v>3</v>
      </c>
      <c r="O333" t="str" cm="1">
        <f t="array" ref="O333">_xlfn.IFS([1]!orders[[#This Row],[Customer Gender]]="M","Male", [1]!orders[[#This Row],[Customer Gender]]="F","Female", [1]!orders[[#This Row],[Customer Gender]]="O","Other", TRUE,"Unknown")</f>
        <v>Female</v>
      </c>
    </row>
    <row r="334" spans="1:15" x14ac:dyDescent="0.25">
      <c r="A334" s="1" t="s">
        <v>403</v>
      </c>
      <c r="B334" s="1" t="s">
        <v>11</v>
      </c>
      <c r="C334" s="1">
        <v>2</v>
      </c>
      <c r="D334" s="1">
        <v>74.900000000000006</v>
      </c>
      <c r="E334" s="1">
        <v>149.80000000000001</v>
      </c>
      <c r="F334" s="2">
        <v>45672</v>
      </c>
      <c r="G334" s="2">
        <v>45674</v>
      </c>
      <c r="H334" s="1" t="s">
        <v>8</v>
      </c>
      <c r="I334" s="1" t="s">
        <v>36</v>
      </c>
      <c r="J334" s="1">
        <v>4</v>
      </c>
      <c r="K334" s="1" t="s">
        <v>4</v>
      </c>
      <c r="L334" s="1" t="s">
        <v>40</v>
      </c>
      <c r="M334" s="1">
        <f>[1]!orders[[#This Row],[Ship Date]]-[1]!orders[[#This Row],[Order Date]]</f>
        <v>2</v>
      </c>
      <c r="N334" s="1">
        <f>WEEKNUM([1]!orders[[#This Row],[Order Date]])</f>
        <v>3</v>
      </c>
      <c r="O334" t="str" cm="1">
        <f t="array" ref="O334">_xlfn.IFS([1]!orders[[#This Row],[Customer Gender]]="M","Male", [1]!orders[[#This Row],[Customer Gender]]="F","Female", [1]!orders[[#This Row],[Customer Gender]]="O","Other", TRUE,"Unknown")</f>
        <v>Male</v>
      </c>
    </row>
    <row r="335" spans="1:15" x14ac:dyDescent="0.25">
      <c r="A335" t="s">
        <v>404</v>
      </c>
      <c r="B335" t="s">
        <v>29</v>
      </c>
      <c r="C335">
        <v>7</v>
      </c>
      <c r="D335">
        <v>26</v>
      </c>
      <c r="E335">
        <v>182</v>
      </c>
      <c r="F335" s="3">
        <v>45672</v>
      </c>
      <c r="G335" s="3">
        <v>45675</v>
      </c>
      <c r="H335" t="s">
        <v>12</v>
      </c>
      <c r="I335" t="s">
        <v>20</v>
      </c>
      <c r="J335">
        <v>4</v>
      </c>
      <c r="K335" t="s">
        <v>4</v>
      </c>
      <c r="L335" t="s">
        <v>47</v>
      </c>
      <c r="M335">
        <f>[1]!orders[[#This Row],[Ship Date]]-[1]!orders[[#This Row],[Order Date]]</f>
        <v>3</v>
      </c>
      <c r="N335">
        <f>WEEKNUM([1]!orders[[#This Row],[Order Date]])</f>
        <v>3</v>
      </c>
      <c r="O335" t="str" cm="1">
        <f t="array" ref="O335">_xlfn.IFS([1]!orders[[#This Row],[Customer Gender]]="M","Male", [1]!orders[[#This Row],[Customer Gender]]="F","Female", [1]!orders[[#This Row],[Customer Gender]]="O","Other", TRUE,"Unknown")</f>
        <v>Female</v>
      </c>
    </row>
    <row r="336" spans="1:15" x14ac:dyDescent="0.25">
      <c r="A336" s="1" t="s">
        <v>405</v>
      </c>
      <c r="B336" s="1" t="s">
        <v>31</v>
      </c>
      <c r="C336" s="1">
        <v>6</v>
      </c>
      <c r="D336" s="1">
        <v>37.5</v>
      </c>
      <c r="E336" s="1">
        <v>225</v>
      </c>
      <c r="F336" s="2">
        <v>45672</v>
      </c>
      <c r="G336" s="2">
        <v>45673</v>
      </c>
      <c r="H336" s="1" t="s">
        <v>12</v>
      </c>
      <c r="I336" s="1" t="s">
        <v>3</v>
      </c>
      <c r="J336" s="1">
        <v>3</v>
      </c>
      <c r="K336" s="1" t="s">
        <v>4</v>
      </c>
      <c r="L336" s="1" t="s">
        <v>47</v>
      </c>
      <c r="M336" s="1">
        <f>[1]!orders[[#This Row],[Ship Date]]-[1]!orders[[#This Row],[Order Date]]</f>
        <v>1</v>
      </c>
      <c r="N336" s="1">
        <f>WEEKNUM([1]!orders[[#This Row],[Order Date]])</f>
        <v>3</v>
      </c>
      <c r="O336" t="str" cm="1">
        <f t="array" ref="O336">_xlfn.IFS([1]!orders[[#This Row],[Customer Gender]]="M","Male", [1]!orders[[#This Row],[Customer Gender]]="F","Female", [1]!orders[[#This Row],[Customer Gender]]="O","Other", TRUE,"Unknown")</f>
        <v>Female</v>
      </c>
    </row>
    <row r="337" spans="1:15" x14ac:dyDescent="0.25">
      <c r="A337" t="s">
        <v>406</v>
      </c>
      <c r="B337" t="s">
        <v>24</v>
      </c>
      <c r="C337">
        <v>2</v>
      </c>
      <c r="D337">
        <v>75.8</v>
      </c>
      <c r="E337">
        <v>151.6</v>
      </c>
      <c r="F337" s="3">
        <v>45672</v>
      </c>
      <c r="G337" s="3">
        <v>45678</v>
      </c>
      <c r="H337" t="s">
        <v>8</v>
      </c>
      <c r="I337" t="s">
        <v>3</v>
      </c>
      <c r="J337">
        <v>4</v>
      </c>
      <c r="K337" t="s">
        <v>4</v>
      </c>
      <c r="L337" t="s">
        <v>47</v>
      </c>
      <c r="M337">
        <f>[1]!orders[[#This Row],[Ship Date]]-[1]!orders[[#This Row],[Order Date]]</f>
        <v>6</v>
      </c>
      <c r="N337">
        <f>WEEKNUM([1]!orders[[#This Row],[Order Date]])</f>
        <v>3</v>
      </c>
      <c r="O337" t="str" cm="1">
        <f t="array" ref="O337">_xlfn.IFS([1]!orders[[#This Row],[Customer Gender]]="M","Male", [1]!orders[[#This Row],[Customer Gender]]="F","Female", [1]!orders[[#This Row],[Customer Gender]]="O","Other", TRUE,"Unknown")</f>
        <v>Male</v>
      </c>
    </row>
    <row r="338" spans="1:15" x14ac:dyDescent="0.25">
      <c r="A338" s="1" t="s">
        <v>407</v>
      </c>
      <c r="B338" s="1" t="s">
        <v>27</v>
      </c>
      <c r="C338" s="1">
        <v>1</v>
      </c>
      <c r="D338" s="1">
        <v>48.5</v>
      </c>
      <c r="E338" s="1">
        <v>48.5</v>
      </c>
      <c r="F338" s="2">
        <v>45672</v>
      </c>
      <c r="G338" s="2">
        <v>45684</v>
      </c>
      <c r="H338" s="1" t="s">
        <v>2</v>
      </c>
      <c r="I338" s="1" t="s">
        <v>55</v>
      </c>
      <c r="J338" s="1">
        <v>5</v>
      </c>
      <c r="K338" s="1" t="s">
        <v>4</v>
      </c>
      <c r="L338" s="1" t="s">
        <v>47</v>
      </c>
      <c r="M338" s="1">
        <f>[1]!orders[[#This Row],[Ship Date]]-[1]!orders[[#This Row],[Order Date]]</f>
        <v>12</v>
      </c>
      <c r="N338" s="1">
        <f>WEEKNUM([1]!orders[[#This Row],[Order Date]])</f>
        <v>3</v>
      </c>
      <c r="O338" t="str" cm="1">
        <f t="array" ref="O338">_xlfn.IFS([1]!orders[[#This Row],[Customer Gender]]="M","Male", [1]!orders[[#This Row],[Customer Gender]]="F","Female", [1]!orders[[#This Row],[Customer Gender]]="O","Other", TRUE,"Unknown")</f>
        <v>Unknown</v>
      </c>
    </row>
    <row r="339" spans="1:15" x14ac:dyDescent="0.25">
      <c r="A339" t="s">
        <v>408</v>
      </c>
      <c r="B339" t="s">
        <v>24</v>
      </c>
      <c r="C339">
        <v>3</v>
      </c>
      <c r="D339">
        <v>98.9</v>
      </c>
      <c r="E339">
        <v>296.70000000000005</v>
      </c>
      <c r="F339" s="3">
        <v>45672</v>
      </c>
      <c r="G339" s="3">
        <v>45674</v>
      </c>
      <c r="H339" t="s">
        <v>12</v>
      </c>
      <c r="I339" t="s">
        <v>55</v>
      </c>
      <c r="J339">
        <v>3</v>
      </c>
      <c r="K339" t="s">
        <v>4</v>
      </c>
      <c r="L339" t="s">
        <v>47</v>
      </c>
      <c r="M339">
        <f>[1]!orders[[#This Row],[Ship Date]]-[1]!orders[[#This Row],[Order Date]]</f>
        <v>2</v>
      </c>
      <c r="N339">
        <f>WEEKNUM([1]!orders[[#This Row],[Order Date]])</f>
        <v>3</v>
      </c>
      <c r="O339" t="str" cm="1">
        <f t="array" ref="O339">_xlfn.IFS([1]!orders[[#This Row],[Customer Gender]]="M","Male", [1]!orders[[#This Row],[Customer Gender]]="F","Female", [1]!orders[[#This Row],[Customer Gender]]="O","Other", TRUE,"Unknown")</f>
        <v>Female</v>
      </c>
    </row>
    <row r="340" spans="1:15" x14ac:dyDescent="0.25">
      <c r="A340" s="1" t="s">
        <v>409</v>
      </c>
      <c r="B340" s="1" t="s">
        <v>7</v>
      </c>
      <c r="C340" s="1">
        <v>12</v>
      </c>
      <c r="D340" s="1">
        <v>50.9</v>
      </c>
      <c r="E340" s="1">
        <v>610.79999999999995</v>
      </c>
      <c r="F340" s="2">
        <v>45672</v>
      </c>
      <c r="G340" s="2">
        <v>45672</v>
      </c>
      <c r="H340" s="1" t="s">
        <v>8</v>
      </c>
      <c r="I340" s="1" t="s">
        <v>55</v>
      </c>
      <c r="J340" s="1">
        <v>4</v>
      </c>
      <c r="K340" s="1" t="s">
        <v>4</v>
      </c>
      <c r="L340" s="1" t="s">
        <v>47</v>
      </c>
      <c r="M340" s="1">
        <f>[1]!orders[[#This Row],[Ship Date]]-[1]!orders[[#This Row],[Order Date]]</f>
        <v>0</v>
      </c>
      <c r="N340" s="1">
        <f>WEEKNUM([1]!orders[[#This Row],[Order Date]])</f>
        <v>3</v>
      </c>
      <c r="O340" t="str" cm="1">
        <f t="array" ref="O340">_xlfn.IFS([1]!orders[[#This Row],[Customer Gender]]="M","Male", [1]!orders[[#This Row],[Customer Gender]]="F","Female", [1]!orders[[#This Row],[Customer Gender]]="O","Other", TRUE,"Unknown")</f>
        <v>Male</v>
      </c>
    </row>
    <row r="341" spans="1:15" x14ac:dyDescent="0.25">
      <c r="A341" t="s">
        <v>410</v>
      </c>
      <c r="B341" t="s">
        <v>54</v>
      </c>
      <c r="C341">
        <v>6</v>
      </c>
      <c r="D341">
        <v>84.7</v>
      </c>
      <c r="E341">
        <v>508.20000000000005</v>
      </c>
      <c r="F341" s="3">
        <v>45672</v>
      </c>
      <c r="G341" s="3">
        <v>45672</v>
      </c>
      <c r="H341" t="s">
        <v>12</v>
      </c>
      <c r="I341" t="s">
        <v>25</v>
      </c>
      <c r="J341">
        <v>4</v>
      </c>
      <c r="K341" t="s">
        <v>4</v>
      </c>
      <c r="L341" t="s">
        <v>47</v>
      </c>
      <c r="M341">
        <f>[1]!orders[[#This Row],[Ship Date]]-[1]!orders[[#This Row],[Order Date]]</f>
        <v>0</v>
      </c>
      <c r="N341">
        <f>WEEKNUM([1]!orders[[#This Row],[Order Date]])</f>
        <v>3</v>
      </c>
      <c r="O341" t="str" cm="1">
        <f t="array" ref="O341">_xlfn.IFS([1]!orders[[#This Row],[Customer Gender]]="M","Male", [1]!orders[[#This Row],[Customer Gender]]="F","Female", [1]!orders[[#This Row],[Customer Gender]]="O","Other", TRUE,"Unknown")</f>
        <v>Female</v>
      </c>
    </row>
    <row r="342" spans="1:15" x14ac:dyDescent="0.25">
      <c r="A342" s="1" t="s">
        <v>411</v>
      </c>
      <c r="B342" s="1" t="s">
        <v>29</v>
      </c>
      <c r="C342" s="1">
        <v>1</v>
      </c>
      <c r="D342" s="1">
        <v>20.7</v>
      </c>
      <c r="E342" s="1">
        <v>20.7</v>
      </c>
      <c r="F342" s="2">
        <v>45672</v>
      </c>
      <c r="G342" s="2">
        <v>45674</v>
      </c>
      <c r="H342" s="1" t="s">
        <v>12</v>
      </c>
      <c r="I342" s="1" t="s">
        <v>36</v>
      </c>
      <c r="J342" s="1">
        <v>5</v>
      </c>
      <c r="K342" s="1" t="s">
        <v>4</v>
      </c>
      <c r="L342" s="1" t="s">
        <v>47</v>
      </c>
      <c r="M342" s="1">
        <f>[1]!orders[[#This Row],[Ship Date]]-[1]!orders[[#This Row],[Order Date]]</f>
        <v>2</v>
      </c>
      <c r="N342" s="1">
        <f>WEEKNUM([1]!orders[[#This Row],[Order Date]])</f>
        <v>3</v>
      </c>
      <c r="O342" t="str" cm="1">
        <f t="array" ref="O342">_xlfn.IFS([1]!orders[[#This Row],[Customer Gender]]="M","Male", [1]!orders[[#This Row],[Customer Gender]]="F","Female", [1]!orders[[#This Row],[Customer Gender]]="O","Other", TRUE,"Unknown")</f>
        <v>Female</v>
      </c>
    </row>
    <row r="343" spans="1:15" x14ac:dyDescent="0.25">
      <c r="A343" t="s">
        <v>412</v>
      </c>
      <c r="B343" t="s">
        <v>54</v>
      </c>
      <c r="C343">
        <v>9</v>
      </c>
      <c r="D343">
        <v>57.8</v>
      </c>
      <c r="E343">
        <v>520.19999999999993</v>
      </c>
      <c r="F343" s="3">
        <v>45672</v>
      </c>
      <c r="G343" s="3">
        <v>45683</v>
      </c>
      <c r="H343" t="s">
        <v>8</v>
      </c>
      <c r="I343" t="s">
        <v>3</v>
      </c>
      <c r="J343">
        <v>2</v>
      </c>
      <c r="K343" t="s">
        <v>4</v>
      </c>
      <c r="L343" t="s">
        <v>88</v>
      </c>
      <c r="M343">
        <f>[1]!orders[[#This Row],[Ship Date]]-[1]!orders[[#This Row],[Order Date]]</f>
        <v>11</v>
      </c>
      <c r="N343">
        <f>WEEKNUM([1]!orders[[#This Row],[Order Date]])</f>
        <v>3</v>
      </c>
      <c r="O343" t="str" cm="1">
        <f t="array" ref="O343">_xlfn.IFS([1]!orders[[#This Row],[Customer Gender]]="M","Male", [1]!orders[[#This Row],[Customer Gender]]="F","Female", [1]!orders[[#This Row],[Customer Gender]]="O","Other", TRUE,"Unknown")</f>
        <v>Male</v>
      </c>
    </row>
    <row r="344" spans="1:15" x14ac:dyDescent="0.25">
      <c r="A344" s="1" t="s">
        <v>413</v>
      </c>
      <c r="B344" s="1" t="s">
        <v>11</v>
      </c>
      <c r="C344" s="1">
        <v>2</v>
      </c>
      <c r="D344" s="1">
        <v>106.9</v>
      </c>
      <c r="E344" s="1">
        <v>213.8</v>
      </c>
      <c r="F344" s="2">
        <v>45672</v>
      </c>
      <c r="G344" s="2">
        <v>45674</v>
      </c>
      <c r="H344" s="1" t="s">
        <v>12</v>
      </c>
      <c r="I344" s="1" t="s">
        <v>3</v>
      </c>
      <c r="J344" s="1">
        <v>5</v>
      </c>
      <c r="K344" s="1" t="s">
        <v>4</v>
      </c>
      <c r="L344" s="1" t="s">
        <v>414</v>
      </c>
      <c r="M344" s="1">
        <f>[1]!orders[[#This Row],[Ship Date]]-[1]!orders[[#This Row],[Order Date]]</f>
        <v>2</v>
      </c>
      <c r="N344" s="1">
        <f>WEEKNUM([1]!orders[[#This Row],[Order Date]])</f>
        <v>3</v>
      </c>
      <c r="O344" t="str" cm="1">
        <f t="array" ref="O344">_xlfn.IFS([1]!orders[[#This Row],[Customer Gender]]="M","Male", [1]!orders[[#This Row],[Customer Gender]]="F","Female", [1]!orders[[#This Row],[Customer Gender]]="O","Other", TRUE,"Unknown")</f>
        <v>Female</v>
      </c>
    </row>
    <row r="345" spans="1:15" x14ac:dyDescent="0.25">
      <c r="A345" t="s">
        <v>415</v>
      </c>
      <c r="B345" t="s">
        <v>15</v>
      </c>
      <c r="C345">
        <v>5</v>
      </c>
      <c r="D345">
        <v>45.2</v>
      </c>
      <c r="E345">
        <v>226</v>
      </c>
      <c r="F345" s="3">
        <v>45672</v>
      </c>
      <c r="G345" s="3">
        <v>45676</v>
      </c>
      <c r="H345" t="s">
        <v>12</v>
      </c>
      <c r="I345" t="s">
        <v>20</v>
      </c>
      <c r="J345">
        <v>4</v>
      </c>
      <c r="K345" t="s">
        <v>4</v>
      </c>
      <c r="L345" t="s">
        <v>100</v>
      </c>
      <c r="M345">
        <f>[1]!orders[[#This Row],[Ship Date]]-[1]!orders[[#This Row],[Order Date]]</f>
        <v>4</v>
      </c>
      <c r="N345">
        <f>WEEKNUM([1]!orders[[#This Row],[Order Date]])</f>
        <v>3</v>
      </c>
      <c r="O345" t="str" cm="1">
        <f t="array" ref="O345">_xlfn.IFS([1]!orders[[#This Row],[Customer Gender]]="M","Male", [1]!orders[[#This Row],[Customer Gender]]="F","Female", [1]!orders[[#This Row],[Customer Gender]]="O","Other", TRUE,"Unknown")</f>
        <v>Female</v>
      </c>
    </row>
    <row r="346" spans="1:15" x14ac:dyDescent="0.25">
      <c r="A346" s="1" t="s">
        <v>416</v>
      </c>
      <c r="B346" s="1" t="s">
        <v>29</v>
      </c>
      <c r="C346" s="1">
        <v>13</v>
      </c>
      <c r="D346" s="1">
        <v>34.6</v>
      </c>
      <c r="E346" s="1">
        <v>449.8</v>
      </c>
      <c r="F346" s="2">
        <v>45672</v>
      </c>
      <c r="G346" s="2">
        <v>45672</v>
      </c>
      <c r="H346" s="1" t="s">
        <v>12</v>
      </c>
      <c r="I346" s="1" t="s">
        <v>20</v>
      </c>
      <c r="J346" s="1">
        <v>3</v>
      </c>
      <c r="K346" s="1" t="s">
        <v>4</v>
      </c>
      <c r="L346" s="1" t="s">
        <v>100</v>
      </c>
      <c r="M346" s="1">
        <f>[1]!orders[[#This Row],[Ship Date]]-[1]!orders[[#This Row],[Order Date]]</f>
        <v>0</v>
      </c>
      <c r="N346" s="1">
        <f>WEEKNUM([1]!orders[[#This Row],[Order Date]])</f>
        <v>3</v>
      </c>
      <c r="O346" t="str" cm="1">
        <f t="array" ref="O346">_xlfn.IFS([1]!orders[[#This Row],[Customer Gender]]="M","Male", [1]!orders[[#This Row],[Customer Gender]]="F","Female", [1]!orders[[#This Row],[Customer Gender]]="O","Other", TRUE,"Unknown")</f>
        <v>Female</v>
      </c>
    </row>
    <row r="347" spans="1:15" x14ac:dyDescent="0.25">
      <c r="A347" t="s">
        <v>417</v>
      </c>
      <c r="B347" t="s">
        <v>108</v>
      </c>
      <c r="C347">
        <v>1</v>
      </c>
      <c r="D347">
        <v>43.8</v>
      </c>
      <c r="E347">
        <v>43.8</v>
      </c>
      <c r="F347" s="3">
        <v>45672</v>
      </c>
      <c r="G347" s="3">
        <v>45674</v>
      </c>
      <c r="H347" t="s">
        <v>2</v>
      </c>
      <c r="I347" t="s">
        <v>3</v>
      </c>
      <c r="J347">
        <v>5</v>
      </c>
      <c r="K347" t="s">
        <v>4</v>
      </c>
      <c r="L347" t="s">
        <v>100</v>
      </c>
      <c r="M347">
        <f>[1]!orders[[#This Row],[Ship Date]]-[1]!orders[[#This Row],[Order Date]]</f>
        <v>2</v>
      </c>
      <c r="N347">
        <f>WEEKNUM([1]!orders[[#This Row],[Order Date]])</f>
        <v>3</v>
      </c>
      <c r="O347" t="str" cm="1">
        <f t="array" ref="O347">_xlfn.IFS([1]!orders[[#This Row],[Customer Gender]]="M","Male", [1]!orders[[#This Row],[Customer Gender]]="F","Female", [1]!orders[[#This Row],[Customer Gender]]="O","Other", TRUE,"Unknown")</f>
        <v>Unknown</v>
      </c>
    </row>
    <row r="348" spans="1:15" x14ac:dyDescent="0.25">
      <c r="A348" s="1" t="s">
        <v>418</v>
      </c>
      <c r="B348" s="1" t="s">
        <v>108</v>
      </c>
      <c r="C348" s="1">
        <v>1</v>
      </c>
      <c r="D348" s="1">
        <v>20.399999999999999</v>
      </c>
      <c r="E348" s="1">
        <v>20.399999999999999</v>
      </c>
      <c r="F348" s="2">
        <v>45672</v>
      </c>
      <c r="G348" s="2">
        <v>45674</v>
      </c>
      <c r="H348" s="1" t="s">
        <v>8</v>
      </c>
      <c r="I348" s="1" t="s">
        <v>55</v>
      </c>
      <c r="J348" s="1">
        <v>3</v>
      </c>
      <c r="K348" s="1" t="s">
        <v>4</v>
      </c>
      <c r="L348" s="1" t="s">
        <v>100</v>
      </c>
      <c r="M348" s="1">
        <f>[1]!orders[[#This Row],[Ship Date]]-[1]!orders[[#This Row],[Order Date]]</f>
        <v>2</v>
      </c>
      <c r="N348" s="1">
        <f>WEEKNUM([1]!orders[[#This Row],[Order Date]])</f>
        <v>3</v>
      </c>
      <c r="O348" t="str" cm="1">
        <f t="array" ref="O348">_xlfn.IFS([1]!orders[[#This Row],[Customer Gender]]="M","Male", [1]!orders[[#This Row],[Customer Gender]]="F","Female", [1]!orders[[#This Row],[Customer Gender]]="O","Other", TRUE,"Unknown")</f>
        <v>Male</v>
      </c>
    </row>
    <row r="349" spans="1:15" x14ac:dyDescent="0.25">
      <c r="A349" t="s">
        <v>419</v>
      </c>
      <c r="B349" t="s">
        <v>7</v>
      </c>
      <c r="C349">
        <v>1</v>
      </c>
      <c r="D349">
        <v>36.700000000000003</v>
      </c>
      <c r="E349">
        <v>36.700000000000003</v>
      </c>
      <c r="F349" s="3">
        <v>45672</v>
      </c>
      <c r="G349" s="3">
        <v>45673</v>
      </c>
      <c r="H349" t="s">
        <v>8</v>
      </c>
      <c r="I349" t="s">
        <v>3</v>
      </c>
      <c r="J349">
        <v>3</v>
      </c>
      <c r="K349" t="s">
        <v>4</v>
      </c>
      <c r="L349" t="s">
        <v>9</v>
      </c>
      <c r="M349">
        <f>[1]!orders[[#This Row],[Ship Date]]-[1]!orders[[#This Row],[Order Date]]</f>
        <v>1</v>
      </c>
      <c r="N349">
        <f>WEEKNUM([1]!orders[[#This Row],[Order Date]])</f>
        <v>3</v>
      </c>
      <c r="O349" t="str" cm="1">
        <f t="array" ref="O349">_xlfn.IFS([1]!orders[[#This Row],[Customer Gender]]="M","Male", [1]!orders[[#This Row],[Customer Gender]]="F","Female", [1]!orders[[#This Row],[Customer Gender]]="O","Other", TRUE,"Unknown")</f>
        <v>Male</v>
      </c>
    </row>
    <row r="350" spans="1:15" x14ac:dyDescent="0.25">
      <c r="A350" s="1" t="s">
        <v>420</v>
      </c>
      <c r="B350" s="1" t="s">
        <v>29</v>
      </c>
      <c r="C350" s="1">
        <v>3</v>
      </c>
      <c r="D350" s="1">
        <v>27.2</v>
      </c>
      <c r="E350" s="1">
        <v>81.599999999999994</v>
      </c>
      <c r="F350" s="2">
        <v>45672</v>
      </c>
      <c r="G350" s="2">
        <v>45676</v>
      </c>
      <c r="H350" s="1" t="s">
        <v>8</v>
      </c>
      <c r="I350" s="1" t="s">
        <v>3</v>
      </c>
      <c r="J350" s="1">
        <v>5</v>
      </c>
      <c r="K350" s="1" t="s">
        <v>4</v>
      </c>
      <c r="L350" s="1" t="s">
        <v>9</v>
      </c>
      <c r="M350" s="1">
        <f>[1]!orders[[#This Row],[Ship Date]]-[1]!orders[[#This Row],[Order Date]]</f>
        <v>4</v>
      </c>
      <c r="N350" s="1">
        <f>WEEKNUM([1]!orders[[#This Row],[Order Date]])</f>
        <v>3</v>
      </c>
      <c r="O350" t="str" cm="1">
        <f t="array" ref="O350">_xlfn.IFS([1]!orders[[#This Row],[Customer Gender]]="M","Male", [1]!orders[[#This Row],[Customer Gender]]="F","Female", [1]!orders[[#This Row],[Customer Gender]]="O","Other", TRUE,"Unknown")</f>
        <v>Male</v>
      </c>
    </row>
    <row r="351" spans="1:15" x14ac:dyDescent="0.25">
      <c r="A351" t="s">
        <v>421</v>
      </c>
      <c r="B351" t="s">
        <v>24</v>
      </c>
      <c r="C351">
        <v>1</v>
      </c>
      <c r="D351">
        <v>58.2</v>
      </c>
      <c r="E351">
        <v>58.2</v>
      </c>
      <c r="F351" s="3">
        <v>45672</v>
      </c>
      <c r="G351" s="3">
        <v>45673</v>
      </c>
      <c r="H351" t="s">
        <v>12</v>
      </c>
      <c r="I351" t="s">
        <v>3</v>
      </c>
      <c r="J351">
        <v>5</v>
      </c>
      <c r="K351" t="s">
        <v>4</v>
      </c>
      <c r="L351" t="s">
        <v>422</v>
      </c>
      <c r="M351">
        <f>[1]!orders[[#This Row],[Ship Date]]-[1]!orders[[#This Row],[Order Date]]</f>
        <v>1</v>
      </c>
      <c r="N351">
        <f>WEEKNUM([1]!orders[[#This Row],[Order Date]])</f>
        <v>3</v>
      </c>
      <c r="O351" t="str" cm="1">
        <f t="array" ref="O351">_xlfn.IFS([1]!orders[[#This Row],[Customer Gender]]="M","Male", [1]!orders[[#This Row],[Customer Gender]]="F","Female", [1]!orders[[#This Row],[Customer Gender]]="O","Other", TRUE,"Unknown")</f>
        <v>Female</v>
      </c>
    </row>
    <row r="352" spans="1:15" x14ac:dyDescent="0.25">
      <c r="A352" s="1" t="s">
        <v>423</v>
      </c>
      <c r="B352" s="1" t="s">
        <v>29</v>
      </c>
      <c r="C352" s="1">
        <v>3</v>
      </c>
      <c r="D352" s="1">
        <v>25.6</v>
      </c>
      <c r="E352" s="1">
        <v>76.800000000000011</v>
      </c>
      <c r="F352" s="2">
        <v>45672</v>
      </c>
      <c r="G352" s="2">
        <v>45673</v>
      </c>
      <c r="H352" s="1" t="s">
        <v>8</v>
      </c>
      <c r="I352" s="1" t="s">
        <v>55</v>
      </c>
      <c r="J352" s="1">
        <v>2</v>
      </c>
      <c r="K352" s="1" t="s">
        <v>4</v>
      </c>
      <c r="L352" s="1" t="s">
        <v>13</v>
      </c>
      <c r="M352" s="1">
        <f>[1]!orders[[#This Row],[Ship Date]]-[1]!orders[[#This Row],[Order Date]]</f>
        <v>1</v>
      </c>
      <c r="N352" s="1">
        <f>WEEKNUM([1]!orders[[#This Row],[Order Date]])</f>
        <v>3</v>
      </c>
      <c r="O352" t="str" cm="1">
        <f t="array" ref="O352">_xlfn.IFS([1]!orders[[#This Row],[Customer Gender]]="M","Male", [1]!orders[[#This Row],[Customer Gender]]="F","Female", [1]!orders[[#This Row],[Customer Gender]]="O","Other", TRUE,"Unknown")</f>
        <v>Male</v>
      </c>
    </row>
    <row r="353" spans="1:15" x14ac:dyDescent="0.25">
      <c r="A353" t="s">
        <v>424</v>
      </c>
      <c r="B353" t="s">
        <v>39</v>
      </c>
      <c r="C353">
        <v>1</v>
      </c>
      <c r="D353">
        <v>21.2</v>
      </c>
      <c r="E353">
        <v>21.2</v>
      </c>
      <c r="F353" s="3">
        <v>45672</v>
      </c>
      <c r="G353" s="3">
        <v>45672</v>
      </c>
      <c r="H353" t="s">
        <v>12</v>
      </c>
      <c r="I353" t="s">
        <v>20</v>
      </c>
      <c r="J353">
        <v>5</v>
      </c>
      <c r="K353" t="s">
        <v>4</v>
      </c>
      <c r="L353" t="s">
        <v>18</v>
      </c>
      <c r="M353">
        <f>[1]!orders[[#This Row],[Ship Date]]-[1]!orders[[#This Row],[Order Date]]</f>
        <v>0</v>
      </c>
      <c r="N353">
        <f>WEEKNUM([1]!orders[[#This Row],[Order Date]])</f>
        <v>3</v>
      </c>
      <c r="O353" t="str" cm="1">
        <f t="array" ref="O353">_xlfn.IFS([1]!orders[[#This Row],[Customer Gender]]="M","Male", [1]!orders[[#This Row],[Customer Gender]]="F","Female", [1]!orders[[#This Row],[Customer Gender]]="O","Other", TRUE,"Unknown")</f>
        <v>Female</v>
      </c>
    </row>
    <row r="354" spans="1:15" x14ac:dyDescent="0.25">
      <c r="A354" s="1" t="s">
        <v>425</v>
      </c>
      <c r="B354" s="1" t="s">
        <v>24</v>
      </c>
      <c r="C354" s="1">
        <v>2</v>
      </c>
      <c r="D354" s="1">
        <v>48.2</v>
      </c>
      <c r="E354" s="1">
        <v>96.4</v>
      </c>
      <c r="F354" s="2">
        <v>45672</v>
      </c>
      <c r="G354" s="2">
        <v>45680</v>
      </c>
      <c r="H354" s="1" t="s">
        <v>12</v>
      </c>
      <c r="I354" s="1" t="s">
        <v>3</v>
      </c>
      <c r="J354" s="1">
        <v>5</v>
      </c>
      <c r="K354" s="1" t="s">
        <v>4</v>
      </c>
      <c r="L354" s="1" t="s">
        <v>18</v>
      </c>
      <c r="M354" s="1">
        <f>[1]!orders[[#This Row],[Ship Date]]-[1]!orders[[#This Row],[Order Date]]</f>
        <v>8</v>
      </c>
      <c r="N354" s="1">
        <f>WEEKNUM([1]!orders[[#This Row],[Order Date]])</f>
        <v>3</v>
      </c>
      <c r="O354" t="str" cm="1">
        <f t="array" ref="O354">_xlfn.IFS([1]!orders[[#This Row],[Customer Gender]]="M","Male", [1]!orders[[#This Row],[Customer Gender]]="F","Female", [1]!orders[[#This Row],[Customer Gender]]="O","Other", TRUE,"Unknown")</f>
        <v>Female</v>
      </c>
    </row>
    <row r="355" spans="1:15" x14ac:dyDescent="0.25">
      <c r="A355" t="s">
        <v>426</v>
      </c>
      <c r="B355" t="s">
        <v>7</v>
      </c>
      <c r="C355">
        <v>4</v>
      </c>
      <c r="D355">
        <v>83.4</v>
      </c>
      <c r="E355">
        <v>333.6</v>
      </c>
      <c r="F355" s="3">
        <v>45673</v>
      </c>
      <c r="G355" s="3">
        <v>45674</v>
      </c>
      <c r="H355" t="s">
        <v>8</v>
      </c>
      <c r="I355" t="s">
        <v>3</v>
      </c>
      <c r="J355">
        <v>4</v>
      </c>
      <c r="K355" t="s">
        <v>4</v>
      </c>
      <c r="L355" t="s">
        <v>18</v>
      </c>
      <c r="M355">
        <f>[1]!orders[[#This Row],[Ship Date]]-[1]!orders[[#This Row],[Order Date]]</f>
        <v>1</v>
      </c>
      <c r="N355">
        <f>WEEKNUM([1]!orders[[#This Row],[Order Date]])</f>
        <v>3</v>
      </c>
      <c r="O355" t="str" cm="1">
        <f t="array" ref="O355">_xlfn.IFS([1]!orders[[#This Row],[Customer Gender]]="M","Male", [1]!orders[[#This Row],[Customer Gender]]="F","Female", [1]!orders[[#This Row],[Customer Gender]]="O","Other", TRUE,"Unknown")</f>
        <v>Male</v>
      </c>
    </row>
    <row r="356" spans="1:15" x14ac:dyDescent="0.25">
      <c r="A356" s="1" t="s">
        <v>427</v>
      </c>
      <c r="B356" s="1" t="s">
        <v>31</v>
      </c>
      <c r="C356" s="1">
        <v>3</v>
      </c>
      <c r="D356" s="1">
        <v>45.3</v>
      </c>
      <c r="E356" s="1">
        <v>135.89999999999998</v>
      </c>
      <c r="F356" s="2">
        <v>45673</v>
      </c>
      <c r="G356" s="2">
        <v>45679</v>
      </c>
      <c r="H356" s="1" t="s">
        <v>8</v>
      </c>
      <c r="I356" s="1" t="s">
        <v>25</v>
      </c>
      <c r="J356" s="1">
        <v>3</v>
      </c>
      <c r="K356" s="1" t="s">
        <v>4</v>
      </c>
      <c r="L356" s="1" t="s">
        <v>18</v>
      </c>
      <c r="M356" s="1">
        <f>[1]!orders[[#This Row],[Ship Date]]-[1]!orders[[#This Row],[Order Date]]</f>
        <v>6</v>
      </c>
      <c r="N356" s="1">
        <f>WEEKNUM([1]!orders[[#This Row],[Order Date]])</f>
        <v>3</v>
      </c>
      <c r="O356" t="str" cm="1">
        <f t="array" ref="O356">_xlfn.IFS([1]!orders[[#This Row],[Customer Gender]]="M","Male", [1]!orders[[#This Row],[Customer Gender]]="F","Female", [1]!orders[[#This Row],[Customer Gender]]="O","Other", TRUE,"Unknown")</f>
        <v>Male</v>
      </c>
    </row>
    <row r="357" spans="1:15" x14ac:dyDescent="0.25">
      <c r="A357" t="s">
        <v>428</v>
      </c>
      <c r="B357" t="s">
        <v>120</v>
      </c>
      <c r="C357">
        <v>1</v>
      </c>
      <c r="D357">
        <v>42</v>
      </c>
      <c r="E357">
        <v>42</v>
      </c>
      <c r="F357" s="3">
        <v>45673</v>
      </c>
      <c r="G357" s="3">
        <v>45674</v>
      </c>
      <c r="H357" t="s">
        <v>2</v>
      </c>
      <c r="I357" t="s">
        <v>3</v>
      </c>
      <c r="J357">
        <v>4</v>
      </c>
      <c r="K357" t="s">
        <v>4</v>
      </c>
      <c r="L357" t="s">
        <v>18</v>
      </c>
      <c r="M357">
        <f>[1]!orders[[#This Row],[Ship Date]]-[1]!orders[[#This Row],[Order Date]]</f>
        <v>1</v>
      </c>
      <c r="N357">
        <f>WEEKNUM([1]!orders[[#This Row],[Order Date]])</f>
        <v>3</v>
      </c>
      <c r="O357" t="str" cm="1">
        <f t="array" ref="O357">_xlfn.IFS([1]!orders[[#This Row],[Customer Gender]]="M","Male", [1]!orders[[#This Row],[Customer Gender]]="F","Female", [1]!orders[[#This Row],[Customer Gender]]="O","Other", TRUE,"Unknown")</f>
        <v>Unknown</v>
      </c>
    </row>
    <row r="358" spans="1:15" x14ac:dyDescent="0.25">
      <c r="A358" s="1" t="s">
        <v>429</v>
      </c>
      <c r="B358" s="1" t="s">
        <v>1</v>
      </c>
      <c r="C358" s="1">
        <v>9</v>
      </c>
      <c r="D358" s="1">
        <v>21.8</v>
      </c>
      <c r="E358" s="1">
        <v>196.20000000000002</v>
      </c>
      <c r="F358" s="2">
        <v>45673</v>
      </c>
      <c r="G358" s="2">
        <v>45675</v>
      </c>
      <c r="H358" s="1" t="s">
        <v>12</v>
      </c>
      <c r="I358" s="1" t="s">
        <v>20</v>
      </c>
      <c r="J358" s="1">
        <v>4</v>
      </c>
      <c r="K358" s="1" t="s">
        <v>4</v>
      </c>
      <c r="L358" s="1" t="s">
        <v>18</v>
      </c>
      <c r="M358" s="1">
        <f>[1]!orders[[#This Row],[Ship Date]]-[1]!orders[[#This Row],[Order Date]]</f>
        <v>2</v>
      </c>
      <c r="N358" s="1">
        <f>WEEKNUM([1]!orders[[#This Row],[Order Date]])</f>
        <v>3</v>
      </c>
      <c r="O358" t="str" cm="1">
        <f t="array" ref="O358">_xlfn.IFS([1]!orders[[#This Row],[Customer Gender]]="M","Male", [1]!orders[[#This Row],[Customer Gender]]="F","Female", [1]!orders[[#This Row],[Customer Gender]]="O","Other", TRUE,"Unknown")</f>
        <v>Female</v>
      </c>
    </row>
    <row r="359" spans="1:15" x14ac:dyDescent="0.25">
      <c r="A359" t="s">
        <v>430</v>
      </c>
      <c r="B359" t="s">
        <v>29</v>
      </c>
      <c r="C359">
        <v>18</v>
      </c>
      <c r="D359">
        <v>21.4</v>
      </c>
      <c r="E359">
        <v>385.2</v>
      </c>
      <c r="F359" s="3">
        <v>45673</v>
      </c>
      <c r="G359" s="3">
        <v>45676</v>
      </c>
      <c r="H359" t="s">
        <v>12</v>
      </c>
      <c r="I359" t="s">
        <v>20</v>
      </c>
      <c r="J359">
        <v>5</v>
      </c>
      <c r="K359" t="s">
        <v>4</v>
      </c>
      <c r="L359" t="s">
        <v>18</v>
      </c>
      <c r="M359">
        <f>[1]!orders[[#This Row],[Ship Date]]-[1]!orders[[#This Row],[Order Date]]</f>
        <v>3</v>
      </c>
      <c r="N359">
        <f>WEEKNUM([1]!orders[[#This Row],[Order Date]])</f>
        <v>3</v>
      </c>
      <c r="O359" t="str" cm="1">
        <f t="array" ref="O359">_xlfn.IFS([1]!orders[[#This Row],[Customer Gender]]="M","Male", [1]!orders[[#This Row],[Customer Gender]]="F","Female", [1]!orders[[#This Row],[Customer Gender]]="O","Other", TRUE,"Unknown")</f>
        <v>Female</v>
      </c>
    </row>
    <row r="360" spans="1:15" x14ac:dyDescent="0.25">
      <c r="A360" s="1" t="s">
        <v>431</v>
      </c>
      <c r="B360" s="1" t="s">
        <v>39</v>
      </c>
      <c r="C360" s="1">
        <v>3</v>
      </c>
      <c r="D360" s="1">
        <v>45</v>
      </c>
      <c r="E360" s="1">
        <v>135</v>
      </c>
      <c r="F360" s="2">
        <v>45673</v>
      </c>
      <c r="G360" s="2">
        <v>45673</v>
      </c>
      <c r="H360" s="1" t="s">
        <v>12</v>
      </c>
      <c r="I360" s="1" t="s">
        <v>20</v>
      </c>
      <c r="J360" s="1">
        <v>5</v>
      </c>
      <c r="K360" s="1" t="s">
        <v>4</v>
      </c>
      <c r="L360" s="1" t="s">
        <v>18</v>
      </c>
      <c r="M360" s="1">
        <f>[1]!orders[[#This Row],[Ship Date]]-[1]!orders[[#This Row],[Order Date]]</f>
        <v>0</v>
      </c>
      <c r="N360" s="1">
        <f>WEEKNUM([1]!orders[[#This Row],[Order Date]])</f>
        <v>3</v>
      </c>
      <c r="O360" t="str" cm="1">
        <f t="array" ref="O360">_xlfn.IFS([1]!orders[[#This Row],[Customer Gender]]="M","Male", [1]!orders[[#This Row],[Customer Gender]]="F","Female", [1]!orders[[#This Row],[Customer Gender]]="O","Other", TRUE,"Unknown")</f>
        <v>Female</v>
      </c>
    </row>
    <row r="361" spans="1:15" x14ac:dyDescent="0.25">
      <c r="A361" t="s">
        <v>432</v>
      </c>
      <c r="B361" t="s">
        <v>66</v>
      </c>
      <c r="C361">
        <v>1</v>
      </c>
      <c r="D361">
        <v>39.6</v>
      </c>
      <c r="E361">
        <v>39.6</v>
      </c>
      <c r="F361" s="3">
        <v>45673</v>
      </c>
      <c r="G361" s="3">
        <v>45674</v>
      </c>
      <c r="H361" t="s">
        <v>8</v>
      </c>
      <c r="I361" t="s">
        <v>3</v>
      </c>
      <c r="J361">
        <v>5</v>
      </c>
      <c r="K361" t="s">
        <v>4</v>
      </c>
      <c r="L361" t="s">
        <v>18</v>
      </c>
      <c r="M361">
        <f>[1]!orders[[#This Row],[Ship Date]]-[1]!orders[[#This Row],[Order Date]]</f>
        <v>1</v>
      </c>
      <c r="N361">
        <f>WEEKNUM([1]!orders[[#This Row],[Order Date]])</f>
        <v>3</v>
      </c>
      <c r="O361" t="str" cm="1">
        <f t="array" ref="O361">_xlfn.IFS([1]!orders[[#This Row],[Customer Gender]]="M","Male", [1]!orders[[#This Row],[Customer Gender]]="F","Female", [1]!orders[[#This Row],[Customer Gender]]="O","Other", TRUE,"Unknown")</f>
        <v>Male</v>
      </c>
    </row>
    <row r="362" spans="1:15" x14ac:dyDescent="0.25">
      <c r="A362" s="1" t="s">
        <v>433</v>
      </c>
      <c r="B362" s="1" t="s">
        <v>54</v>
      </c>
      <c r="C362" s="1">
        <v>3</v>
      </c>
      <c r="D362" s="1">
        <v>79.8</v>
      </c>
      <c r="E362" s="1">
        <v>239.39999999999998</v>
      </c>
      <c r="F362" s="2">
        <v>45673</v>
      </c>
      <c r="G362" s="2">
        <v>45679</v>
      </c>
      <c r="H362" s="1" t="s">
        <v>12</v>
      </c>
      <c r="I362" s="1" t="s">
        <v>20</v>
      </c>
      <c r="J362" s="1">
        <v>2</v>
      </c>
      <c r="K362" s="1" t="s">
        <v>4</v>
      </c>
      <c r="L362" s="1" t="s">
        <v>18</v>
      </c>
      <c r="M362" s="1">
        <f>[1]!orders[[#This Row],[Ship Date]]-[1]!orders[[#This Row],[Order Date]]</f>
        <v>6</v>
      </c>
      <c r="N362" s="1">
        <f>WEEKNUM([1]!orders[[#This Row],[Order Date]])</f>
        <v>3</v>
      </c>
      <c r="O362" t="str" cm="1">
        <f t="array" ref="O362">_xlfn.IFS([1]!orders[[#This Row],[Customer Gender]]="M","Male", [1]!orders[[#This Row],[Customer Gender]]="F","Female", [1]!orders[[#This Row],[Customer Gender]]="O","Other", TRUE,"Unknown")</f>
        <v>Female</v>
      </c>
    </row>
    <row r="363" spans="1:15" x14ac:dyDescent="0.25">
      <c r="A363" t="s">
        <v>434</v>
      </c>
      <c r="B363" t="s">
        <v>7</v>
      </c>
      <c r="C363">
        <v>4</v>
      </c>
      <c r="D363">
        <v>63.6</v>
      </c>
      <c r="E363">
        <v>254.4</v>
      </c>
      <c r="F363" s="3">
        <v>45673</v>
      </c>
      <c r="G363" s="3">
        <v>45674</v>
      </c>
      <c r="H363" t="s">
        <v>74</v>
      </c>
      <c r="I363" t="s">
        <v>3</v>
      </c>
      <c r="J363">
        <v>5</v>
      </c>
      <c r="K363" t="s">
        <v>4</v>
      </c>
      <c r="L363" t="s">
        <v>171</v>
      </c>
      <c r="M363">
        <f>[1]!orders[[#This Row],[Ship Date]]-[1]!orders[[#This Row],[Order Date]]</f>
        <v>1</v>
      </c>
      <c r="N363">
        <f>WEEKNUM([1]!orders[[#This Row],[Order Date]])</f>
        <v>3</v>
      </c>
      <c r="O363" t="str" cm="1">
        <f t="array" ref="O363">_xlfn.IFS([1]!orders[[#This Row],[Customer Gender]]="M","Male", [1]!orders[[#This Row],[Customer Gender]]="F","Female", [1]!orders[[#This Row],[Customer Gender]]="O","Other", TRUE,"Unknown")</f>
        <v>Other</v>
      </c>
    </row>
    <row r="364" spans="1:15" x14ac:dyDescent="0.25">
      <c r="A364" s="1" t="s">
        <v>435</v>
      </c>
      <c r="B364" s="1" t="s">
        <v>27</v>
      </c>
      <c r="C364" s="1">
        <v>10</v>
      </c>
      <c r="D364" s="1">
        <v>92.7</v>
      </c>
      <c r="E364" s="1">
        <v>927</v>
      </c>
      <c r="F364" s="2">
        <v>45673</v>
      </c>
      <c r="G364" s="2">
        <v>45677</v>
      </c>
      <c r="H364" s="1" t="s">
        <v>8</v>
      </c>
      <c r="I364" s="1" t="s">
        <v>20</v>
      </c>
      <c r="J364" s="1">
        <v>5</v>
      </c>
      <c r="K364" s="1" t="s">
        <v>4</v>
      </c>
      <c r="L364" s="1" t="s">
        <v>40</v>
      </c>
      <c r="M364" s="1">
        <f>[1]!orders[[#This Row],[Ship Date]]-[1]!orders[[#This Row],[Order Date]]</f>
        <v>4</v>
      </c>
      <c r="N364" s="1">
        <f>WEEKNUM([1]!orders[[#This Row],[Order Date]])</f>
        <v>3</v>
      </c>
      <c r="O364" t="str" cm="1">
        <f t="array" ref="O364">_xlfn.IFS([1]!orders[[#This Row],[Customer Gender]]="M","Male", [1]!orders[[#This Row],[Customer Gender]]="F","Female", [1]!orders[[#This Row],[Customer Gender]]="O","Other", TRUE,"Unknown")</f>
        <v>Male</v>
      </c>
    </row>
    <row r="365" spans="1:15" x14ac:dyDescent="0.25">
      <c r="A365" t="s">
        <v>436</v>
      </c>
      <c r="B365" t="s">
        <v>7</v>
      </c>
      <c r="C365">
        <v>4</v>
      </c>
      <c r="D365">
        <v>48.4</v>
      </c>
      <c r="E365">
        <v>193.6</v>
      </c>
      <c r="F365" s="3">
        <v>45673</v>
      </c>
      <c r="G365" s="3">
        <v>45675</v>
      </c>
      <c r="H365" t="s">
        <v>12</v>
      </c>
      <c r="I365" t="s">
        <v>20</v>
      </c>
      <c r="J365">
        <v>5</v>
      </c>
      <c r="K365" t="s">
        <v>4</v>
      </c>
      <c r="L365" t="s">
        <v>40</v>
      </c>
      <c r="M365">
        <f>[1]!orders[[#This Row],[Ship Date]]-[1]!orders[[#This Row],[Order Date]]</f>
        <v>2</v>
      </c>
      <c r="N365">
        <f>WEEKNUM([1]!orders[[#This Row],[Order Date]])</f>
        <v>3</v>
      </c>
      <c r="O365" t="str" cm="1">
        <f t="array" ref="O365">_xlfn.IFS([1]!orders[[#This Row],[Customer Gender]]="M","Male", [1]!orders[[#This Row],[Customer Gender]]="F","Female", [1]!orders[[#This Row],[Customer Gender]]="O","Other", TRUE,"Unknown")</f>
        <v>Female</v>
      </c>
    </row>
    <row r="366" spans="1:15" x14ac:dyDescent="0.25">
      <c r="A366" s="1" t="s">
        <v>437</v>
      </c>
      <c r="B366" s="1" t="s">
        <v>31</v>
      </c>
      <c r="C366" s="1">
        <v>8</v>
      </c>
      <c r="D366" s="1">
        <v>36</v>
      </c>
      <c r="E366" s="1">
        <v>288</v>
      </c>
      <c r="F366" s="2">
        <v>45673</v>
      </c>
      <c r="G366" s="2">
        <v>45676</v>
      </c>
      <c r="H366" s="1" t="s">
        <v>8</v>
      </c>
      <c r="I366" s="1" t="s">
        <v>25</v>
      </c>
      <c r="J366" s="1">
        <v>5</v>
      </c>
      <c r="K366" s="1" t="s">
        <v>4</v>
      </c>
      <c r="L366" s="1" t="s">
        <v>47</v>
      </c>
      <c r="M366" s="1">
        <f>[1]!orders[[#This Row],[Ship Date]]-[1]!orders[[#This Row],[Order Date]]</f>
        <v>3</v>
      </c>
      <c r="N366" s="1">
        <f>WEEKNUM([1]!orders[[#This Row],[Order Date]])</f>
        <v>3</v>
      </c>
      <c r="O366" t="str" cm="1">
        <f t="array" ref="O366">_xlfn.IFS([1]!orders[[#This Row],[Customer Gender]]="M","Male", [1]!orders[[#This Row],[Customer Gender]]="F","Female", [1]!orders[[#This Row],[Customer Gender]]="O","Other", TRUE,"Unknown")</f>
        <v>Male</v>
      </c>
    </row>
    <row r="367" spans="1:15" x14ac:dyDescent="0.25">
      <c r="A367" t="s">
        <v>438</v>
      </c>
      <c r="B367" t="s">
        <v>29</v>
      </c>
      <c r="C367">
        <v>12</v>
      </c>
      <c r="D367">
        <v>27</v>
      </c>
      <c r="E367">
        <v>324</v>
      </c>
      <c r="F367" s="3">
        <v>45673</v>
      </c>
      <c r="G367" s="3">
        <v>45675</v>
      </c>
      <c r="H367" t="s">
        <v>12</v>
      </c>
      <c r="I367" t="s">
        <v>25</v>
      </c>
      <c r="J367">
        <v>3</v>
      </c>
      <c r="K367" t="s">
        <v>4</v>
      </c>
      <c r="L367" t="s">
        <v>47</v>
      </c>
      <c r="M367">
        <f>[1]!orders[[#This Row],[Ship Date]]-[1]!orders[[#This Row],[Order Date]]</f>
        <v>2</v>
      </c>
      <c r="N367">
        <f>WEEKNUM([1]!orders[[#This Row],[Order Date]])</f>
        <v>3</v>
      </c>
      <c r="O367" t="str" cm="1">
        <f t="array" ref="O367">_xlfn.IFS([1]!orders[[#This Row],[Customer Gender]]="M","Male", [1]!orders[[#This Row],[Customer Gender]]="F","Female", [1]!orders[[#This Row],[Customer Gender]]="O","Other", TRUE,"Unknown")</f>
        <v>Female</v>
      </c>
    </row>
    <row r="368" spans="1:15" x14ac:dyDescent="0.25">
      <c r="A368" s="1" t="s">
        <v>439</v>
      </c>
      <c r="B368" s="1" t="s">
        <v>11</v>
      </c>
      <c r="C368" s="1">
        <v>8</v>
      </c>
      <c r="D368" s="1">
        <v>53.9</v>
      </c>
      <c r="E368" s="1">
        <v>431.2</v>
      </c>
      <c r="F368" s="2">
        <v>45673</v>
      </c>
      <c r="G368" s="2">
        <v>45674</v>
      </c>
      <c r="H368" s="1" t="s">
        <v>2</v>
      </c>
      <c r="I368" s="1" t="s">
        <v>3</v>
      </c>
      <c r="J368" s="1">
        <v>4</v>
      </c>
      <c r="K368" s="1" t="s">
        <v>4</v>
      </c>
      <c r="L368" s="1" t="s">
        <v>47</v>
      </c>
      <c r="M368" s="1">
        <f>[1]!orders[[#This Row],[Ship Date]]-[1]!orders[[#This Row],[Order Date]]</f>
        <v>1</v>
      </c>
      <c r="N368" s="1">
        <f>WEEKNUM([1]!orders[[#This Row],[Order Date]])</f>
        <v>3</v>
      </c>
      <c r="O368" t="str" cm="1">
        <f t="array" ref="O368">_xlfn.IFS([1]!orders[[#This Row],[Customer Gender]]="M","Male", [1]!orders[[#This Row],[Customer Gender]]="F","Female", [1]!orders[[#This Row],[Customer Gender]]="O","Other", TRUE,"Unknown")</f>
        <v>Unknown</v>
      </c>
    </row>
    <row r="369" spans="1:15" x14ac:dyDescent="0.25">
      <c r="A369" t="s">
        <v>440</v>
      </c>
      <c r="B369" t="s">
        <v>15</v>
      </c>
      <c r="C369">
        <v>9</v>
      </c>
      <c r="D369">
        <v>48.4</v>
      </c>
      <c r="E369">
        <v>435.59999999999997</v>
      </c>
      <c r="F369" s="3">
        <v>45673</v>
      </c>
      <c r="G369" s="3">
        <v>45674</v>
      </c>
      <c r="H369" t="s">
        <v>12</v>
      </c>
      <c r="I369" t="s">
        <v>20</v>
      </c>
      <c r="J369">
        <v>4</v>
      </c>
      <c r="K369" t="s">
        <v>4</v>
      </c>
      <c r="L369" t="s">
        <v>57</v>
      </c>
      <c r="M369">
        <f>[1]!orders[[#This Row],[Ship Date]]-[1]!orders[[#This Row],[Order Date]]</f>
        <v>1</v>
      </c>
      <c r="N369">
        <f>WEEKNUM([1]!orders[[#This Row],[Order Date]])</f>
        <v>3</v>
      </c>
      <c r="O369" t="str" cm="1">
        <f t="array" ref="O369">_xlfn.IFS([1]!orders[[#This Row],[Customer Gender]]="M","Male", [1]!orders[[#This Row],[Customer Gender]]="F","Female", [1]!orders[[#This Row],[Customer Gender]]="O","Other", TRUE,"Unknown")</f>
        <v>Female</v>
      </c>
    </row>
    <row r="370" spans="1:15" x14ac:dyDescent="0.25">
      <c r="A370" s="1" t="s">
        <v>441</v>
      </c>
      <c r="B370" s="1" t="s">
        <v>120</v>
      </c>
      <c r="C370" s="1">
        <v>2</v>
      </c>
      <c r="D370" s="1">
        <v>49.9</v>
      </c>
      <c r="E370" s="1">
        <v>99.8</v>
      </c>
      <c r="F370" s="2">
        <v>45673</v>
      </c>
      <c r="G370" s="2">
        <v>45678</v>
      </c>
      <c r="H370" s="1" t="s">
        <v>8</v>
      </c>
      <c r="I370" s="1" t="s">
        <v>55</v>
      </c>
      <c r="J370" s="1">
        <v>2</v>
      </c>
      <c r="K370" s="1" t="s">
        <v>4</v>
      </c>
      <c r="L370" s="1" t="s">
        <v>59</v>
      </c>
      <c r="M370" s="1">
        <f>[1]!orders[[#This Row],[Ship Date]]-[1]!orders[[#This Row],[Order Date]]</f>
        <v>5</v>
      </c>
      <c r="N370" s="1">
        <f>WEEKNUM([1]!orders[[#This Row],[Order Date]])</f>
        <v>3</v>
      </c>
      <c r="O370" t="str" cm="1">
        <f t="array" ref="O370">_xlfn.IFS([1]!orders[[#This Row],[Customer Gender]]="M","Male", [1]!orders[[#This Row],[Customer Gender]]="F","Female", [1]!orders[[#This Row],[Customer Gender]]="O","Other", TRUE,"Unknown")</f>
        <v>Male</v>
      </c>
    </row>
    <row r="371" spans="1:15" x14ac:dyDescent="0.25">
      <c r="A371" t="s">
        <v>442</v>
      </c>
      <c r="B371" t="s">
        <v>7</v>
      </c>
      <c r="C371">
        <v>3</v>
      </c>
      <c r="D371">
        <v>51.7</v>
      </c>
      <c r="E371">
        <v>155.10000000000002</v>
      </c>
      <c r="F371" s="3">
        <v>45673</v>
      </c>
      <c r="G371" s="3">
        <v>45674</v>
      </c>
      <c r="H371" t="s">
        <v>12</v>
      </c>
      <c r="I371" t="s">
        <v>3</v>
      </c>
      <c r="J371">
        <v>5</v>
      </c>
      <c r="K371" t="s">
        <v>4</v>
      </c>
      <c r="L371" t="s">
        <v>62</v>
      </c>
      <c r="M371">
        <f>[1]!orders[[#This Row],[Ship Date]]-[1]!orders[[#This Row],[Order Date]]</f>
        <v>1</v>
      </c>
      <c r="N371">
        <f>WEEKNUM([1]!orders[[#This Row],[Order Date]])</f>
        <v>3</v>
      </c>
      <c r="O371" t="str" cm="1">
        <f t="array" ref="O371">_xlfn.IFS([1]!orders[[#This Row],[Customer Gender]]="M","Male", [1]!orders[[#This Row],[Customer Gender]]="F","Female", [1]!orders[[#This Row],[Customer Gender]]="O","Other", TRUE,"Unknown")</f>
        <v>Female</v>
      </c>
    </row>
    <row r="372" spans="1:15" x14ac:dyDescent="0.25">
      <c r="A372" s="1" t="s">
        <v>443</v>
      </c>
      <c r="B372" s="1" t="s">
        <v>29</v>
      </c>
      <c r="C372" s="1">
        <v>3</v>
      </c>
      <c r="D372" s="1">
        <v>41.8</v>
      </c>
      <c r="E372" s="1">
        <v>125.39999999999999</v>
      </c>
      <c r="F372" s="2">
        <v>45673</v>
      </c>
      <c r="G372" s="2">
        <v>45675</v>
      </c>
      <c r="H372" s="1" t="s">
        <v>12</v>
      </c>
      <c r="I372" s="1" t="s">
        <v>25</v>
      </c>
      <c r="J372" s="1">
        <v>4</v>
      </c>
      <c r="K372" s="1" t="s">
        <v>4</v>
      </c>
      <c r="L372" s="1" t="s">
        <v>93</v>
      </c>
      <c r="M372" s="1">
        <f>[1]!orders[[#This Row],[Ship Date]]-[1]!orders[[#This Row],[Order Date]]</f>
        <v>2</v>
      </c>
      <c r="N372" s="1">
        <f>WEEKNUM([1]!orders[[#This Row],[Order Date]])</f>
        <v>3</v>
      </c>
      <c r="O372" t="str" cm="1">
        <f t="array" ref="O372">_xlfn.IFS([1]!orders[[#This Row],[Customer Gender]]="M","Male", [1]!orders[[#This Row],[Customer Gender]]="F","Female", [1]!orders[[#This Row],[Customer Gender]]="O","Other", TRUE,"Unknown")</f>
        <v>Female</v>
      </c>
    </row>
    <row r="373" spans="1:15" x14ac:dyDescent="0.25">
      <c r="A373" t="s">
        <v>444</v>
      </c>
      <c r="B373" t="s">
        <v>17</v>
      </c>
      <c r="C373">
        <v>4</v>
      </c>
      <c r="D373">
        <v>36.200000000000003</v>
      </c>
      <c r="E373">
        <v>144.80000000000001</v>
      </c>
      <c r="F373" s="3">
        <v>45674</v>
      </c>
      <c r="G373" s="3">
        <v>45675</v>
      </c>
      <c r="H373" t="s">
        <v>8</v>
      </c>
      <c r="I373" t="s">
        <v>25</v>
      </c>
      <c r="J373">
        <v>5</v>
      </c>
      <c r="K373" t="s">
        <v>4</v>
      </c>
      <c r="L373" t="s">
        <v>100</v>
      </c>
      <c r="M373">
        <f>[1]!orders[[#This Row],[Ship Date]]-[1]!orders[[#This Row],[Order Date]]</f>
        <v>1</v>
      </c>
      <c r="N373">
        <f>WEEKNUM([1]!orders[[#This Row],[Order Date]])</f>
        <v>3</v>
      </c>
      <c r="O373" t="str" cm="1">
        <f t="array" ref="O373">_xlfn.IFS([1]!orders[[#This Row],[Customer Gender]]="M","Male", [1]!orders[[#This Row],[Customer Gender]]="F","Female", [1]!orders[[#This Row],[Customer Gender]]="O","Other", TRUE,"Unknown")</f>
        <v>Male</v>
      </c>
    </row>
    <row r="374" spans="1:15" x14ac:dyDescent="0.25">
      <c r="A374" s="1" t="s">
        <v>445</v>
      </c>
      <c r="B374" s="1" t="s">
        <v>11</v>
      </c>
      <c r="C374" s="1">
        <v>1</v>
      </c>
      <c r="D374" s="1">
        <v>150.9</v>
      </c>
      <c r="E374" s="1">
        <v>150.9</v>
      </c>
      <c r="F374" s="2">
        <v>45674</v>
      </c>
      <c r="G374" s="2">
        <v>45684</v>
      </c>
      <c r="H374" s="1" t="s">
        <v>8</v>
      </c>
      <c r="I374" s="1" t="s">
        <v>3</v>
      </c>
      <c r="J374" s="1">
        <v>4</v>
      </c>
      <c r="K374" s="1" t="s">
        <v>4</v>
      </c>
      <c r="L374" s="1" t="s">
        <v>9</v>
      </c>
      <c r="M374" s="1">
        <f>[1]!orders[[#This Row],[Ship Date]]-[1]!orders[[#This Row],[Order Date]]</f>
        <v>10</v>
      </c>
      <c r="N374" s="1">
        <f>WEEKNUM([1]!orders[[#This Row],[Order Date]])</f>
        <v>3</v>
      </c>
      <c r="O374" t="str" cm="1">
        <f t="array" ref="O374">_xlfn.IFS([1]!orders[[#This Row],[Customer Gender]]="M","Male", [1]!orders[[#This Row],[Customer Gender]]="F","Female", [1]!orders[[#This Row],[Customer Gender]]="O","Other", TRUE,"Unknown")</f>
        <v>Male</v>
      </c>
    </row>
    <row r="375" spans="1:15" x14ac:dyDescent="0.25">
      <c r="A375" t="s">
        <v>446</v>
      </c>
      <c r="B375" t="s">
        <v>131</v>
      </c>
      <c r="C375">
        <v>4</v>
      </c>
      <c r="D375">
        <v>77.599999999999994</v>
      </c>
      <c r="E375">
        <v>310.39999999999998</v>
      </c>
      <c r="F375" s="3">
        <v>45674</v>
      </c>
      <c r="G375" s="3">
        <v>45675</v>
      </c>
      <c r="H375" t="s">
        <v>2</v>
      </c>
      <c r="I375" t="s">
        <v>25</v>
      </c>
      <c r="J375">
        <v>4</v>
      </c>
      <c r="K375" t="s">
        <v>4</v>
      </c>
      <c r="L375" t="s">
        <v>18</v>
      </c>
      <c r="M375">
        <f>[1]!orders[[#This Row],[Ship Date]]-[1]!orders[[#This Row],[Order Date]]</f>
        <v>1</v>
      </c>
      <c r="N375">
        <f>WEEKNUM([1]!orders[[#This Row],[Order Date]])</f>
        <v>3</v>
      </c>
      <c r="O375" t="str" cm="1">
        <f t="array" ref="O375">_xlfn.IFS([1]!orders[[#This Row],[Customer Gender]]="M","Male", [1]!orders[[#This Row],[Customer Gender]]="F","Female", [1]!orders[[#This Row],[Customer Gender]]="O","Other", TRUE,"Unknown")</f>
        <v>Unknown</v>
      </c>
    </row>
    <row r="376" spans="1:15" x14ac:dyDescent="0.25">
      <c r="A376" s="1" t="s">
        <v>447</v>
      </c>
      <c r="B376" s="1" t="s">
        <v>61</v>
      </c>
      <c r="C376" s="1">
        <v>5</v>
      </c>
      <c r="D376" s="1">
        <v>65.5</v>
      </c>
      <c r="E376" s="1">
        <v>327.5</v>
      </c>
      <c r="F376" s="2">
        <v>45674</v>
      </c>
      <c r="G376" s="2">
        <v>45674</v>
      </c>
      <c r="H376" s="1" t="s">
        <v>8</v>
      </c>
      <c r="I376" s="1" t="s">
        <v>20</v>
      </c>
      <c r="J376" s="1">
        <v>4</v>
      </c>
      <c r="K376" s="1" t="s">
        <v>4</v>
      </c>
      <c r="L376" s="1" t="s">
        <v>18</v>
      </c>
      <c r="M376" s="1">
        <f>[1]!orders[[#This Row],[Ship Date]]-[1]!orders[[#This Row],[Order Date]]</f>
        <v>0</v>
      </c>
      <c r="N376" s="1">
        <f>WEEKNUM([1]!orders[[#This Row],[Order Date]])</f>
        <v>3</v>
      </c>
      <c r="O376" t="str" cm="1">
        <f t="array" ref="O376">_xlfn.IFS([1]!orders[[#This Row],[Customer Gender]]="M","Male", [1]!orders[[#This Row],[Customer Gender]]="F","Female", [1]!orders[[#This Row],[Customer Gender]]="O","Other", TRUE,"Unknown")</f>
        <v>Male</v>
      </c>
    </row>
    <row r="377" spans="1:15" x14ac:dyDescent="0.25">
      <c r="A377" t="s">
        <v>448</v>
      </c>
      <c r="B377" t="s">
        <v>24</v>
      </c>
      <c r="C377">
        <v>3</v>
      </c>
      <c r="D377">
        <v>90.1</v>
      </c>
      <c r="E377">
        <v>270.29999999999995</v>
      </c>
      <c r="F377" s="3">
        <v>45674</v>
      </c>
      <c r="G377" s="3">
        <v>45676</v>
      </c>
      <c r="H377" t="s">
        <v>12</v>
      </c>
      <c r="I377" t="s">
        <v>3</v>
      </c>
      <c r="J377">
        <v>4</v>
      </c>
      <c r="K377" t="s">
        <v>4</v>
      </c>
      <c r="L377" t="s">
        <v>18</v>
      </c>
      <c r="M377">
        <f>[1]!orders[[#This Row],[Ship Date]]-[1]!orders[[#This Row],[Order Date]]</f>
        <v>2</v>
      </c>
      <c r="N377">
        <f>WEEKNUM([1]!orders[[#This Row],[Order Date]])</f>
        <v>3</v>
      </c>
      <c r="O377" t="str" cm="1">
        <f t="array" ref="O377">_xlfn.IFS([1]!orders[[#This Row],[Customer Gender]]="M","Male", [1]!orders[[#This Row],[Customer Gender]]="F","Female", [1]!orders[[#This Row],[Customer Gender]]="O","Other", TRUE,"Unknown")</f>
        <v>Female</v>
      </c>
    </row>
    <row r="378" spans="1:15" x14ac:dyDescent="0.25">
      <c r="A378" s="1" t="s">
        <v>449</v>
      </c>
      <c r="B378" s="1" t="s">
        <v>7</v>
      </c>
      <c r="C378" s="1">
        <v>2</v>
      </c>
      <c r="D378" s="1">
        <v>108.3</v>
      </c>
      <c r="E378" s="1">
        <v>216.6</v>
      </c>
      <c r="F378" s="2">
        <v>45674</v>
      </c>
      <c r="G378" s="2">
        <v>45677</v>
      </c>
      <c r="H378" s="1" t="s">
        <v>74</v>
      </c>
      <c r="I378" s="1" t="s">
        <v>55</v>
      </c>
      <c r="J378" s="1">
        <v>4</v>
      </c>
      <c r="K378" s="1" t="s">
        <v>4</v>
      </c>
      <c r="L378" s="1" t="s">
        <v>18</v>
      </c>
      <c r="M378" s="1">
        <f>[1]!orders[[#This Row],[Ship Date]]-[1]!orders[[#This Row],[Order Date]]</f>
        <v>3</v>
      </c>
      <c r="N378" s="1">
        <f>WEEKNUM([1]!orders[[#This Row],[Order Date]])</f>
        <v>3</v>
      </c>
      <c r="O378" t="str" cm="1">
        <f t="array" ref="O378">_xlfn.IFS([1]!orders[[#This Row],[Customer Gender]]="M","Male", [1]!orders[[#This Row],[Customer Gender]]="F","Female", [1]!orders[[#This Row],[Customer Gender]]="O","Other", TRUE,"Unknown")</f>
        <v>Other</v>
      </c>
    </row>
    <row r="379" spans="1:15" x14ac:dyDescent="0.25">
      <c r="A379" t="s">
        <v>450</v>
      </c>
      <c r="B379" t="s">
        <v>22</v>
      </c>
      <c r="C379">
        <v>3</v>
      </c>
      <c r="D379">
        <v>59.9</v>
      </c>
      <c r="E379">
        <v>179.7</v>
      </c>
      <c r="F379" s="3">
        <v>45674</v>
      </c>
      <c r="G379" s="3">
        <v>45678</v>
      </c>
      <c r="H379" t="s">
        <v>12</v>
      </c>
      <c r="I379" t="s">
        <v>3</v>
      </c>
      <c r="J379">
        <v>4</v>
      </c>
      <c r="K379" t="s">
        <v>4</v>
      </c>
      <c r="L379" t="s">
        <v>18</v>
      </c>
      <c r="M379">
        <f>[1]!orders[[#This Row],[Ship Date]]-[1]!orders[[#This Row],[Order Date]]</f>
        <v>4</v>
      </c>
      <c r="N379">
        <f>WEEKNUM([1]!orders[[#This Row],[Order Date]])</f>
        <v>3</v>
      </c>
      <c r="O379" t="str" cm="1">
        <f t="array" ref="O379">_xlfn.IFS([1]!orders[[#This Row],[Customer Gender]]="M","Male", [1]!orders[[#This Row],[Customer Gender]]="F","Female", [1]!orders[[#This Row],[Customer Gender]]="O","Other", TRUE,"Unknown")</f>
        <v>Female</v>
      </c>
    </row>
    <row r="380" spans="1:15" x14ac:dyDescent="0.25">
      <c r="A380" s="1" t="s">
        <v>451</v>
      </c>
      <c r="B380" s="1" t="s">
        <v>11</v>
      </c>
      <c r="C380" s="1">
        <v>17</v>
      </c>
      <c r="D380" s="1">
        <v>139</v>
      </c>
      <c r="E380" s="1">
        <v>2363</v>
      </c>
      <c r="F380" s="2">
        <v>45674</v>
      </c>
      <c r="G380" s="2">
        <v>45676</v>
      </c>
      <c r="H380" s="1" t="s">
        <v>12</v>
      </c>
      <c r="I380" s="1" t="s">
        <v>20</v>
      </c>
      <c r="J380" s="1">
        <v>2</v>
      </c>
      <c r="K380" s="1" t="s">
        <v>4</v>
      </c>
      <c r="L380" s="1" t="s">
        <v>18</v>
      </c>
      <c r="M380" s="1">
        <f>[1]!orders[[#This Row],[Ship Date]]-[1]!orders[[#This Row],[Order Date]]</f>
        <v>2</v>
      </c>
      <c r="N380" s="1">
        <f>WEEKNUM([1]!orders[[#This Row],[Order Date]])</f>
        <v>3</v>
      </c>
      <c r="O380" t="str" cm="1">
        <f t="array" ref="O380">_xlfn.IFS([1]!orders[[#This Row],[Customer Gender]]="M","Male", [1]!orders[[#This Row],[Customer Gender]]="F","Female", [1]!orders[[#This Row],[Customer Gender]]="O","Other", TRUE,"Unknown")</f>
        <v>Female</v>
      </c>
    </row>
    <row r="381" spans="1:15" x14ac:dyDescent="0.25">
      <c r="A381" t="s">
        <v>452</v>
      </c>
      <c r="B381" t="s">
        <v>24</v>
      </c>
      <c r="C381">
        <v>3</v>
      </c>
      <c r="D381">
        <v>87.3</v>
      </c>
      <c r="E381">
        <v>261.89999999999998</v>
      </c>
      <c r="F381" s="3">
        <v>45674</v>
      </c>
      <c r="G381" s="3">
        <v>45675</v>
      </c>
      <c r="H381" t="s">
        <v>12</v>
      </c>
      <c r="I381" t="s">
        <v>3</v>
      </c>
      <c r="J381">
        <v>4</v>
      </c>
      <c r="K381" t="s">
        <v>4</v>
      </c>
      <c r="L381" t="s">
        <v>18</v>
      </c>
      <c r="M381">
        <f>[1]!orders[[#This Row],[Ship Date]]-[1]!orders[[#This Row],[Order Date]]</f>
        <v>1</v>
      </c>
      <c r="N381">
        <f>WEEKNUM([1]!orders[[#This Row],[Order Date]])</f>
        <v>3</v>
      </c>
      <c r="O381" t="str" cm="1">
        <f t="array" ref="O381">_xlfn.IFS([1]!orders[[#This Row],[Customer Gender]]="M","Male", [1]!orders[[#This Row],[Customer Gender]]="F","Female", [1]!orders[[#This Row],[Customer Gender]]="O","Other", TRUE,"Unknown")</f>
        <v>Female</v>
      </c>
    </row>
    <row r="382" spans="1:15" x14ac:dyDescent="0.25">
      <c r="A382" s="1" t="s">
        <v>453</v>
      </c>
      <c r="B382" s="1" t="s">
        <v>52</v>
      </c>
      <c r="C382" s="1">
        <v>4</v>
      </c>
      <c r="D382" s="1">
        <v>42.3</v>
      </c>
      <c r="E382" s="1">
        <v>169.2</v>
      </c>
      <c r="F382" s="2">
        <v>45674</v>
      </c>
      <c r="G382" s="2">
        <v>45674</v>
      </c>
      <c r="H382" s="1" t="s">
        <v>8</v>
      </c>
      <c r="I382" s="1" t="s">
        <v>3</v>
      </c>
      <c r="J382" s="1">
        <v>4</v>
      </c>
      <c r="K382" s="1" t="s">
        <v>4</v>
      </c>
      <c r="L382" s="1" t="s">
        <v>18</v>
      </c>
      <c r="M382" s="1">
        <f>[1]!orders[[#This Row],[Ship Date]]-[1]!orders[[#This Row],[Order Date]]</f>
        <v>0</v>
      </c>
      <c r="N382" s="1">
        <f>WEEKNUM([1]!orders[[#This Row],[Order Date]])</f>
        <v>3</v>
      </c>
      <c r="O382" t="str" cm="1">
        <f t="array" ref="O382">_xlfn.IFS([1]!orders[[#This Row],[Customer Gender]]="M","Male", [1]!orders[[#This Row],[Customer Gender]]="F","Female", [1]!orders[[#This Row],[Customer Gender]]="O","Other", TRUE,"Unknown")</f>
        <v>Male</v>
      </c>
    </row>
    <row r="383" spans="1:15" x14ac:dyDescent="0.25">
      <c r="A383" t="s">
        <v>454</v>
      </c>
      <c r="B383" t="s">
        <v>66</v>
      </c>
      <c r="C383">
        <v>8</v>
      </c>
      <c r="D383">
        <v>103.6</v>
      </c>
      <c r="E383">
        <v>828.8</v>
      </c>
      <c r="F383" s="3">
        <v>45674</v>
      </c>
      <c r="G383" s="3">
        <v>45675</v>
      </c>
      <c r="H383" t="s">
        <v>74</v>
      </c>
      <c r="I383" t="s">
        <v>3</v>
      </c>
      <c r="J383">
        <v>3</v>
      </c>
      <c r="K383" t="s">
        <v>4</v>
      </c>
      <c r="L383" t="s">
        <v>18</v>
      </c>
      <c r="M383">
        <f>[1]!orders[[#This Row],[Ship Date]]-[1]!orders[[#This Row],[Order Date]]</f>
        <v>1</v>
      </c>
      <c r="N383">
        <f>WEEKNUM([1]!orders[[#This Row],[Order Date]])</f>
        <v>3</v>
      </c>
      <c r="O383" t="str" cm="1">
        <f t="array" ref="O383">_xlfn.IFS([1]!orders[[#This Row],[Customer Gender]]="M","Male", [1]!orders[[#This Row],[Customer Gender]]="F","Female", [1]!orders[[#This Row],[Customer Gender]]="O","Other", TRUE,"Unknown")</f>
        <v>Other</v>
      </c>
    </row>
    <row r="384" spans="1:15" x14ac:dyDescent="0.25">
      <c r="A384" s="1" t="s">
        <v>455</v>
      </c>
      <c r="B384" s="1" t="s">
        <v>24</v>
      </c>
      <c r="C384" s="1">
        <v>2</v>
      </c>
      <c r="D384" s="1">
        <v>90.9</v>
      </c>
      <c r="E384" s="1">
        <v>181.8</v>
      </c>
      <c r="F384" s="2">
        <v>45674</v>
      </c>
      <c r="G384" s="2">
        <v>45675</v>
      </c>
      <c r="H384" s="1" t="s">
        <v>8</v>
      </c>
      <c r="I384" s="1" t="s">
        <v>20</v>
      </c>
      <c r="J384" s="1">
        <v>4</v>
      </c>
      <c r="K384" s="1" t="s">
        <v>4</v>
      </c>
      <c r="L384" s="1" t="s">
        <v>40</v>
      </c>
      <c r="M384" s="1">
        <f>[1]!orders[[#This Row],[Ship Date]]-[1]!orders[[#This Row],[Order Date]]</f>
        <v>1</v>
      </c>
      <c r="N384" s="1">
        <f>WEEKNUM([1]!orders[[#This Row],[Order Date]])</f>
        <v>3</v>
      </c>
      <c r="O384" t="str" cm="1">
        <f t="array" ref="O384">_xlfn.IFS([1]!orders[[#This Row],[Customer Gender]]="M","Male", [1]!orders[[#This Row],[Customer Gender]]="F","Female", [1]!orders[[#This Row],[Customer Gender]]="O","Other", TRUE,"Unknown")</f>
        <v>Male</v>
      </c>
    </row>
    <row r="385" spans="1:15" x14ac:dyDescent="0.25">
      <c r="A385" t="s">
        <v>456</v>
      </c>
      <c r="B385" t="s">
        <v>31</v>
      </c>
      <c r="C385">
        <v>16</v>
      </c>
      <c r="D385">
        <v>100.9</v>
      </c>
      <c r="E385">
        <v>1614.4</v>
      </c>
      <c r="F385" s="3">
        <v>45674</v>
      </c>
      <c r="G385" s="3">
        <v>45675</v>
      </c>
      <c r="H385" t="s">
        <v>12</v>
      </c>
      <c r="I385" t="s">
        <v>20</v>
      </c>
      <c r="J385">
        <v>4</v>
      </c>
      <c r="K385" t="s">
        <v>4</v>
      </c>
      <c r="L385" t="s">
        <v>40</v>
      </c>
      <c r="M385">
        <f>[1]!orders[[#This Row],[Ship Date]]-[1]!orders[[#This Row],[Order Date]]</f>
        <v>1</v>
      </c>
      <c r="N385">
        <f>WEEKNUM([1]!orders[[#This Row],[Order Date]])</f>
        <v>3</v>
      </c>
      <c r="O385" t="str" cm="1">
        <f t="array" ref="O385">_xlfn.IFS([1]!orders[[#This Row],[Customer Gender]]="M","Male", [1]!orders[[#This Row],[Customer Gender]]="F","Female", [1]!orders[[#This Row],[Customer Gender]]="O","Other", TRUE,"Unknown")</f>
        <v>Female</v>
      </c>
    </row>
    <row r="386" spans="1:15" x14ac:dyDescent="0.25">
      <c r="A386" s="1" t="s">
        <v>457</v>
      </c>
      <c r="B386" s="1" t="s">
        <v>17</v>
      </c>
      <c r="C386" s="1">
        <v>5</v>
      </c>
      <c r="D386" s="1">
        <v>36</v>
      </c>
      <c r="E386" s="1">
        <v>180</v>
      </c>
      <c r="F386" s="2">
        <v>45674</v>
      </c>
      <c r="G386" s="2">
        <v>45676</v>
      </c>
      <c r="H386" s="1" t="s">
        <v>12</v>
      </c>
      <c r="I386" s="1" t="s">
        <v>20</v>
      </c>
      <c r="J386" s="1">
        <v>4</v>
      </c>
      <c r="K386" s="1" t="s">
        <v>4</v>
      </c>
      <c r="L386" s="1" t="s">
        <v>44</v>
      </c>
      <c r="M386" s="1">
        <f>[1]!orders[[#This Row],[Ship Date]]-[1]!orders[[#This Row],[Order Date]]</f>
        <v>2</v>
      </c>
      <c r="N386" s="1">
        <f>WEEKNUM([1]!orders[[#This Row],[Order Date]])</f>
        <v>3</v>
      </c>
      <c r="O386" t="str" cm="1">
        <f t="array" ref="O386">_xlfn.IFS([1]!orders[[#This Row],[Customer Gender]]="M","Male", [1]!orders[[#This Row],[Customer Gender]]="F","Female", [1]!orders[[#This Row],[Customer Gender]]="O","Other", TRUE,"Unknown")</f>
        <v>Female</v>
      </c>
    </row>
    <row r="387" spans="1:15" x14ac:dyDescent="0.25">
      <c r="A387" t="s">
        <v>458</v>
      </c>
      <c r="B387" t="s">
        <v>24</v>
      </c>
      <c r="C387">
        <v>6</v>
      </c>
      <c r="D387">
        <v>83.3</v>
      </c>
      <c r="E387">
        <v>499.79999999999995</v>
      </c>
      <c r="F387" s="3">
        <v>45674</v>
      </c>
      <c r="G387" s="3">
        <v>45677</v>
      </c>
      <c r="H387" t="s">
        <v>2</v>
      </c>
      <c r="I387" t="s">
        <v>25</v>
      </c>
      <c r="J387">
        <v>4</v>
      </c>
      <c r="K387" t="s">
        <v>4</v>
      </c>
      <c r="L387" t="s">
        <v>44</v>
      </c>
      <c r="M387">
        <f>[1]!orders[[#This Row],[Ship Date]]-[1]!orders[[#This Row],[Order Date]]</f>
        <v>3</v>
      </c>
      <c r="N387">
        <f>WEEKNUM([1]!orders[[#This Row],[Order Date]])</f>
        <v>3</v>
      </c>
      <c r="O387" t="str" cm="1">
        <f t="array" ref="O387">_xlfn.IFS([1]!orders[[#This Row],[Customer Gender]]="M","Male", [1]!orders[[#This Row],[Customer Gender]]="F","Female", [1]!orders[[#This Row],[Customer Gender]]="O","Other", TRUE,"Unknown")</f>
        <v>Unknown</v>
      </c>
    </row>
    <row r="388" spans="1:15" x14ac:dyDescent="0.25">
      <c r="A388" s="1" t="s">
        <v>459</v>
      </c>
      <c r="B388" s="1" t="s">
        <v>11</v>
      </c>
      <c r="C388" s="1">
        <v>17</v>
      </c>
      <c r="D388" s="1">
        <v>60.3</v>
      </c>
      <c r="E388" s="1">
        <v>1025.0999999999999</v>
      </c>
      <c r="F388" s="2">
        <v>45674</v>
      </c>
      <c r="G388" s="2">
        <v>45675</v>
      </c>
      <c r="H388" s="1" t="s">
        <v>8</v>
      </c>
      <c r="I388" s="1" t="s">
        <v>25</v>
      </c>
      <c r="J388" s="1">
        <v>3</v>
      </c>
      <c r="K388" s="1" t="s">
        <v>4</v>
      </c>
      <c r="L388" s="1" t="s">
        <v>44</v>
      </c>
      <c r="M388" s="1">
        <f>[1]!orders[[#This Row],[Ship Date]]-[1]!orders[[#This Row],[Order Date]]</f>
        <v>1</v>
      </c>
      <c r="N388" s="1">
        <f>WEEKNUM([1]!orders[[#This Row],[Order Date]])</f>
        <v>3</v>
      </c>
      <c r="O388" t="str" cm="1">
        <f t="array" ref="O388">_xlfn.IFS([1]!orders[[#This Row],[Customer Gender]]="M","Male", [1]!orders[[#This Row],[Customer Gender]]="F","Female", [1]!orders[[#This Row],[Customer Gender]]="O","Other", TRUE,"Unknown")</f>
        <v>Male</v>
      </c>
    </row>
    <row r="389" spans="1:15" x14ac:dyDescent="0.25">
      <c r="A389" t="s">
        <v>460</v>
      </c>
      <c r="B389" t="s">
        <v>11</v>
      </c>
      <c r="C389">
        <v>6</v>
      </c>
      <c r="D389">
        <v>120.3</v>
      </c>
      <c r="E389">
        <v>721.8</v>
      </c>
      <c r="F389" s="3">
        <v>45674</v>
      </c>
      <c r="G389" s="3">
        <v>45675</v>
      </c>
      <c r="H389" t="s">
        <v>8</v>
      </c>
      <c r="I389" t="s">
        <v>25</v>
      </c>
      <c r="J389">
        <v>4</v>
      </c>
      <c r="K389" t="s">
        <v>4</v>
      </c>
      <c r="L389" t="s">
        <v>47</v>
      </c>
      <c r="M389">
        <f>[1]!orders[[#This Row],[Ship Date]]-[1]!orders[[#This Row],[Order Date]]</f>
        <v>1</v>
      </c>
      <c r="N389">
        <f>WEEKNUM([1]!orders[[#This Row],[Order Date]])</f>
        <v>3</v>
      </c>
      <c r="O389" t="str" cm="1">
        <f t="array" ref="O389">_xlfn.IFS([1]!orders[[#This Row],[Customer Gender]]="M","Male", [1]!orders[[#This Row],[Customer Gender]]="F","Female", [1]!orders[[#This Row],[Customer Gender]]="O","Other", TRUE,"Unknown")</f>
        <v>Male</v>
      </c>
    </row>
    <row r="390" spans="1:15" x14ac:dyDescent="0.25">
      <c r="A390" s="1" t="s">
        <v>461</v>
      </c>
      <c r="B390" s="1" t="s">
        <v>17</v>
      </c>
      <c r="C390" s="1">
        <v>10</v>
      </c>
      <c r="D390" s="1">
        <v>34</v>
      </c>
      <c r="E390" s="1">
        <v>340</v>
      </c>
      <c r="F390" s="2">
        <v>45674</v>
      </c>
      <c r="G390" s="2">
        <v>45678</v>
      </c>
      <c r="H390" s="1" t="s">
        <v>12</v>
      </c>
      <c r="I390" s="1" t="s">
        <v>25</v>
      </c>
      <c r="J390" s="1">
        <v>4</v>
      </c>
      <c r="K390" s="1" t="s">
        <v>4</v>
      </c>
      <c r="L390" s="1" t="s">
        <v>47</v>
      </c>
      <c r="M390" s="1">
        <f>[1]!orders[[#This Row],[Ship Date]]-[1]!orders[[#This Row],[Order Date]]</f>
        <v>4</v>
      </c>
      <c r="N390" s="1">
        <f>WEEKNUM([1]!orders[[#This Row],[Order Date]])</f>
        <v>3</v>
      </c>
      <c r="O390" t="str" cm="1">
        <f t="array" ref="O390">_xlfn.IFS([1]!orders[[#This Row],[Customer Gender]]="M","Male", [1]!orders[[#This Row],[Customer Gender]]="F","Female", [1]!orders[[#This Row],[Customer Gender]]="O","Other", TRUE,"Unknown")</f>
        <v>Female</v>
      </c>
    </row>
    <row r="391" spans="1:15" x14ac:dyDescent="0.25">
      <c r="A391" t="s">
        <v>462</v>
      </c>
      <c r="B391" t="s">
        <v>39</v>
      </c>
      <c r="C391">
        <v>5</v>
      </c>
      <c r="D391">
        <v>42.6</v>
      </c>
      <c r="E391">
        <v>213</v>
      </c>
      <c r="F391" s="3">
        <v>45674</v>
      </c>
      <c r="G391" s="3">
        <v>45677</v>
      </c>
      <c r="H391" t="s">
        <v>8</v>
      </c>
      <c r="I391" t="s">
        <v>20</v>
      </c>
      <c r="J391">
        <v>4</v>
      </c>
      <c r="K391" t="s">
        <v>4</v>
      </c>
      <c r="L391" t="s">
        <v>47</v>
      </c>
      <c r="M391">
        <f>[1]!orders[[#This Row],[Ship Date]]-[1]!orders[[#This Row],[Order Date]]</f>
        <v>3</v>
      </c>
      <c r="N391">
        <f>WEEKNUM([1]!orders[[#This Row],[Order Date]])</f>
        <v>3</v>
      </c>
      <c r="O391" t="str" cm="1">
        <f t="array" ref="O391">_xlfn.IFS([1]!orders[[#This Row],[Customer Gender]]="M","Male", [1]!orders[[#This Row],[Customer Gender]]="F","Female", [1]!orders[[#This Row],[Customer Gender]]="O","Other", TRUE,"Unknown")</f>
        <v>Male</v>
      </c>
    </row>
    <row r="392" spans="1:15" x14ac:dyDescent="0.25">
      <c r="A392" s="1" t="s">
        <v>463</v>
      </c>
      <c r="B392" s="1" t="s">
        <v>22</v>
      </c>
      <c r="C392" s="1">
        <v>20</v>
      </c>
      <c r="D392" s="1">
        <v>47.4</v>
      </c>
      <c r="E392" s="1">
        <v>948</v>
      </c>
      <c r="F392" s="2">
        <v>45674</v>
      </c>
      <c r="G392" s="2">
        <v>45674</v>
      </c>
      <c r="H392" s="1" t="s">
        <v>12</v>
      </c>
      <c r="I392" s="1" t="s">
        <v>25</v>
      </c>
      <c r="J392" s="1">
        <v>3</v>
      </c>
      <c r="K392" s="1" t="s">
        <v>4</v>
      </c>
      <c r="L392" s="1" t="s">
        <v>88</v>
      </c>
      <c r="M392" s="1">
        <f>[1]!orders[[#This Row],[Ship Date]]-[1]!orders[[#This Row],[Order Date]]</f>
        <v>0</v>
      </c>
      <c r="N392" s="1">
        <f>WEEKNUM([1]!orders[[#This Row],[Order Date]])</f>
        <v>3</v>
      </c>
      <c r="O392" t="str" cm="1">
        <f t="array" ref="O392">_xlfn.IFS([1]!orders[[#This Row],[Customer Gender]]="M","Male", [1]!orders[[#This Row],[Customer Gender]]="F","Female", [1]!orders[[#This Row],[Customer Gender]]="O","Other", TRUE,"Unknown")</f>
        <v>Female</v>
      </c>
    </row>
    <row r="393" spans="1:15" x14ac:dyDescent="0.25">
      <c r="A393" t="s">
        <v>464</v>
      </c>
      <c r="B393" t="s">
        <v>11</v>
      </c>
      <c r="C393">
        <v>1</v>
      </c>
      <c r="D393">
        <v>74</v>
      </c>
      <c r="E393">
        <v>74</v>
      </c>
      <c r="F393" s="3">
        <v>45675</v>
      </c>
      <c r="G393" s="3">
        <v>45676</v>
      </c>
      <c r="H393" t="s">
        <v>8</v>
      </c>
      <c r="I393" t="s">
        <v>20</v>
      </c>
      <c r="J393">
        <v>4</v>
      </c>
      <c r="K393" t="s">
        <v>4</v>
      </c>
      <c r="L393" t="s">
        <v>62</v>
      </c>
      <c r="M393">
        <f>[1]!orders[[#This Row],[Ship Date]]-[1]!orders[[#This Row],[Order Date]]</f>
        <v>1</v>
      </c>
      <c r="N393">
        <f>WEEKNUM([1]!orders[[#This Row],[Order Date]])</f>
        <v>3</v>
      </c>
      <c r="O393" t="str" cm="1">
        <f t="array" ref="O393">_xlfn.IFS([1]!orders[[#This Row],[Customer Gender]]="M","Male", [1]!orders[[#This Row],[Customer Gender]]="F","Female", [1]!orders[[#This Row],[Customer Gender]]="O","Other", TRUE,"Unknown")</f>
        <v>Male</v>
      </c>
    </row>
    <row r="394" spans="1:15" x14ac:dyDescent="0.25">
      <c r="A394" s="1" t="s">
        <v>465</v>
      </c>
      <c r="B394" s="1" t="s">
        <v>11</v>
      </c>
      <c r="C394" s="1">
        <v>5</v>
      </c>
      <c r="D394" s="1">
        <v>60.4</v>
      </c>
      <c r="E394" s="1">
        <v>302</v>
      </c>
      <c r="F394" s="2">
        <v>45675</v>
      </c>
      <c r="G394" s="2">
        <v>45678</v>
      </c>
      <c r="H394" s="1" t="s">
        <v>12</v>
      </c>
      <c r="I394" s="1" t="s">
        <v>20</v>
      </c>
      <c r="J394" s="1">
        <v>2</v>
      </c>
      <c r="K394" s="1" t="s">
        <v>4</v>
      </c>
      <c r="L394" s="1" t="s">
        <v>93</v>
      </c>
      <c r="M394" s="1">
        <f>[1]!orders[[#This Row],[Ship Date]]-[1]!orders[[#This Row],[Order Date]]</f>
        <v>3</v>
      </c>
      <c r="N394" s="1">
        <f>WEEKNUM([1]!orders[[#This Row],[Order Date]])</f>
        <v>3</v>
      </c>
      <c r="O394" t="str" cm="1">
        <f t="array" ref="O394">_xlfn.IFS([1]!orders[[#This Row],[Customer Gender]]="M","Male", [1]!orders[[#This Row],[Customer Gender]]="F","Female", [1]!orders[[#This Row],[Customer Gender]]="O","Other", TRUE,"Unknown")</f>
        <v>Female</v>
      </c>
    </row>
    <row r="395" spans="1:15" x14ac:dyDescent="0.25">
      <c r="A395" t="s">
        <v>466</v>
      </c>
      <c r="B395" t="s">
        <v>54</v>
      </c>
      <c r="C395">
        <v>2</v>
      </c>
      <c r="D395">
        <v>69.3</v>
      </c>
      <c r="E395">
        <v>138.6</v>
      </c>
      <c r="F395" s="3">
        <v>45675</v>
      </c>
      <c r="G395" s="3">
        <v>45678</v>
      </c>
      <c r="H395" t="s">
        <v>8</v>
      </c>
      <c r="I395" t="s">
        <v>20</v>
      </c>
      <c r="J395">
        <v>3</v>
      </c>
      <c r="K395" t="s">
        <v>4</v>
      </c>
      <c r="L395" t="s">
        <v>67</v>
      </c>
      <c r="M395">
        <f>[1]!orders[[#This Row],[Ship Date]]-[1]!orders[[#This Row],[Order Date]]</f>
        <v>3</v>
      </c>
      <c r="N395">
        <f>WEEKNUM([1]!orders[[#This Row],[Order Date]])</f>
        <v>3</v>
      </c>
      <c r="O395" t="str" cm="1">
        <f t="array" ref="O395">_xlfn.IFS([1]!orders[[#This Row],[Customer Gender]]="M","Male", [1]!orders[[#This Row],[Customer Gender]]="F","Female", [1]!orders[[#This Row],[Customer Gender]]="O","Other", TRUE,"Unknown")</f>
        <v>Male</v>
      </c>
    </row>
    <row r="396" spans="1:15" x14ac:dyDescent="0.25">
      <c r="A396" s="1" t="s">
        <v>467</v>
      </c>
      <c r="B396" s="1" t="s">
        <v>22</v>
      </c>
      <c r="C396" s="1">
        <v>5</v>
      </c>
      <c r="D396" s="1">
        <v>81</v>
      </c>
      <c r="E396" s="1">
        <v>405</v>
      </c>
      <c r="F396" s="2">
        <v>45675</v>
      </c>
      <c r="G396" s="2">
        <v>45681</v>
      </c>
      <c r="H396" s="1" t="s">
        <v>8</v>
      </c>
      <c r="I396" s="1" t="s">
        <v>36</v>
      </c>
      <c r="J396" s="1">
        <v>4</v>
      </c>
      <c r="K396" s="1" t="s">
        <v>4</v>
      </c>
      <c r="L396" s="1" t="s">
        <v>100</v>
      </c>
      <c r="M396" s="1">
        <f>[1]!orders[[#This Row],[Ship Date]]-[1]!orders[[#This Row],[Order Date]]</f>
        <v>6</v>
      </c>
      <c r="N396" s="1">
        <f>WEEKNUM([1]!orders[[#This Row],[Order Date]])</f>
        <v>3</v>
      </c>
      <c r="O396" t="str" cm="1">
        <f t="array" ref="O396">_xlfn.IFS([1]!orders[[#This Row],[Customer Gender]]="M","Male", [1]!orders[[#This Row],[Customer Gender]]="F","Female", [1]!orders[[#This Row],[Customer Gender]]="O","Other", TRUE,"Unknown")</f>
        <v>Male</v>
      </c>
    </row>
    <row r="397" spans="1:15" x14ac:dyDescent="0.25">
      <c r="A397" t="s">
        <v>468</v>
      </c>
      <c r="B397" t="s">
        <v>108</v>
      </c>
      <c r="C397">
        <v>3</v>
      </c>
      <c r="D397">
        <v>41.5</v>
      </c>
      <c r="E397">
        <v>124.5</v>
      </c>
      <c r="F397" s="3">
        <v>45675</v>
      </c>
      <c r="G397" s="3">
        <v>45677</v>
      </c>
      <c r="H397" t="s">
        <v>74</v>
      </c>
      <c r="I397" t="s">
        <v>20</v>
      </c>
      <c r="J397">
        <v>4</v>
      </c>
      <c r="K397" t="s">
        <v>4</v>
      </c>
      <c r="L397" t="s">
        <v>100</v>
      </c>
      <c r="M397">
        <f>[1]!orders[[#This Row],[Ship Date]]-[1]!orders[[#This Row],[Order Date]]</f>
        <v>2</v>
      </c>
      <c r="N397">
        <f>WEEKNUM([1]!orders[[#This Row],[Order Date]])</f>
        <v>3</v>
      </c>
      <c r="O397" t="str" cm="1">
        <f t="array" ref="O397">_xlfn.IFS([1]!orders[[#This Row],[Customer Gender]]="M","Male", [1]!orders[[#This Row],[Customer Gender]]="F","Female", [1]!orders[[#This Row],[Customer Gender]]="O","Other", TRUE,"Unknown")</f>
        <v>Other</v>
      </c>
    </row>
    <row r="398" spans="1:15" x14ac:dyDescent="0.25">
      <c r="A398" s="1" t="s">
        <v>469</v>
      </c>
      <c r="B398" s="1" t="s">
        <v>131</v>
      </c>
      <c r="C398" s="1">
        <v>2</v>
      </c>
      <c r="D398" s="1">
        <v>69.7</v>
      </c>
      <c r="E398" s="1">
        <v>139.4</v>
      </c>
      <c r="F398" s="2">
        <v>45675</v>
      </c>
      <c r="G398" s="2">
        <v>45680</v>
      </c>
      <c r="H398" s="1" t="s">
        <v>8</v>
      </c>
      <c r="I398" s="1" t="s">
        <v>20</v>
      </c>
      <c r="J398" s="1">
        <v>4</v>
      </c>
      <c r="K398" s="1" t="s">
        <v>4</v>
      </c>
      <c r="L398" s="1" t="s">
        <v>100</v>
      </c>
      <c r="M398" s="1">
        <f>[1]!orders[[#This Row],[Ship Date]]-[1]!orders[[#This Row],[Order Date]]</f>
        <v>5</v>
      </c>
      <c r="N398" s="1">
        <f>WEEKNUM([1]!orders[[#This Row],[Order Date]])</f>
        <v>3</v>
      </c>
      <c r="O398" t="str" cm="1">
        <f t="array" ref="O398">_xlfn.IFS([1]!orders[[#This Row],[Customer Gender]]="M","Male", [1]!orders[[#This Row],[Customer Gender]]="F","Female", [1]!orders[[#This Row],[Customer Gender]]="O","Other", TRUE,"Unknown")</f>
        <v>Male</v>
      </c>
    </row>
    <row r="399" spans="1:15" x14ac:dyDescent="0.25">
      <c r="A399" t="s">
        <v>470</v>
      </c>
      <c r="B399" t="s">
        <v>11</v>
      </c>
      <c r="C399">
        <v>5</v>
      </c>
      <c r="D399">
        <v>83.6</v>
      </c>
      <c r="E399">
        <v>418</v>
      </c>
      <c r="F399" s="3">
        <v>45675</v>
      </c>
      <c r="G399" s="3">
        <v>45675</v>
      </c>
      <c r="H399" t="s">
        <v>12</v>
      </c>
      <c r="I399" t="s">
        <v>55</v>
      </c>
      <c r="J399">
        <v>4</v>
      </c>
      <c r="K399" t="s">
        <v>4</v>
      </c>
      <c r="L399" t="s">
        <v>9</v>
      </c>
      <c r="M399">
        <f>[1]!orders[[#This Row],[Ship Date]]-[1]!orders[[#This Row],[Order Date]]</f>
        <v>0</v>
      </c>
      <c r="N399">
        <f>WEEKNUM([1]!orders[[#This Row],[Order Date]])</f>
        <v>3</v>
      </c>
      <c r="O399" t="str" cm="1">
        <f t="array" ref="O399">_xlfn.IFS([1]!orders[[#This Row],[Customer Gender]]="M","Male", [1]!orders[[#This Row],[Customer Gender]]="F","Female", [1]!orders[[#This Row],[Customer Gender]]="O","Other", TRUE,"Unknown")</f>
        <v>Female</v>
      </c>
    </row>
    <row r="400" spans="1:15" x14ac:dyDescent="0.25">
      <c r="A400" s="1" t="s">
        <v>471</v>
      </c>
      <c r="B400" s="1" t="s">
        <v>29</v>
      </c>
      <c r="C400" s="1">
        <v>7</v>
      </c>
      <c r="D400" s="1">
        <v>21.5</v>
      </c>
      <c r="E400" s="1">
        <v>150.5</v>
      </c>
      <c r="F400" s="2">
        <v>45675</v>
      </c>
      <c r="G400" s="2">
        <v>45677</v>
      </c>
      <c r="H400" s="1" t="s">
        <v>8</v>
      </c>
      <c r="I400" s="1" t="s">
        <v>20</v>
      </c>
      <c r="J400" s="1">
        <v>2</v>
      </c>
      <c r="K400" s="1" t="s">
        <v>4</v>
      </c>
      <c r="L400" s="1" t="s">
        <v>319</v>
      </c>
      <c r="M400" s="1">
        <f>[1]!orders[[#This Row],[Ship Date]]-[1]!orders[[#This Row],[Order Date]]</f>
        <v>2</v>
      </c>
      <c r="N400" s="1">
        <f>WEEKNUM([1]!orders[[#This Row],[Order Date]])</f>
        <v>3</v>
      </c>
      <c r="O400" t="str" cm="1">
        <f t="array" ref="O400">_xlfn.IFS([1]!orders[[#This Row],[Customer Gender]]="M","Male", [1]!orders[[#This Row],[Customer Gender]]="F","Female", [1]!orders[[#This Row],[Customer Gender]]="O","Other", TRUE,"Unknown")</f>
        <v>Male</v>
      </c>
    </row>
    <row r="401" spans="1:15" x14ac:dyDescent="0.25">
      <c r="A401" t="s">
        <v>472</v>
      </c>
      <c r="B401" t="s">
        <v>29</v>
      </c>
      <c r="C401">
        <v>8</v>
      </c>
      <c r="D401">
        <v>28.6</v>
      </c>
      <c r="E401">
        <v>228.8</v>
      </c>
      <c r="F401" s="3">
        <v>45675</v>
      </c>
      <c r="G401" s="3">
        <v>45676</v>
      </c>
      <c r="H401" t="s">
        <v>8</v>
      </c>
      <c r="I401" t="s">
        <v>3</v>
      </c>
      <c r="J401">
        <v>4</v>
      </c>
      <c r="K401" t="s">
        <v>4</v>
      </c>
      <c r="L401" t="s">
        <v>18</v>
      </c>
      <c r="M401">
        <f>[1]!orders[[#This Row],[Ship Date]]-[1]!orders[[#This Row],[Order Date]]</f>
        <v>1</v>
      </c>
      <c r="N401">
        <f>WEEKNUM([1]!orders[[#This Row],[Order Date]])</f>
        <v>3</v>
      </c>
      <c r="O401" t="str" cm="1">
        <f t="array" ref="O401">_xlfn.IFS([1]!orders[[#This Row],[Customer Gender]]="M","Male", [1]!orders[[#This Row],[Customer Gender]]="F","Female", [1]!orders[[#This Row],[Customer Gender]]="O","Other", TRUE,"Unknown")</f>
        <v>Male</v>
      </c>
    </row>
    <row r="402" spans="1:15" x14ac:dyDescent="0.25">
      <c r="A402" s="1" t="s">
        <v>473</v>
      </c>
      <c r="B402" s="1" t="s">
        <v>29</v>
      </c>
      <c r="C402" s="1">
        <v>6</v>
      </c>
      <c r="D402" s="1">
        <v>18.8</v>
      </c>
      <c r="E402" s="1">
        <v>112.80000000000001</v>
      </c>
      <c r="F402" s="2">
        <v>45675</v>
      </c>
      <c r="G402" s="2">
        <v>45678</v>
      </c>
      <c r="H402" s="1" t="s">
        <v>8</v>
      </c>
      <c r="I402" s="1" t="s">
        <v>36</v>
      </c>
      <c r="J402" s="1">
        <v>5</v>
      </c>
      <c r="K402" s="1" t="s">
        <v>4</v>
      </c>
      <c r="L402" s="1" t="s">
        <v>18</v>
      </c>
      <c r="M402" s="1">
        <f>[1]!orders[[#This Row],[Ship Date]]-[1]!orders[[#This Row],[Order Date]]</f>
        <v>3</v>
      </c>
      <c r="N402" s="1">
        <f>WEEKNUM([1]!orders[[#This Row],[Order Date]])</f>
        <v>3</v>
      </c>
      <c r="O402" t="str" cm="1">
        <f t="array" ref="O402">_xlfn.IFS([1]!orders[[#This Row],[Customer Gender]]="M","Male", [1]!orders[[#This Row],[Customer Gender]]="F","Female", [1]!orders[[#This Row],[Customer Gender]]="O","Other", TRUE,"Unknown")</f>
        <v>Male</v>
      </c>
    </row>
    <row r="403" spans="1:15" x14ac:dyDescent="0.25">
      <c r="A403" t="s">
        <v>474</v>
      </c>
      <c r="B403" t="s">
        <v>39</v>
      </c>
      <c r="C403">
        <v>4</v>
      </c>
      <c r="D403">
        <v>35.1</v>
      </c>
      <c r="E403">
        <v>140.4</v>
      </c>
      <c r="F403" s="3">
        <v>45675</v>
      </c>
      <c r="G403" s="3">
        <v>45675</v>
      </c>
      <c r="H403" t="s">
        <v>12</v>
      </c>
      <c r="I403" t="s">
        <v>20</v>
      </c>
      <c r="J403">
        <v>3</v>
      </c>
      <c r="K403" t="s">
        <v>4</v>
      </c>
      <c r="L403" t="s">
        <v>18</v>
      </c>
      <c r="M403">
        <f>[1]!orders[[#This Row],[Ship Date]]-[1]!orders[[#This Row],[Order Date]]</f>
        <v>0</v>
      </c>
      <c r="N403">
        <f>WEEKNUM([1]!orders[[#This Row],[Order Date]])</f>
        <v>3</v>
      </c>
      <c r="O403" t="str" cm="1">
        <f t="array" ref="O403">_xlfn.IFS([1]!orders[[#This Row],[Customer Gender]]="M","Male", [1]!orders[[#This Row],[Customer Gender]]="F","Female", [1]!orders[[#This Row],[Customer Gender]]="O","Other", TRUE,"Unknown")</f>
        <v>Female</v>
      </c>
    </row>
    <row r="404" spans="1:15" x14ac:dyDescent="0.25">
      <c r="A404" s="1" t="s">
        <v>475</v>
      </c>
      <c r="B404" s="1" t="s">
        <v>1</v>
      </c>
      <c r="C404" s="1">
        <v>2</v>
      </c>
      <c r="D404" s="1">
        <v>12.7</v>
      </c>
      <c r="E404" s="1">
        <v>25.4</v>
      </c>
      <c r="F404" s="2">
        <v>45675</v>
      </c>
      <c r="G404" s="2">
        <v>45677</v>
      </c>
      <c r="H404" s="1" t="s">
        <v>12</v>
      </c>
      <c r="I404" s="1" t="s">
        <v>20</v>
      </c>
      <c r="J404" s="1">
        <v>5</v>
      </c>
      <c r="K404" s="1" t="s">
        <v>4</v>
      </c>
      <c r="L404" s="1" t="s">
        <v>18</v>
      </c>
      <c r="M404" s="1">
        <f>[1]!orders[[#This Row],[Ship Date]]-[1]!orders[[#This Row],[Order Date]]</f>
        <v>2</v>
      </c>
      <c r="N404" s="1">
        <f>WEEKNUM([1]!orders[[#This Row],[Order Date]])</f>
        <v>3</v>
      </c>
      <c r="O404" t="str" cm="1">
        <f t="array" ref="O404">_xlfn.IFS([1]!orders[[#This Row],[Customer Gender]]="M","Male", [1]!orders[[#This Row],[Customer Gender]]="F","Female", [1]!orders[[#This Row],[Customer Gender]]="O","Other", TRUE,"Unknown")</f>
        <v>Female</v>
      </c>
    </row>
    <row r="405" spans="1:15" x14ac:dyDescent="0.25">
      <c r="A405" t="s">
        <v>476</v>
      </c>
      <c r="B405" t="s">
        <v>29</v>
      </c>
      <c r="C405">
        <v>5</v>
      </c>
      <c r="D405">
        <v>27.4</v>
      </c>
      <c r="E405">
        <v>137</v>
      </c>
      <c r="F405" s="3">
        <v>45675</v>
      </c>
      <c r="G405" s="3">
        <v>45677</v>
      </c>
      <c r="H405" t="s">
        <v>74</v>
      </c>
      <c r="I405" t="s">
        <v>3</v>
      </c>
      <c r="J405">
        <v>4</v>
      </c>
      <c r="K405" t="s">
        <v>4</v>
      </c>
      <c r="L405" t="s">
        <v>18</v>
      </c>
      <c r="M405">
        <f>[1]!orders[[#This Row],[Ship Date]]-[1]!orders[[#This Row],[Order Date]]</f>
        <v>2</v>
      </c>
      <c r="N405">
        <f>WEEKNUM([1]!orders[[#This Row],[Order Date]])</f>
        <v>3</v>
      </c>
      <c r="O405" t="str" cm="1">
        <f t="array" ref="O405">_xlfn.IFS([1]!orders[[#This Row],[Customer Gender]]="M","Male", [1]!orders[[#This Row],[Customer Gender]]="F","Female", [1]!orders[[#This Row],[Customer Gender]]="O","Other", TRUE,"Unknown")</f>
        <v>Other</v>
      </c>
    </row>
    <row r="406" spans="1:15" x14ac:dyDescent="0.25">
      <c r="A406" s="1" t="s">
        <v>477</v>
      </c>
      <c r="B406" s="1" t="s">
        <v>39</v>
      </c>
      <c r="C406" s="1">
        <v>2</v>
      </c>
      <c r="D406" s="1">
        <v>61.3</v>
      </c>
      <c r="E406" s="1">
        <v>122.6</v>
      </c>
      <c r="F406" s="2">
        <v>45675</v>
      </c>
      <c r="G406" s="2">
        <v>45676</v>
      </c>
      <c r="H406" s="1" t="s">
        <v>12</v>
      </c>
      <c r="I406" s="1" t="s">
        <v>20</v>
      </c>
      <c r="J406" s="1">
        <v>4</v>
      </c>
      <c r="K406" s="1" t="s">
        <v>4</v>
      </c>
      <c r="L406" s="1" t="s">
        <v>40</v>
      </c>
      <c r="M406" s="1">
        <f>[1]!orders[[#This Row],[Ship Date]]-[1]!orders[[#This Row],[Order Date]]</f>
        <v>1</v>
      </c>
      <c r="N406" s="1">
        <f>WEEKNUM([1]!orders[[#This Row],[Order Date]])</f>
        <v>3</v>
      </c>
      <c r="O406" t="str" cm="1">
        <f t="array" ref="O406">_xlfn.IFS([1]!orders[[#This Row],[Customer Gender]]="M","Male", [1]!orders[[#This Row],[Customer Gender]]="F","Female", [1]!orders[[#This Row],[Customer Gender]]="O","Other", TRUE,"Unknown")</f>
        <v>Female</v>
      </c>
    </row>
    <row r="407" spans="1:15" x14ac:dyDescent="0.25">
      <c r="A407" t="s">
        <v>478</v>
      </c>
      <c r="B407" t="s">
        <v>29</v>
      </c>
      <c r="C407">
        <v>2</v>
      </c>
      <c r="D407">
        <v>64.7</v>
      </c>
      <c r="E407">
        <v>129.4</v>
      </c>
      <c r="F407" s="3">
        <v>45675</v>
      </c>
      <c r="G407" s="3">
        <v>45677</v>
      </c>
      <c r="H407" t="s">
        <v>12</v>
      </c>
      <c r="I407" t="s">
        <v>36</v>
      </c>
      <c r="J407">
        <v>5</v>
      </c>
      <c r="K407" t="s">
        <v>4</v>
      </c>
      <c r="L407" t="s">
        <v>40</v>
      </c>
      <c r="M407">
        <f>[1]!orders[[#This Row],[Ship Date]]-[1]!orders[[#This Row],[Order Date]]</f>
        <v>2</v>
      </c>
      <c r="N407">
        <f>WEEKNUM([1]!orders[[#This Row],[Order Date]])</f>
        <v>3</v>
      </c>
      <c r="O407" t="str" cm="1">
        <f t="array" ref="O407">_xlfn.IFS([1]!orders[[#This Row],[Customer Gender]]="M","Male", [1]!orders[[#This Row],[Customer Gender]]="F","Female", [1]!orders[[#This Row],[Customer Gender]]="O","Other", TRUE,"Unknown")</f>
        <v>Female</v>
      </c>
    </row>
    <row r="408" spans="1:15" x14ac:dyDescent="0.25">
      <c r="A408" s="1" t="s">
        <v>479</v>
      </c>
      <c r="B408" s="1" t="s">
        <v>27</v>
      </c>
      <c r="C408" s="1">
        <v>4</v>
      </c>
      <c r="D408" s="1">
        <v>91.4</v>
      </c>
      <c r="E408" s="1">
        <v>365.6</v>
      </c>
      <c r="F408" s="2">
        <v>45675</v>
      </c>
      <c r="G408" s="2">
        <v>45677</v>
      </c>
      <c r="H408" s="1" t="s">
        <v>12</v>
      </c>
      <c r="I408" s="1" t="s">
        <v>3</v>
      </c>
      <c r="J408" s="1">
        <v>4</v>
      </c>
      <c r="K408" s="1" t="s">
        <v>4</v>
      </c>
      <c r="L408" s="1" t="s">
        <v>47</v>
      </c>
      <c r="M408" s="1">
        <f>[1]!orders[[#This Row],[Ship Date]]-[1]!orders[[#This Row],[Order Date]]</f>
        <v>2</v>
      </c>
      <c r="N408" s="1">
        <f>WEEKNUM([1]!orders[[#This Row],[Order Date]])</f>
        <v>3</v>
      </c>
      <c r="O408" t="str" cm="1">
        <f t="array" ref="O408">_xlfn.IFS([1]!orders[[#This Row],[Customer Gender]]="M","Male", [1]!orders[[#This Row],[Customer Gender]]="F","Female", [1]!orders[[#This Row],[Customer Gender]]="O","Other", TRUE,"Unknown")</f>
        <v>Female</v>
      </c>
    </row>
    <row r="409" spans="1:15" x14ac:dyDescent="0.25">
      <c r="A409" t="s">
        <v>480</v>
      </c>
      <c r="B409" t="s">
        <v>1</v>
      </c>
      <c r="C409">
        <v>2</v>
      </c>
      <c r="D409">
        <v>33.1</v>
      </c>
      <c r="E409">
        <v>66.2</v>
      </c>
      <c r="F409" s="3">
        <v>45676</v>
      </c>
      <c r="G409" s="3">
        <v>45677</v>
      </c>
      <c r="H409" t="s">
        <v>8</v>
      </c>
      <c r="I409" t="s">
        <v>3</v>
      </c>
      <c r="J409">
        <v>5</v>
      </c>
      <c r="K409" t="s">
        <v>4</v>
      </c>
      <c r="L409" t="s">
        <v>47</v>
      </c>
      <c r="M409">
        <f>[1]!orders[[#This Row],[Ship Date]]-[1]!orders[[#This Row],[Order Date]]</f>
        <v>1</v>
      </c>
      <c r="N409">
        <f>WEEKNUM([1]!orders[[#This Row],[Order Date]])</f>
        <v>4</v>
      </c>
      <c r="O409" t="str" cm="1">
        <f t="array" ref="O409">_xlfn.IFS([1]!orders[[#This Row],[Customer Gender]]="M","Male", [1]!orders[[#This Row],[Customer Gender]]="F","Female", [1]!orders[[#This Row],[Customer Gender]]="O","Other", TRUE,"Unknown")</f>
        <v>Male</v>
      </c>
    </row>
    <row r="410" spans="1:15" x14ac:dyDescent="0.25">
      <c r="A410" s="1" t="s">
        <v>481</v>
      </c>
      <c r="B410" s="1" t="s">
        <v>15</v>
      </c>
      <c r="C410" s="1">
        <v>2</v>
      </c>
      <c r="D410" s="1">
        <v>105.6</v>
      </c>
      <c r="E410" s="1">
        <v>211.2</v>
      </c>
      <c r="F410" s="2">
        <v>45676</v>
      </c>
      <c r="G410" s="2">
        <v>45677</v>
      </c>
      <c r="H410" s="1" t="s">
        <v>8</v>
      </c>
      <c r="I410" s="1" t="s">
        <v>25</v>
      </c>
      <c r="J410" s="1">
        <v>3</v>
      </c>
      <c r="K410" s="1" t="s">
        <v>4</v>
      </c>
      <c r="L410" s="1" t="s">
        <v>47</v>
      </c>
      <c r="M410" s="1">
        <f>[1]!orders[[#This Row],[Ship Date]]-[1]!orders[[#This Row],[Order Date]]</f>
        <v>1</v>
      </c>
      <c r="N410" s="1">
        <f>WEEKNUM([1]!orders[[#This Row],[Order Date]])</f>
        <v>4</v>
      </c>
      <c r="O410" t="str" cm="1">
        <f t="array" ref="O410">_xlfn.IFS([1]!orders[[#This Row],[Customer Gender]]="M","Male", [1]!orders[[#This Row],[Customer Gender]]="F","Female", [1]!orders[[#This Row],[Customer Gender]]="O","Other", TRUE,"Unknown")</f>
        <v>Male</v>
      </c>
    </row>
    <row r="411" spans="1:15" x14ac:dyDescent="0.25">
      <c r="A411" t="s">
        <v>482</v>
      </c>
      <c r="B411" t="s">
        <v>39</v>
      </c>
      <c r="C411">
        <v>3</v>
      </c>
      <c r="D411">
        <v>46.4</v>
      </c>
      <c r="E411">
        <v>139.19999999999999</v>
      </c>
      <c r="F411" s="3">
        <v>45676</v>
      </c>
      <c r="G411" s="3">
        <v>45677</v>
      </c>
      <c r="H411" t="s">
        <v>8</v>
      </c>
      <c r="I411" t="s">
        <v>25</v>
      </c>
      <c r="J411">
        <v>4</v>
      </c>
      <c r="K411" t="s">
        <v>4</v>
      </c>
      <c r="L411" t="s">
        <v>57</v>
      </c>
      <c r="M411">
        <f>[1]!orders[[#This Row],[Ship Date]]-[1]!orders[[#This Row],[Order Date]]</f>
        <v>1</v>
      </c>
      <c r="N411">
        <f>WEEKNUM([1]!orders[[#This Row],[Order Date]])</f>
        <v>4</v>
      </c>
      <c r="O411" t="str" cm="1">
        <f t="array" ref="O411">_xlfn.IFS([1]!orders[[#This Row],[Customer Gender]]="M","Male", [1]!orders[[#This Row],[Customer Gender]]="F","Female", [1]!orders[[#This Row],[Customer Gender]]="O","Other", TRUE,"Unknown")</f>
        <v>Male</v>
      </c>
    </row>
    <row r="412" spans="1:15" x14ac:dyDescent="0.25">
      <c r="A412" s="1" t="s">
        <v>483</v>
      </c>
      <c r="B412" s="1" t="s">
        <v>31</v>
      </c>
      <c r="C412" s="1">
        <v>14</v>
      </c>
      <c r="D412" s="1">
        <v>35.299999999999997</v>
      </c>
      <c r="E412" s="1">
        <v>494.19999999999993</v>
      </c>
      <c r="F412" s="2">
        <v>45676</v>
      </c>
      <c r="G412" s="2">
        <v>45679</v>
      </c>
      <c r="H412" s="1" t="s">
        <v>12</v>
      </c>
      <c r="I412" s="1" t="s">
        <v>55</v>
      </c>
      <c r="J412" s="1">
        <v>3</v>
      </c>
      <c r="K412" s="1" t="s">
        <v>4</v>
      </c>
      <c r="L412" s="1" t="s">
        <v>62</v>
      </c>
      <c r="M412" s="1">
        <f>[1]!orders[[#This Row],[Ship Date]]-[1]!orders[[#This Row],[Order Date]]</f>
        <v>3</v>
      </c>
      <c r="N412" s="1">
        <f>WEEKNUM([1]!orders[[#This Row],[Order Date]])</f>
        <v>4</v>
      </c>
      <c r="O412" t="str" cm="1">
        <f t="array" ref="O412">_xlfn.IFS([1]!orders[[#This Row],[Customer Gender]]="M","Male", [1]!orders[[#This Row],[Customer Gender]]="F","Female", [1]!orders[[#This Row],[Customer Gender]]="O","Other", TRUE,"Unknown")</f>
        <v>Female</v>
      </c>
    </row>
    <row r="413" spans="1:15" x14ac:dyDescent="0.25">
      <c r="A413" t="s">
        <v>484</v>
      </c>
      <c r="B413" t="s">
        <v>1</v>
      </c>
      <c r="C413">
        <v>2</v>
      </c>
      <c r="D413">
        <v>16.100000000000001</v>
      </c>
      <c r="E413">
        <v>32.200000000000003</v>
      </c>
      <c r="F413" s="3">
        <v>45676</v>
      </c>
      <c r="G413" s="3">
        <v>45678</v>
      </c>
      <c r="H413" t="s">
        <v>8</v>
      </c>
      <c r="I413" t="s">
        <v>36</v>
      </c>
      <c r="J413">
        <v>5</v>
      </c>
      <c r="K413" t="s">
        <v>4</v>
      </c>
      <c r="L413" t="s">
        <v>294</v>
      </c>
      <c r="M413">
        <f>[1]!orders[[#This Row],[Ship Date]]-[1]!orders[[#This Row],[Order Date]]</f>
        <v>2</v>
      </c>
      <c r="N413">
        <f>WEEKNUM([1]!orders[[#This Row],[Order Date]])</f>
        <v>4</v>
      </c>
      <c r="O413" t="str" cm="1">
        <f t="array" ref="O413">_xlfn.IFS([1]!orders[[#This Row],[Customer Gender]]="M","Male", [1]!orders[[#This Row],[Customer Gender]]="F","Female", [1]!orders[[#This Row],[Customer Gender]]="O","Other", TRUE,"Unknown")</f>
        <v>Male</v>
      </c>
    </row>
    <row r="414" spans="1:15" x14ac:dyDescent="0.25">
      <c r="A414" s="1" t="s">
        <v>485</v>
      </c>
      <c r="B414" s="1" t="s">
        <v>17</v>
      </c>
      <c r="C414" s="1">
        <v>2</v>
      </c>
      <c r="D414" s="1">
        <v>27.9</v>
      </c>
      <c r="E414" s="1">
        <v>55.8</v>
      </c>
      <c r="F414" s="2">
        <v>45676</v>
      </c>
      <c r="G414" s="2">
        <v>45679</v>
      </c>
      <c r="H414" s="1" t="s">
        <v>8</v>
      </c>
      <c r="I414" s="1" t="s">
        <v>3</v>
      </c>
      <c r="J414" s="1">
        <v>4</v>
      </c>
      <c r="K414" s="1" t="s">
        <v>4</v>
      </c>
      <c r="L414" s="1" t="s">
        <v>67</v>
      </c>
      <c r="M414" s="1">
        <f>[1]!orders[[#This Row],[Ship Date]]-[1]!orders[[#This Row],[Order Date]]</f>
        <v>3</v>
      </c>
      <c r="N414" s="1">
        <f>WEEKNUM([1]!orders[[#This Row],[Order Date]])</f>
        <v>4</v>
      </c>
      <c r="O414" t="str" cm="1">
        <f t="array" ref="O414">_xlfn.IFS([1]!orders[[#This Row],[Customer Gender]]="M","Male", [1]!orders[[#This Row],[Customer Gender]]="F","Female", [1]!orders[[#This Row],[Customer Gender]]="O","Other", TRUE,"Unknown")</f>
        <v>Male</v>
      </c>
    </row>
    <row r="415" spans="1:15" x14ac:dyDescent="0.25">
      <c r="A415" t="s">
        <v>486</v>
      </c>
      <c r="B415" t="s">
        <v>29</v>
      </c>
      <c r="C415">
        <v>1</v>
      </c>
      <c r="D415">
        <v>47.1</v>
      </c>
      <c r="E415">
        <v>47.1</v>
      </c>
      <c r="F415" s="3">
        <v>45676</v>
      </c>
      <c r="G415" s="3">
        <v>45684</v>
      </c>
      <c r="H415" t="s">
        <v>12</v>
      </c>
      <c r="I415" t="s">
        <v>20</v>
      </c>
      <c r="J415">
        <v>4</v>
      </c>
      <c r="K415" t="s">
        <v>4</v>
      </c>
      <c r="L415" t="s">
        <v>13</v>
      </c>
      <c r="M415">
        <f>[1]!orders[[#This Row],[Ship Date]]-[1]!orders[[#This Row],[Order Date]]</f>
        <v>8</v>
      </c>
      <c r="N415">
        <f>WEEKNUM([1]!orders[[#This Row],[Order Date]])</f>
        <v>4</v>
      </c>
      <c r="O415" t="str" cm="1">
        <f t="array" ref="O415">_xlfn.IFS([1]!orders[[#This Row],[Customer Gender]]="M","Male", [1]!orders[[#This Row],[Customer Gender]]="F","Female", [1]!orders[[#This Row],[Customer Gender]]="O","Other", TRUE,"Unknown")</f>
        <v>Female</v>
      </c>
    </row>
    <row r="416" spans="1:15" x14ac:dyDescent="0.25">
      <c r="A416" s="1" t="s">
        <v>487</v>
      </c>
      <c r="B416" s="1" t="s">
        <v>24</v>
      </c>
      <c r="C416" s="1">
        <v>2</v>
      </c>
      <c r="D416" s="1">
        <v>85</v>
      </c>
      <c r="E416" s="1">
        <v>170</v>
      </c>
      <c r="F416" s="2">
        <v>45676</v>
      </c>
      <c r="G416" s="2">
        <v>45679</v>
      </c>
      <c r="H416" s="1" t="s">
        <v>2</v>
      </c>
      <c r="I416" s="1" t="s">
        <v>25</v>
      </c>
      <c r="J416" s="1">
        <v>5</v>
      </c>
      <c r="K416" s="1" t="s">
        <v>4</v>
      </c>
      <c r="L416" s="1" t="s">
        <v>132</v>
      </c>
      <c r="M416" s="1">
        <f>[1]!orders[[#This Row],[Ship Date]]-[1]!orders[[#This Row],[Order Date]]</f>
        <v>3</v>
      </c>
      <c r="N416" s="1">
        <f>WEEKNUM([1]!orders[[#This Row],[Order Date]])</f>
        <v>4</v>
      </c>
      <c r="O416" t="str" cm="1">
        <f t="array" ref="O416">_xlfn.IFS([1]!orders[[#This Row],[Customer Gender]]="M","Male", [1]!orders[[#This Row],[Customer Gender]]="F","Female", [1]!orders[[#This Row],[Customer Gender]]="O","Other", TRUE,"Unknown")</f>
        <v>Unknown</v>
      </c>
    </row>
    <row r="417" spans="1:15" x14ac:dyDescent="0.25">
      <c r="A417" t="s">
        <v>488</v>
      </c>
      <c r="B417" t="s">
        <v>131</v>
      </c>
      <c r="C417">
        <v>2</v>
      </c>
      <c r="D417">
        <v>89</v>
      </c>
      <c r="E417">
        <v>178</v>
      </c>
      <c r="F417" s="3">
        <v>45676</v>
      </c>
      <c r="G417" s="3">
        <v>45678</v>
      </c>
      <c r="H417" t="s">
        <v>12</v>
      </c>
      <c r="I417" t="s">
        <v>3</v>
      </c>
      <c r="J417">
        <v>4</v>
      </c>
      <c r="K417" t="s">
        <v>4</v>
      </c>
      <c r="L417" t="s">
        <v>18</v>
      </c>
      <c r="M417">
        <f>[1]!orders[[#This Row],[Ship Date]]-[1]!orders[[#This Row],[Order Date]]</f>
        <v>2</v>
      </c>
      <c r="N417">
        <f>WEEKNUM([1]!orders[[#This Row],[Order Date]])</f>
        <v>4</v>
      </c>
      <c r="O417" t="str" cm="1">
        <f t="array" ref="O417">_xlfn.IFS([1]!orders[[#This Row],[Customer Gender]]="M","Male", [1]!orders[[#This Row],[Customer Gender]]="F","Female", [1]!orders[[#This Row],[Customer Gender]]="O","Other", TRUE,"Unknown")</f>
        <v>Female</v>
      </c>
    </row>
    <row r="418" spans="1:15" x14ac:dyDescent="0.25">
      <c r="A418" s="1" t="s">
        <v>489</v>
      </c>
      <c r="B418" s="1" t="s">
        <v>113</v>
      </c>
      <c r="C418" s="1">
        <v>3</v>
      </c>
      <c r="D418" s="1">
        <v>36.6</v>
      </c>
      <c r="E418" s="1">
        <v>109.80000000000001</v>
      </c>
      <c r="F418" s="2">
        <v>45676</v>
      </c>
      <c r="G418" s="2">
        <v>45677</v>
      </c>
      <c r="H418" s="1" t="s">
        <v>74</v>
      </c>
      <c r="I418" s="1" t="s">
        <v>36</v>
      </c>
      <c r="J418" s="1">
        <v>5</v>
      </c>
      <c r="K418" s="1" t="s">
        <v>4</v>
      </c>
      <c r="L418" s="1" t="s">
        <v>18</v>
      </c>
      <c r="M418" s="1">
        <f>[1]!orders[[#This Row],[Ship Date]]-[1]!orders[[#This Row],[Order Date]]</f>
        <v>1</v>
      </c>
      <c r="N418" s="1">
        <f>WEEKNUM([1]!orders[[#This Row],[Order Date]])</f>
        <v>4</v>
      </c>
      <c r="O418" t="str" cm="1">
        <f t="array" ref="O418">_xlfn.IFS([1]!orders[[#This Row],[Customer Gender]]="M","Male", [1]!orders[[#This Row],[Customer Gender]]="F","Female", [1]!orders[[#This Row],[Customer Gender]]="O","Other", TRUE,"Unknown")</f>
        <v>Other</v>
      </c>
    </row>
    <row r="419" spans="1:15" x14ac:dyDescent="0.25">
      <c r="A419" t="s">
        <v>490</v>
      </c>
      <c r="B419" t="s">
        <v>24</v>
      </c>
      <c r="C419">
        <v>7</v>
      </c>
      <c r="D419">
        <v>43.5</v>
      </c>
      <c r="E419">
        <v>304.5</v>
      </c>
      <c r="F419" s="3">
        <v>45676</v>
      </c>
      <c r="G419" s="3">
        <v>45677</v>
      </c>
      <c r="H419" t="s">
        <v>8</v>
      </c>
      <c r="I419" t="s">
        <v>20</v>
      </c>
      <c r="J419">
        <v>5</v>
      </c>
      <c r="K419" t="s">
        <v>4</v>
      </c>
      <c r="L419" t="s">
        <v>18</v>
      </c>
      <c r="M419">
        <f>[1]!orders[[#This Row],[Ship Date]]-[1]!orders[[#This Row],[Order Date]]</f>
        <v>1</v>
      </c>
      <c r="N419">
        <f>WEEKNUM([1]!orders[[#This Row],[Order Date]])</f>
        <v>4</v>
      </c>
      <c r="O419" t="str" cm="1">
        <f t="array" ref="O419">_xlfn.IFS([1]!orders[[#This Row],[Customer Gender]]="M","Male", [1]!orders[[#This Row],[Customer Gender]]="F","Female", [1]!orders[[#This Row],[Customer Gender]]="O","Other", TRUE,"Unknown")</f>
        <v>Male</v>
      </c>
    </row>
    <row r="420" spans="1:15" x14ac:dyDescent="0.25">
      <c r="A420" s="1" t="s">
        <v>491</v>
      </c>
      <c r="B420" s="1" t="s">
        <v>31</v>
      </c>
      <c r="C420" s="1">
        <v>19</v>
      </c>
      <c r="D420" s="1">
        <v>30.5</v>
      </c>
      <c r="E420" s="1">
        <v>579.5</v>
      </c>
      <c r="F420" s="2">
        <v>45676</v>
      </c>
      <c r="G420" s="2">
        <v>45676</v>
      </c>
      <c r="H420" s="1" t="s">
        <v>12</v>
      </c>
      <c r="I420" s="1" t="s">
        <v>36</v>
      </c>
      <c r="J420" s="1">
        <v>4</v>
      </c>
      <c r="K420" s="1" t="s">
        <v>4</v>
      </c>
      <c r="L420" s="1" t="s">
        <v>18</v>
      </c>
      <c r="M420" s="1">
        <f>[1]!orders[[#This Row],[Ship Date]]-[1]!orders[[#This Row],[Order Date]]</f>
        <v>0</v>
      </c>
      <c r="N420" s="1">
        <f>WEEKNUM([1]!orders[[#This Row],[Order Date]])</f>
        <v>4</v>
      </c>
      <c r="O420" t="str" cm="1">
        <f t="array" ref="O420">_xlfn.IFS([1]!orders[[#This Row],[Customer Gender]]="M","Male", [1]!orders[[#This Row],[Customer Gender]]="F","Female", [1]!orders[[#This Row],[Customer Gender]]="O","Other", TRUE,"Unknown")</f>
        <v>Female</v>
      </c>
    </row>
    <row r="421" spans="1:15" x14ac:dyDescent="0.25">
      <c r="A421" t="s">
        <v>492</v>
      </c>
      <c r="B421" t="s">
        <v>7</v>
      </c>
      <c r="C421">
        <v>2</v>
      </c>
      <c r="D421">
        <v>107.7</v>
      </c>
      <c r="E421">
        <v>215.4</v>
      </c>
      <c r="F421" s="3">
        <v>45676</v>
      </c>
      <c r="G421" s="3">
        <v>45680</v>
      </c>
      <c r="H421" t="s">
        <v>8</v>
      </c>
      <c r="I421" t="s">
        <v>36</v>
      </c>
      <c r="J421">
        <v>2</v>
      </c>
      <c r="K421" t="s">
        <v>4</v>
      </c>
      <c r="L421" t="s">
        <v>18</v>
      </c>
      <c r="M421">
        <f>[1]!orders[[#This Row],[Ship Date]]-[1]!orders[[#This Row],[Order Date]]</f>
        <v>4</v>
      </c>
      <c r="N421">
        <f>WEEKNUM([1]!orders[[#This Row],[Order Date]])</f>
        <v>4</v>
      </c>
      <c r="O421" t="str" cm="1">
        <f t="array" ref="O421">_xlfn.IFS([1]!orders[[#This Row],[Customer Gender]]="M","Male", [1]!orders[[#This Row],[Customer Gender]]="F","Female", [1]!orders[[#This Row],[Customer Gender]]="O","Other", TRUE,"Unknown")</f>
        <v>Male</v>
      </c>
    </row>
    <row r="422" spans="1:15" x14ac:dyDescent="0.25">
      <c r="A422" s="1" t="s">
        <v>493</v>
      </c>
      <c r="B422" s="1" t="s">
        <v>120</v>
      </c>
      <c r="C422" s="1">
        <v>26</v>
      </c>
      <c r="D422" s="1">
        <v>57.1</v>
      </c>
      <c r="E422" s="1">
        <v>1484.6000000000001</v>
      </c>
      <c r="F422" s="2">
        <v>45676</v>
      </c>
      <c r="G422" s="2">
        <v>45677</v>
      </c>
      <c r="H422" s="1" t="s">
        <v>8</v>
      </c>
      <c r="I422" s="1" t="s">
        <v>20</v>
      </c>
      <c r="J422" s="1">
        <v>4</v>
      </c>
      <c r="K422" s="1" t="s">
        <v>4</v>
      </c>
      <c r="L422" s="1" t="s">
        <v>18</v>
      </c>
      <c r="M422" s="1">
        <f>[1]!orders[[#This Row],[Ship Date]]-[1]!orders[[#This Row],[Order Date]]</f>
        <v>1</v>
      </c>
      <c r="N422" s="1">
        <f>WEEKNUM([1]!orders[[#This Row],[Order Date]])</f>
        <v>4</v>
      </c>
      <c r="O422" t="str" cm="1">
        <f t="array" ref="O422">_xlfn.IFS([1]!orders[[#This Row],[Customer Gender]]="M","Male", [1]!orders[[#This Row],[Customer Gender]]="F","Female", [1]!orders[[#This Row],[Customer Gender]]="O","Other", TRUE,"Unknown")</f>
        <v>Male</v>
      </c>
    </row>
    <row r="423" spans="1:15" x14ac:dyDescent="0.25">
      <c r="A423" t="s">
        <v>494</v>
      </c>
      <c r="B423" t="s">
        <v>11</v>
      </c>
      <c r="C423">
        <v>10</v>
      </c>
      <c r="D423">
        <v>111.7</v>
      </c>
      <c r="E423">
        <v>1117</v>
      </c>
      <c r="F423" s="3">
        <v>45676</v>
      </c>
      <c r="G423" s="3">
        <v>45677</v>
      </c>
      <c r="H423" t="s">
        <v>12</v>
      </c>
      <c r="I423" t="s">
        <v>55</v>
      </c>
      <c r="J423">
        <v>5</v>
      </c>
      <c r="K423" t="s">
        <v>4</v>
      </c>
      <c r="L423" t="s">
        <v>18</v>
      </c>
      <c r="M423">
        <f>[1]!orders[[#This Row],[Ship Date]]-[1]!orders[[#This Row],[Order Date]]</f>
        <v>1</v>
      </c>
      <c r="N423">
        <f>WEEKNUM([1]!orders[[#This Row],[Order Date]])</f>
        <v>4</v>
      </c>
      <c r="O423" t="str" cm="1">
        <f t="array" ref="O423">_xlfn.IFS([1]!orders[[#This Row],[Customer Gender]]="M","Male", [1]!orders[[#This Row],[Customer Gender]]="F","Female", [1]!orders[[#This Row],[Customer Gender]]="O","Other", TRUE,"Unknown")</f>
        <v>Female</v>
      </c>
    </row>
    <row r="424" spans="1:15" x14ac:dyDescent="0.25">
      <c r="A424" s="1" t="s">
        <v>495</v>
      </c>
      <c r="B424" s="1" t="s">
        <v>131</v>
      </c>
      <c r="C424" s="1">
        <v>7</v>
      </c>
      <c r="D424" s="1">
        <v>44.3</v>
      </c>
      <c r="E424" s="1">
        <v>310.09999999999997</v>
      </c>
      <c r="F424" s="2">
        <v>45676</v>
      </c>
      <c r="G424" s="2">
        <v>45679</v>
      </c>
      <c r="H424" s="1" t="s">
        <v>8</v>
      </c>
      <c r="I424" s="1" t="s">
        <v>36</v>
      </c>
      <c r="J424" s="1">
        <v>5</v>
      </c>
      <c r="K424" s="1" t="s">
        <v>4</v>
      </c>
      <c r="L424" s="1" t="s">
        <v>18</v>
      </c>
      <c r="M424" s="1">
        <f>[1]!orders[[#This Row],[Ship Date]]-[1]!orders[[#This Row],[Order Date]]</f>
        <v>3</v>
      </c>
      <c r="N424" s="1">
        <f>WEEKNUM([1]!orders[[#This Row],[Order Date]])</f>
        <v>4</v>
      </c>
      <c r="O424" t="str" cm="1">
        <f t="array" ref="O424">_xlfn.IFS([1]!orders[[#This Row],[Customer Gender]]="M","Male", [1]!orders[[#This Row],[Customer Gender]]="F","Female", [1]!orders[[#This Row],[Customer Gender]]="O","Other", TRUE,"Unknown")</f>
        <v>Male</v>
      </c>
    </row>
    <row r="425" spans="1:15" x14ac:dyDescent="0.25">
      <c r="A425" t="s">
        <v>496</v>
      </c>
      <c r="B425" t="s">
        <v>11</v>
      </c>
      <c r="C425">
        <v>8</v>
      </c>
      <c r="D425">
        <v>95.8</v>
      </c>
      <c r="E425">
        <v>766.4</v>
      </c>
      <c r="F425" s="3">
        <v>45676</v>
      </c>
      <c r="G425" s="3">
        <v>45682</v>
      </c>
      <c r="H425" t="s">
        <v>74</v>
      </c>
      <c r="I425" t="s">
        <v>3</v>
      </c>
      <c r="J425">
        <v>4</v>
      </c>
      <c r="K425" t="s">
        <v>4</v>
      </c>
      <c r="L425" t="s">
        <v>18</v>
      </c>
      <c r="M425">
        <f>[1]!orders[[#This Row],[Ship Date]]-[1]!orders[[#This Row],[Order Date]]</f>
        <v>6</v>
      </c>
      <c r="N425">
        <f>WEEKNUM([1]!orders[[#This Row],[Order Date]])</f>
        <v>4</v>
      </c>
      <c r="O425" t="str" cm="1">
        <f t="array" ref="O425">_xlfn.IFS([1]!orders[[#This Row],[Customer Gender]]="M","Male", [1]!orders[[#This Row],[Customer Gender]]="F","Female", [1]!orders[[#This Row],[Customer Gender]]="O","Other", TRUE,"Unknown")</f>
        <v>Other</v>
      </c>
    </row>
    <row r="426" spans="1:15" x14ac:dyDescent="0.25">
      <c r="A426" s="1" t="s">
        <v>497</v>
      </c>
      <c r="B426" s="1" t="s">
        <v>39</v>
      </c>
      <c r="C426" s="1">
        <v>7</v>
      </c>
      <c r="D426" s="1">
        <v>22.6</v>
      </c>
      <c r="E426" s="1">
        <v>158.20000000000002</v>
      </c>
      <c r="F426" s="2">
        <v>45676</v>
      </c>
      <c r="G426" s="2">
        <v>45679</v>
      </c>
      <c r="H426" s="1" t="s">
        <v>12</v>
      </c>
      <c r="I426" s="1" t="s">
        <v>36</v>
      </c>
      <c r="J426" s="1">
        <v>3</v>
      </c>
      <c r="K426" s="1" t="s">
        <v>4</v>
      </c>
      <c r="L426" s="1" t="s">
        <v>18</v>
      </c>
      <c r="M426" s="1">
        <f>[1]!orders[[#This Row],[Ship Date]]-[1]!orders[[#This Row],[Order Date]]</f>
        <v>3</v>
      </c>
      <c r="N426" s="1">
        <f>WEEKNUM([1]!orders[[#This Row],[Order Date]])</f>
        <v>4</v>
      </c>
      <c r="O426" t="str" cm="1">
        <f t="array" ref="O426">_xlfn.IFS([1]!orders[[#This Row],[Customer Gender]]="M","Male", [1]!orders[[#This Row],[Customer Gender]]="F","Female", [1]!orders[[#This Row],[Customer Gender]]="O","Other", TRUE,"Unknown")</f>
        <v>Female</v>
      </c>
    </row>
    <row r="427" spans="1:15" x14ac:dyDescent="0.25">
      <c r="A427" t="s">
        <v>498</v>
      </c>
      <c r="B427" t="s">
        <v>29</v>
      </c>
      <c r="C427">
        <v>8</v>
      </c>
      <c r="D427">
        <v>25.6</v>
      </c>
      <c r="E427">
        <v>204.8</v>
      </c>
      <c r="F427" s="3">
        <v>45676</v>
      </c>
      <c r="G427" s="3">
        <v>45678</v>
      </c>
      <c r="H427" t="s">
        <v>12</v>
      </c>
      <c r="I427" t="s">
        <v>55</v>
      </c>
      <c r="J427">
        <v>4</v>
      </c>
      <c r="K427" t="s">
        <v>4</v>
      </c>
      <c r="L427" t="s">
        <v>18</v>
      </c>
      <c r="M427">
        <f>[1]!orders[[#This Row],[Ship Date]]-[1]!orders[[#This Row],[Order Date]]</f>
        <v>2</v>
      </c>
      <c r="N427">
        <f>WEEKNUM([1]!orders[[#This Row],[Order Date]])</f>
        <v>4</v>
      </c>
      <c r="O427" t="str" cm="1">
        <f t="array" ref="O427">_xlfn.IFS([1]!orders[[#This Row],[Customer Gender]]="M","Male", [1]!orders[[#This Row],[Customer Gender]]="F","Female", [1]!orders[[#This Row],[Customer Gender]]="O","Other", TRUE,"Unknown")</f>
        <v>Female</v>
      </c>
    </row>
    <row r="428" spans="1:15" x14ac:dyDescent="0.25">
      <c r="A428" s="1" t="s">
        <v>499</v>
      </c>
      <c r="B428" s="1" t="s">
        <v>24</v>
      </c>
      <c r="C428" s="1">
        <v>16</v>
      </c>
      <c r="D428" s="1">
        <v>54.3</v>
      </c>
      <c r="E428" s="1">
        <v>868.8</v>
      </c>
      <c r="F428" s="2">
        <v>45676</v>
      </c>
      <c r="G428" s="2">
        <v>45679</v>
      </c>
      <c r="H428" s="1" t="s">
        <v>12</v>
      </c>
      <c r="I428" s="1" t="s">
        <v>55</v>
      </c>
      <c r="J428" s="1">
        <v>4</v>
      </c>
      <c r="K428" s="1" t="s">
        <v>4</v>
      </c>
      <c r="L428" s="1" t="s">
        <v>18</v>
      </c>
      <c r="M428" s="1">
        <f>[1]!orders[[#This Row],[Ship Date]]-[1]!orders[[#This Row],[Order Date]]</f>
        <v>3</v>
      </c>
      <c r="N428" s="1">
        <f>WEEKNUM([1]!orders[[#This Row],[Order Date]])</f>
        <v>4</v>
      </c>
      <c r="O428" t="str" cm="1">
        <f t="array" ref="O428">_xlfn.IFS([1]!orders[[#This Row],[Customer Gender]]="M","Male", [1]!orders[[#This Row],[Customer Gender]]="F","Female", [1]!orders[[#This Row],[Customer Gender]]="O","Other", TRUE,"Unknown")</f>
        <v>Female</v>
      </c>
    </row>
    <row r="429" spans="1:15" x14ac:dyDescent="0.25">
      <c r="A429" t="s">
        <v>500</v>
      </c>
      <c r="B429" t="s">
        <v>131</v>
      </c>
      <c r="C429">
        <v>13</v>
      </c>
      <c r="D429">
        <v>51.3</v>
      </c>
      <c r="E429">
        <v>666.9</v>
      </c>
      <c r="F429" s="3">
        <v>45676</v>
      </c>
      <c r="G429" s="3">
        <v>45678</v>
      </c>
      <c r="H429" t="s">
        <v>8</v>
      </c>
      <c r="I429" t="s">
        <v>3</v>
      </c>
      <c r="J429">
        <v>5</v>
      </c>
      <c r="K429" t="s">
        <v>4</v>
      </c>
      <c r="L429" t="s">
        <v>18</v>
      </c>
      <c r="M429">
        <f>[1]!orders[[#This Row],[Ship Date]]-[1]!orders[[#This Row],[Order Date]]</f>
        <v>2</v>
      </c>
      <c r="N429">
        <f>WEEKNUM([1]!orders[[#This Row],[Order Date]])</f>
        <v>4</v>
      </c>
      <c r="O429" t="str" cm="1">
        <f t="array" ref="O429">_xlfn.IFS([1]!orders[[#This Row],[Customer Gender]]="M","Male", [1]!orders[[#This Row],[Customer Gender]]="F","Female", [1]!orders[[#This Row],[Customer Gender]]="O","Other", TRUE,"Unknown")</f>
        <v>Male</v>
      </c>
    </row>
    <row r="430" spans="1:15" x14ac:dyDescent="0.25">
      <c r="A430" s="1" t="s">
        <v>501</v>
      </c>
      <c r="B430" s="1" t="s">
        <v>1</v>
      </c>
      <c r="C430" s="1">
        <v>8</v>
      </c>
      <c r="D430" s="1">
        <v>25.6</v>
      </c>
      <c r="E430" s="1">
        <v>204.8</v>
      </c>
      <c r="F430" s="2">
        <v>45676</v>
      </c>
      <c r="G430" s="2">
        <v>45677</v>
      </c>
      <c r="H430" s="1" t="s">
        <v>12</v>
      </c>
      <c r="I430" s="1" t="s">
        <v>20</v>
      </c>
      <c r="J430" s="1">
        <v>3</v>
      </c>
      <c r="K430" s="1" t="s">
        <v>4</v>
      </c>
      <c r="L430" s="1" t="s">
        <v>18</v>
      </c>
      <c r="M430" s="1">
        <f>[1]!orders[[#This Row],[Ship Date]]-[1]!orders[[#This Row],[Order Date]]</f>
        <v>1</v>
      </c>
      <c r="N430" s="1">
        <f>WEEKNUM([1]!orders[[#This Row],[Order Date]])</f>
        <v>4</v>
      </c>
      <c r="O430" t="str" cm="1">
        <f t="array" ref="O430">_xlfn.IFS([1]!orders[[#This Row],[Customer Gender]]="M","Male", [1]!orders[[#This Row],[Customer Gender]]="F","Female", [1]!orders[[#This Row],[Customer Gender]]="O","Other", TRUE,"Unknown")</f>
        <v>Female</v>
      </c>
    </row>
    <row r="431" spans="1:15" x14ac:dyDescent="0.25">
      <c r="A431" t="s">
        <v>502</v>
      </c>
      <c r="B431" t="s">
        <v>1</v>
      </c>
      <c r="C431">
        <v>2</v>
      </c>
      <c r="D431">
        <v>15.6</v>
      </c>
      <c r="E431">
        <v>31.2</v>
      </c>
      <c r="F431" s="3">
        <v>45676</v>
      </c>
      <c r="G431" s="3">
        <v>45677</v>
      </c>
      <c r="H431" t="s">
        <v>12</v>
      </c>
      <c r="I431" t="s">
        <v>25</v>
      </c>
      <c r="J431">
        <v>5</v>
      </c>
      <c r="K431" t="s">
        <v>4</v>
      </c>
      <c r="L431" t="s">
        <v>18</v>
      </c>
      <c r="M431">
        <f>[1]!orders[[#This Row],[Ship Date]]-[1]!orders[[#This Row],[Order Date]]</f>
        <v>1</v>
      </c>
      <c r="N431">
        <f>WEEKNUM([1]!orders[[#This Row],[Order Date]])</f>
        <v>4</v>
      </c>
      <c r="O431" t="str" cm="1">
        <f t="array" ref="O431">_xlfn.IFS([1]!orders[[#This Row],[Customer Gender]]="M","Male", [1]!orders[[#This Row],[Customer Gender]]="F","Female", [1]!orders[[#This Row],[Customer Gender]]="O","Other", TRUE,"Unknown")</f>
        <v>Female</v>
      </c>
    </row>
    <row r="432" spans="1:15" x14ac:dyDescent="0.25">
      <c r="A432" s="1" t="s">
        <v>503</v>
      </c>
      <c r="B432" s="1" t="s">
        <v>29</v>
      </c>
      <c r="C432" s="1">
        <v>3</v>
      </c>
      <c r="D432" s="1">
        <v>30.3</v>
      </c>
      <c r="E432" s="1">
        <v>90.9</v>
      </c>
      <c r="F432" s="2">
        <v>45676</v>
      </c>
      <c r="G432" s="2">
        <v>45680</v>
      </c>
      <c r="H432" s="1" t="s">
        <v>12</v>
      </c>
      <c r="I432" s="1" t="s">
        <v>3</v>
      </c>
      <c r="J432" s="1">
        <v>3</v>
      </c>
      <c r="K432" s="1" t="s">
        <v>4</v>
      </c>
      <c r="L432" s="1" t="s">
        <v>18</v>
      </c>
      <c r="M432" s="1">
        <f>[1]!orders[[#This Row],[Ship Date]]-[1]!orders[[#This Row],[Order Date]]</f>
        <v>4</v>
      </c>
      <c r="N432" s="1">
        <f>WEEKNUM([1]!orders[[#This Row],[Order Date]])</f>
        <v>4</v>
      </c>
      <c r="O432" t="str" cm="1">
        <f t="array" ref="O432">_xlfn.IFS([1]!orders[[#This Row],[Customer Gender]]="M","Male", [1]!orders[[#This Row],[Customer Gender]]="F","Female", [1]!orders[[#This Row],[Customer Gender]]="O","Other", TRUE,"Unknown")</f>
        <v>Female</v>
      </c>
    </row>
    <row r="433" spans="1:15" x14ac:dyDescent="0.25">
      <c r="A433" t="s">
        <v>504</v>
      </c>
      <c r="B433" t="s">
        <v>54</v>
      </c>
      <c r="C433">
        <v>2</v>
      </c>
      <c r="D433">
        <v>30.3</v>
      </c>
      <c r="E433">
        <v>60.6</v>
      </c>
      <c r="F433" s="3">
        <v>45676</v>
      </c>
      <c r="G433" s="3">
        <v>45681</v>
      </c>
      <c r="H433" t="s">
        <v>12</v>
      </c>
      <c r="I433" t="s">
        <v>3</v>
      </c>
      <c r="J433">
        <v>5</v>
      </c>
      <c r="K433" t="s">
        <v>4</v>
      </c>
      <c r="L433" t="s">
        <v>349</v>
      </c>
      <c r="M433">
        <f>[1]!orders[[#This Row],[Ship Date]]-[1]!orders[[#This Row],[Order Date]]</f>
        <v>5</v>
      </c>
      <c r="N433">
        <f>WEEKNUM([1]!orders[[#This Row],[Order Date]])</f>
        <v>4</v>
      </c>
      <c r="O433" t="str" cm="1">
        <f t="array" ref="O433">_xlfn.IFS([1]!orders[[#This Row],[Customer Gender]]="M","Male", [1]!orders[[#This Row],[Customer Gender]]="F","Female", [1]!orders[[#This Row],[Customer Gender]]="O","Other", TRUE,"Unknown")</f>
        <v>Female</v>
      </c>
    </row>
    <row r="434" spans="1:15" x14ac:dyDescent="0.25">
      <c r="A434" s="1" t="s">
        <v>505</v>
      </c>
      <c r="B434" s="1" t="s">
        <v>39</v>
      </c>
      <c r="C434" s="1">
        <v>3</v>
      </c>
      <c r="D434" s="1">
        <v>53</v>
      </c>
      <c r="E434" s="1">
        <v>159</v>
      </c>
      <c r="F434" s="2">
        <v>45676</v>
      </c>
      <c r="G434" s="2">
        <v>45683</v>
      </c>
      <c r="H434" s="1" t="s">
        <v>12</v>
      </c>
      <c r="I434" s="1" t="s">
        <v>25</v>
      </c>
      <c r="J434" s="1">
        <v>4</v>
      </c>
      <c r="K434" s="1" t="s">
        <v>4</v>
      </c>
      <c r="L434" s="1" t="s">
        <v>171</v>
      </c>
      <c r="M434" s="1">
        <f>[1]!orders[[#This Row],[Ship Date]]-[1]!orders[[#This Row],[Order Date]]</f>
        <v>7</v>
      </c>
      <c r="N434" s="1">
        <f>WEEKNUM([1]!orders[[#This Row],[Order Date]])</f>
        <v>4</v>
      </c>
      <c r="O434" t="str" cm="1">
        <f t="array" ref="O434">_xlfn.IFS([1]!orders[[#This Row],[Customer Gender]]="M","Male", [1]!orders[[#This Row],[Customer Gender]]="F","Female", [1]!orders[[#This Row],[Customer Gender]]="O","Other", TRUE,"Unknown")</f>
        <v>Female</v>
      </c>
    </row>
    <row r="435" spans="1:15" x14ac:dyDescent="0.25">
      <c r="A435" t="s">
        <v>506</v>
      </c>
      <c r="B435" t="s">
        <v>22</v>
      </c>
      <c r="C435">
        <v>18</v>
      </c>
      <c r="D435">
        <v>59.9</v>
      </c>
      <c r="E435">
        <v>1078.2</v>
      </c>
      <c r="F435" s="3">
        <v>45676</v>
      </c>
      <c r="G435" s="3">
        <v>45679</v>
      </c>
      <c r="H435" t="s">
        <v>8</v>
      </c>
      <c r="I435" t="s">
        <v>25</v>
      </c>
      <c r="J435">
        <v>2</v>
      </c>
      <c r="K435" t="s">
        <v>4</v>
      </c>
      <c r="L435" t="s">
        <v>173</v>
      </c>
      <c r="M435">
        <f>[1]!orders[[#This Row],[Ship Date]]-[1]!orders[[#This Row],[Order Date]]</f>
        <v>3</v>
      </c>
      <c r="N435">
        <f>WEEKNUM([1]!orders[[#This Row],[Order Date]])</f>
        <v>4</v>
      </c>
      <c r="O435" t="str" cm="1">
        <f t="array" ref="O435">_xlfn.IFS([1]!orders[[#This Row],[Customer Gender]]="M","Male", [1]!orders[[#This Row],[Customer Gender]]="F","Female", [1]!orders[[#This Row],[Customer Gender]]="O","Other", TRUE,"Unknown")</f>
        <v>Male</v>
      </c>
    </row>
    <row r="436" spans="1:15" x14ac:dyDescent="0.25">
      <c r="A436" s="1" t="s">
        <v>507</v>
      </c>
      <c r="B436" s="1" t="s">
        <v>31</v>
      </c>
      <c r="C436" s="1">
        <v>2</v>
      </c>
      <c r="D436" s="1">
        <v>45.7</v>
      </c>
      <c r="E436" s="1">
        <v>91.4</v>
      </c>
      <c r="F436" s="2">
        <v>45676</v>
      </c>
      <c r="G436" s="2">
        <v>45677</v>
      </c>
      <c r="H436" s="1" t="s">
        <v>12</v>
      </c>
      <c r="I436" s="1" t="s">
        <v>20</v>
      </c>
      <c r="J436" s="1">
        <v>5</v>
      </c>
      <c r="K436" s="1" t="s">
        <v>4</v>
      </c>
      <c r="L436" s="1" t="s">
        <v>40</v>
      </c>
      <c r="M436" s="1">
        <f>[1]!orders[[#This Row],[Ship Date]]-[1]!orders[[#This Row],[Order Date]]</f>
        <v>1</v>
      </c>
      <c r="N436" s="1">
        <f>WEEKNUM([1]!orders[[#This Row],[Order Date]])</f>
        <v>4</v>
      </c>
      <c r="O436" t="str" cm="1">
        <f t="array" ref="O436">_xlfn.IFS([1]!orders[[#This Row],[Customer Gender]]="M","Male", [1]!orders[[#This Row],[Customer Gender]]="F","Female", [1]!orders[[#This Row],[Customer Gender]]="O","Other", TRUE,"Unknown")</f>
        <v>Female</v>
      </c>
    </row>
    <row r="437" spans="1:15" x14ac:dyDescent="0.25">
      <c r="A437" t="s">
        <v>508</v>
      </c>
      <c r="B437" t="s">
        <v>29</v>
      </c>
      <c r="C437">
        <v>4</v>
      </c>
      <c r="D437">
        <v>46.1</v>
      </c>
      <c r="E437">
        <v>184.4</v>
      </c>
      <c r="F437" s="3">
        <v>45676</v>
      </c>
      <c r="G437" s="3">
        <v>45677</v>
      </c>
      <c r="H437" t="s">
        <v>8</v>
      </c>
      <c r="I437" t="s">
        <v>3</v>
      </c>
      <c r="J437">
        <v>4</v>
      </c>
      <c r="K437" t="s">
        <v>4</v>
      </c>
      <c r="L437" t="s">
        <v>40</v>
      </c>
      <c r="M437">
        <f>[1]!orders[[#This Row],[Ship Date]]-[1]!orders[[#This Row],[Order Date]]</f>
        <v>1</v>
      </c>
      <c r="N437">
        <f>WEEKNUM([1]!orders[[#This Row],[Order Date]])</f>
        <v>4</v>
      </c>
      <c r="O437" t="str" cm="1">
        <f t="array" ref="O437">_xlfn.IFS([1]!orders[[#This Row],[Customer Gender]]="M","Male", [1]!orders[[#This Row],[Customer Gender]]="F","Female", [1]!orders[[#This Row],[Customer Gender]]="O","Other", TRUE,"Unknown")</f>
        <v>Male</v>
      </c>
    </row>
    <row r="438" spans="1:15" x14ac:dyDescent="0.25">
      <c r="A438" s="1" t="s">
        <v>509</v>
      </c>
      <c r="B438" s="1" t="s">
        <v>29</v>
      </c>
      <c r="C438" s="1">
        <v>3</v>
      </c>
      <c r="D438" s="1">
        <v>17.5</v>
      </c>
      <c r="E438" s="1">
        <v>52.5</v>
      </c>
      <c r="F438" s="2">
        <v>45676</v>
      </c>
      <c r="G438" s="2">
        <v>45677</v>
      </c>
      <c r="H438" s="1" t="s">
        <v>12</v>
      </c>
      <c r="I438" s="1" t="s">
        <v>3</v>
      </c>
      <c r="J438" s="1">
        <v>5</v>
      </c>
      <c r="K438" s="1" t="s">
        <v>4</v>
      </c>
      <c r="L438" s="1" t="s">
        <v>47</v>
      </c>
      <c r="M438" s="1">
        <f>[1]!orders[[#This Row],[Ship Date]]-[1]!orders[[#This Row],[Order Date]]</f>
        <v>1</v>
      </c>
      <c r="N438" s="1">
        <f>WEEKNUM([1]!orders[[#This Row],[Order Date]])</f>
        <v>4</v>
      </c>
      <c r="O438" t="str" cm="1">
        <f t="array" ref="O438">_xlfn.IFS([1]!orders[[#This Row],[Customer Gender]]="M","Male", [1]!orders[[#This Row],[Customer Gender]]="F","Female", [1]!orders[[#This Row],[Customer Gender]]="O","Other", TRUE,"Unknown")</f>
        <v>Female</v>
      </c>
    </row>
    <row r="439" spans="1:15" x14ac:dyDescent="0.25">
      <c r="A439" t="s">
        <v>510</v>
      </c>
      <c r="B439" t="s">
        <v>39</v>
      </c>
      <c r="C439">
        <v>3</v>
      </c>
      <c r="D439">
        <v>36.5</v>
      </c>
      <c r="E439">
        <v>109.5</v>
      </c>
      <c r="F439" s="3">
        <v>45676</v>
      </c>
      <c r="G439" s="3">
        <v>45687</v>
      </c>
      <c r="H439" t="s">
        <v>8</v>
      </c>
      <c r="I439" t="s">
        <v>25</v>
      </c>
      <c r="J439">
        <v>4</v>
      </c>
      <c r="K439" t="s">
        <v>4</v>
      </c>
      <c r="L439" t="s">
        <v>47</v>
      </c>
      <c r="M439">
        <f>[1]!orders[[#This Row],[Ship Date]]-[1]!orders[[#This Row],[Order Date]]</f>
        <v>11</v>
      </c>
      <c r="N439">
        <f>WEEKNUM([1]!orders[[#This Row],[Order Date]])</f>
        <v>4</v>
      </c>
      <c r="O439" t="str" cm="1">
        <f t="array" ref="O439">_xlfn.IFS([1]!orders[[#This Row],[Customer Gender]]="M","Male", [1]!orders[[#This Row],[Customer Gender]]="F","Female", [1]!orders[[#This Row],[Customer Gender]]="O","Other", TRUE,"Unknown")</f>
        <v>Male</v>
      </c>
    </row>
    <row r="440" spans="1:15" x14ac:dyDescent="0.25">
      <c r="A440" s="1" t="s">
        <v>511</v>
      </c>
      <c r="B440" s="1" t="s">
        <v>29</v>
      </c>
      <c r="C440" s="1">
        <v>2</v>
      </c>
      <c r="D440" s="1">
        <v>47.5</v>
      </c>
      <c r="E440" s="1">
        <v>95</v>
      </c>
      <c r="F440" s="2">
        <v>45677</v>
      </c>
      <c r="G440" s="2">
        <v>45679</v>
      </c>
      <c r="H440" s="1" t="s">
        <v>12</v>
      </c>
      <c r="I440" s="1" t="s">
        <v>20</v>
      </c>
      <c r="J440" s="1">
        <v>4</v>
      </c>
      <c r="K440" s="1" t="s">
        <v>4</v>
      </c>
      <c r="L440" s="1" t="s">
        <v>47</v>
      </c>
      <c r="M440" s="1">
        <f>[1]!orders[[#This Row],[Ship Date]]-[1]!orders[[#This Row],[Order Date]]</f>
        <v>2</v>
      </c>
      <c r="N440" s="1">
        <f>WEEKNUM([1]!orders[[#This Row],[Order Date]])</f>
        <v>4</v>
      </c>
      <c r="O440" t="str" cm="1">
        <f t="array" ref="O440">_xlfn.IFS([1]!orders[[#This Row],[Customer Gender]]="M","Male", [1]!orders[[#This Row],[Customer Gender]]="F","Female", [1]!orders[[#This Row],[Customer Gender]]="O","Other", TRUE,"Unknown")</f>
        <v>Female</v>
      </c>
    </row>
    <row r="441" spans="1:15" x14ac:dyDescent="0.25">
      <c r="A441" t="s">
        <v>512</v>
      </c>
      <c r="B441" t="s">
        <v>24</v>
      </c>
      <c r="C441">
        <v>5</v>
      </c>
      <c r="D441">
        <v>45.6</v>
      </c>
      <c r="E441">
        <v>228</v>
      </c>
      <c r="F441" s="3">
        <v>45677</v>
      </c>
      <c r="G441" s="3">
        <v>45679</v>
      </c>
      <c r="H441" t="s">
        <v>12</v>
      </c>
      <c r="I441" t="s">
        <v>3</v>
      </c>
      <c r="J441">
        <v>5</v>
      </c>
      <c r="K441" t="s">
        <v>4</v>
      </c>
      <c r="L441" t="s">
        <v>47</v>
      </c>
      <c r="M441">
        <f>[1]!orders[[#This Row],[Ship Date]]-[1]!orders[[#This Row],[Order Date]]</f>
        <v>2</v>
      </c>
      <c r="N441">
        <f>WEEKNUM([1]!orders[[#This Row],[Order Date]])</f>
        <v>4</v>
      </c>
      <c r="O441" t="str" cm="1">
        <f t="array" ref="O441">_xlfn.IFS([1]!orders[[#This Row],[Customer Gender]]="M","Male", [1]!orders[[#This Row],[Customer Gender]]="F","Female", [1]!orders[[#This Row],[Customer Gender]]="O","Other", TRUE,"Unknown")</f>
        <v>Female</v>
      </c>
    </row>
    <row r="442" spans="1:15" x14ac:dyDescent="0.25">
      <c r="A442" s="1" t="s">
        <v>513</v>
      </c>
      <c r="B442" s="1" t="s">
        <v>31</v>
      </c>
      <c r="C442" s="1">
        <v>2</v>
      </c>
      <c r="D442" s="1">
        <v>50.5</v>
      </c>
      <c r="E442" s="1">
        <v>101</v>
      </c>
      <c r="F442" s="2">
        <v>45677</v>
      </c>
      <c r="G442" s="2">
        <v>45679</v>
      </c>
      <c r="H442" s="1" t="s">
        <v>8</v>
      </c>
      <c r="I442" s="1" t="s">
        <v>3</v>
      </c>
      <c r="J442" s="1">
        <v>3</v>
      </c>
      <c r="K442" s="1" t="s">
        <v>4</v>
      </c>
      <c r="L442" s="1" t="s">
        <v>88</v>
      </c>
      <c r="M442" s="1">
        <f>[1]!orders[[#This Row],[Ship Date]]-[1]!orders[[#This Row],[Order Date]]</f>
        <v>2</v>
      </c>
      <c r="N442" s="1">
        <f>WEEKNUM([1]!orders[[#This Row],[Order Date]])</f>
        <v>4</v>
      </c>
      <c r="O442" t="str" cm="1">
        <f t="array" ref="O442">_xlfn.IFS([1]!orders[[#This Row],[Customer Gender]]="M","Male", [1]!orders[[#This Row],[Customer Gender]]="F","Female", [1]!orders[[#This Row],[Customer Gender]]="O","Other", TRUE,"Unknown")</f>
        <v>Male</v>
      </c>
    </row>
    <row r="443" spans="1:15" x14ac:dyDescent="0.25">
      <c r="A443" t="s">
        <v>514</v>
      </c>
      <c r="B443" t="s">
        <v>11</v>
      </c>
      <c r="C443">
        <v>10</v>
      </c>
      <c r="D443">
        <v>99.8</v>
      </c>
      <c r="E443">
        <v>998</v>
      </c>
      <c r="F443" s="3">
        <v>45677</v>
      </c>
      <c r="G443" s="3">
        <v>45680</v>
      </c>
      <c r="H443" t="s">
        <v>12</v>
      </c>
      <c r="I443" t="s">
        <v>25</v>
      </c>
      <c r="J443">
        <v>3</v>
      </c>
      <c r="K443" t="s">
        <v>4</v>
      </c>
      <c r="L443" t="s">
        <v>88</v>
      </c>
      <c r="M443">
        <f>[1]!orders[[#This Row],[Ship Date]]-[1]!orders[[#This Row],[Order Date]]</f>
        <v>3</v>
      </c>
      <c r="N443">
        <f>WEEKNUM([1]!orders[[#This Row],[Order Date]])</f>
        <v>4</v>
      </c>
      <c r="O443" t="str" cm="1">
        <f t="array" ref="O443">_xlfn.IFS([1]!orders[[#This Row],[Customer Gender]]="M","Male", [1]!orders[[#This Row],[Customer Gender]]="F","Female", [1]!orders[[#This Row],[Customer Gender]]="O","Other", TRUE,"Unknown")</f>
        <v>Female</v>
      </c>
    </row>
    <row r="444" spans="1:15" x14ac:dyDescent="0.25">
      <c r="A444" s="1" t="s">
        <v>515</v>
      </c>
      <c r="B444" s="1" t="s">
        <v>29</v>
      </c>
      <c r="C444" s="1">
        <v>15</v>
      </c>
      <c r="D444" s="1">
        <v>19.2</v>
      </c>
      <c r="E444" s="1">
        <v>288</v>
      </c>
      <c r="F444" s="2">
        <v>45677</v>
      </c>
      <c r="G444" s="2">
        <v>45679</v>
      </c>
      <c r="H444" s="1" t="s">
        <v>74</v>
      </c>
      <c r="I444" s="1" t="s">
        <v>55</v>
      </c>
      <c r="J444" s="1">
        <v>3</v>
      </c>
      <c r="K444" s="1" t="s">
        <v>4</v>
      </c>
      <c r="L444" s="1" t="s">
        <v>186</v>
      </c>
      <c r="M444" s="1">
        <f>[1]!orders[[#This Row],[Ship Date]]-[1]!orders[[#This Row],[Order Date]]</f>
        <v>2</v>
      </c>
      <c r="N444" s="1">
        <f>WEEKNUM([1]!orders[[#This Row],[Order Date]])</f>
        <v>4</v>
      </c>
      <c r="O444" t="str" cm="1">
        <f t="array" ref="O444">_xlfn.IFS([1]!orders[[#This Row],[Customer Gender]]="M","Male", [1]!orders[[#This Row],[Customer Gender]]="F","Female", [1]!orders[[#This Row],[Customer Gender]]="O","Other", TRUE,"Unknown")</f>
        <v>Other</v>
      </c>
    </row>
    <row r="445" spans="1:15" x14ac:dyDescent="0.25">
      <c r="A445" t="s">
        <v>516</v>
      </c>
      <c r="B445" t="s">
        <v>120</v>
      </c>
      <c r="C445">
        <v>3</v>
      </c>
      <c r="D445">
        <v>22.6</v>
      </c>
      <c r="E445">
        <v>67.800000000000011</v>
      </c>
      <c r="F445" s="3">
        <v>45677</v>
      </c>
      <c r="G445" s="3">
        <v>45678</v>
      </c>
      <c r="H445" t="s">
        <v>8</v>
      </c>
      <c r="I445" t="s">
        <v>20</v>
      </c>
      <c r="J445">
        <v>4</v>
      </c>
      <c r="K445" t="s">
        <v>4</v>
      </c>
      <c r="L445" t="s">
        <v>62</v>
      </c>
      <c r="M445">
        <f>[1]!orders[[#This Row],[Ship Date]]-[1]!orders[[#This Row],[Order Date]]</f>
        <v>1</v>
      </c>
      <c r="N445">
        <f>WEEKNUM([1]!orders[[#This Row],[Order Date]])</f>
        <v>4</v>
      </c>
      <c r="O445" t="str" cm="1">
        <f t="array" ref="O445">_xlfn.IFS([1]!orders[[#This Row],[Customer Gender]]="M","Male", [1]!orders[[#This Row],[Customer Gender]]="F","Female", [1]!orders[[#This Row],[Customer Gender]]="O","Other", TRUE,"Unknown")</f>
        <v>Male</v>
      </c>
    </row>
    <row r="446" spans="1:15" x14ac:dyDescent="0.25">
      <c r="A446" s="1" t="s">
        <v>517</v>
      </c>
      <c r="B446" s="1" t="s">
        <v>7</v>
      </c>
      <c r="C446" s="1">
        <v>15</v>
      </c>
      <c r="D446" s="1">
        <v>126.9</v>
      </c>
      <c r="E446" s="1">
        <v>1903.5</v>
      </c>
      <c r="F446" s="2">
        <v>45677</v>
      </c>
      <c r="G446" s="2">
        <v>45679</v>
      </c>
      <c r="H446" s="1" t="s">
        <v>12</v>
      </c>
      <c r="I446" s="1" t="s">
        <v>3</v>
      </c>
      <c r="J446" s="1">
        <v>5</v>
      </c>
      <c r="K446" s="1" t="s">
        <v>4</v>
      </c>
      <c r="L446" s="1" t="s">
        <v>62</v>
      </c>
      <c r="M446" s="1">
        <f>[1]!orders[[#This Row],[Ship Date]]-[1]!orders[[#This Row],[Order Date]]</f>
        <v>2</v>
      </c>
      <c r="N446" s="1">
        <f>WEEKNUM([1]!orders[[#This Row],[Order Date]])</f>
        <v>4</v>
      </c>
      <c r="O446" t="str" cm="1">
        <f t="array" ref="O446">_xlfn.IFS([1]!orders[[#This Row],[Customer Gender]]="M","Male", [1]!orders[[#This Row],[Customer Gender]]="F","Female", [1]!orders[[#This Row],[Customer Gender]]="O","Other", TRUE,"Unknown")</f>
        <v>Female</v>
      </c>
    </row>
    <row r="447" spans="1:15" x14ac:dyDescent="0.25">
      <c r="A447" t="s">
        <v>518</v>
      </c>
      <c r="B447" t="s">
        <v>11</v>
      </c>
      <c r="C447">
        <v>2</v>
      </c>
      <c r="D447">
        <v>100.3</v>
      </c>
      <c r="E447">
        <v>200.6</v>
      </c>
      <c r="F447" s="3">
        <v>45677</v>
      </c>
      <c r="G447" s="3">
        <v>45678</v>
      </c>
      <c r="H447" t="s">
        <v>12</v>
      </c>
      <c r="I447" t="s">
        <v>3</v>
      </c>
      <c r="J447">
        <v>3</v>
      </c>
      <c r="K447" t="s">
        <v>4</v>
      </c>
      <c r="L447" t="s">
        <v>62</v>
      </c>
      <c r="M447">
        <f>[1]!orders[[#This Row],[Ship Date]]-[1]!orders[[#This Row],[Order Date]]</f>
        <v>1</v>
      </c>
      <c r="N447">
        <f>WEEKNUM([1]!orders[[#This Row],[Order Date]])</f>
        <v>4</v>
      </c>
      <c r="O447" t="str" cm="1">
        <f t="array" ref="O447">_xlfn.IFS([1]!orders[[#This Row],[Customer Gender]]="M","Male", [1]!orders[[#This Row],[Customer Gender]]="F","Female", [1]!orders[[#This Row],[Customer Gender]]="O","Other", TRUE,"Unknown")</f>
        <v>Female</v>
      </c>
    </row>
    <row r="448" spans="1:15" x14ac:dyDescent="0.25">
      <c r="A448" s="1" t="s">
        <v>519</v>
      </c>
      <c r="B448" s="1" t="s">
        <v>17</v>
      </c>
      <c r="C448" s="1">
        <v>18</v>
      </c>
      <c r="D448" s="1">
        <v>24.6</v>
      </c>
      <c r="E448" s="1">
        <v>442.8</v>
      </c>
      <c r="F448" s="2">
        <v>45677</v>
      </c>
      <c r="G448" s="2">
        <v>45678</v>
      </c>
      <c r="H448" s="1" t="s">
        <v>12</v>
      </c>
      <c r="I448" s="1" t="s">
        <v>55</v>
      </c>
      <c r="J448" s="1">
        <v>4</v>
      </c>
      <c r="K448" s="1" t="s">
        <v>4</v>
      </c>
      <c r="L448" s="1" t="s">
        <v>67</v>
      </c>
      <c r="M448" s="1">
        <f>[1]!orders[[#This Row],[Ship Date]]-[1]!orders[[#This Row],[Order Date]]</f>
        <v>1</v>
      </c>
      <c r="N448" s="1">
        <f>WEEKNUM([1]!orders[[#This Row],[Order Date]])</f>
        <v>4</v>
      </c>
      <c r="O448" t="str" cm="1">
        <f t="array" ref="O448">_xlfn.IFS([1]!orders[[#This Row],[Customer Gender]]="M","Male", [1]!orders[[#This Row],[Customer Gender]]="F","Female", [1]!orders[[#This Row],[Customer Gender]]="O","Other", TRUE,"Unknown")</f>
        <v>Female</v>
      </c>
    </row>
    <row r="449" spans="1:15" x14ac:dyDescent="0.25">
      <c r="A449" t="s">
        <v>520</v>
      </c>
      <c r="B449" t="s">
        <v>24</v>
      </c>
      <c r="C449">
        <v>2</v>
      </c>
      <c r="D449">
        <v>47.3</v>
      </c>
      <c r="E449">
        <v>94.6</v>
      </c>
      <c r="F449" s="3">
        <v>45677</v>
      </c>
      <c r="G449" s="3">
        <v>45678</v>
      </c>
      <c r="H449" t="s">
        <v>8</v>
      </c>
      <c r="I449" t="s">
        <v>20</v>
      </c>
      <c r="J449">
        <v>5</v>
      </c>
      <c r="K449" t="s">
        <v>4</v>
      </c>
      <c r="L449" t="s">
        <v>67</v>
      </c>
      <c r="M449">
        <f>[1]!orders[[#This Row],[Ship Date]]-[1]!orders[[#This Row],[Order Date]]</f>
        <v>1</v>
      </c>
      <c r="N449">
        <f>WEEKNUM([1]!orders[[#This Row],[Order Date]])</f>
        <v>4</v>
      </c>
      <c r="O449" t="str" cm="1">
        <f t="array" ref="O449">_xlfn.IFS([1]!orders[[#This Row],[Customer Gender]]="M","Male", [1]!orders[[#This Row],[Customer Gender]]="F","Female", [1]!orders[[#This Row],[Customer Gender]]="O","Other", TRUE,"Unknown")</f>
        <v>Male</v>
      </c>
    </row>
    <row r="450" spans="1:15" x14ac:dyDescent="0.25">
      <c r="A450" s="1" t="s">
        <v>521</v>
      </c>
      <c r="B450" s="1" t="s">
        <v>24</v>
      </c>
      <c r="C450" s="1">
        <v>7</v>
      </c>
      <c r="D450" s="1">
        <v>40.799999999999997</v>
      </c>
      <c r="E450" s="1">
        <v>285.59999999999997</v>
      </c>
      <c r="F450" s="2">
        <v>45677</v>
      </c>
      <c r="G450" s="2">
        <v>45680</v>
      </c>
      <c r="H450" s="1" t="s">
        <v>12</v>
      </c>
      <c r="I450" s="1" t="s">
        <v>25</v>
      </c>
      <c r="J450" s="1">
        <v>5</v>
      </c>
      <c r="K450" s="1" t="s">
        <v>4</v>
      </c>
      <c r="L450" s="1" t="s">
        <v>100</v>
      </c>
      <c r="M450" s="1">
        <f>[1]!orders[[#This Row],[Ship Date]]-[1]!orders[[#This Row],[Order Date]]</f>
        <v>3</v>
      </c>
      <c r="N450" s="1">
        <f>WEEKNUM([1]!orders[[#This Row],[Order Date]])</f>
        <v>4</v>
      </c>
      <c r="O450" t="str" cm="1">
        <f t="array" ref="O450">_xlfn.IFS([1]!orders[[#This Row],[Customer Gender]]="M","Male", [1]!orders[[#This Row],[Customer Gender]]="F","Female", [1]!orders[[#This Row],[Customer Gender]]="O","Other", TRUE,"Unknown")</f>
        <v>Female</v>
      </c>
    </row>
    <row r="451" spans="1:15" x14ac:dyDescent="0.25">
      <c r="A451" t="s">
        <v>522</v>
      </c>
      <c r="B451" t="s">
        <v>29</v>
      </c>
      <c r="C451">
        <v>8</v>
      </c>
      <c r="D451">
        <v>49.2</v>
      </c>
      <c r="E451">
        <v>393.6</v>
      </c>
      <c r="F451" s="3">
        <v>45677</v>
      </c>
      <c r="G451" s="3">
        <v>45679</v>
      </c>
      <c r="H451" t="s">
        <v>12</v>
      </c>
      <c r="I451" t="s">
        <v>3</v>
      </c>
      <c r="J451">
        <v>4</v>
      </c>
      <c r="K451" t="s">
        <v>4</v>
      </c>
      <c r="L451" t="s">
        <v>9</v>
      </c>
      <c r="M451">
        <f>[1]!orders[[#This Row],[Ship Date]]-[1]!orders[[#This Row],[Order Date]]</f>
        <v>2</v>
      </c>
      <c r="N451">
        <f>WEEKNUM([1]!orders[[#This Row],[Order Date]])</f>
        <v>4</v>
      </c>
      <c r="O451" t="str" cm="1">
        <f t="array" ref="O451">_xlfn.IFS([1]!orders[[#This Row],[Customer Gender]]="M","Male", [1]!orders[[#This Row],[Customer Gender]]="F","Female", [1]!orders[[#This Row],[Customer Gender]]="O","Other", TRUE,"Unknown")</f>
        <v>Female</v>
      </c>
    </row>
    <row r="452" spans="1:15" x14ac:dyDescent="0.25">
      <c r="A452" s="1" t="s">
        <v>523</v>
      </c>
      <c r="B452" s="1" t="s">
        <v>29</v>
      </c>
      <c r="C452" s="1">
        <v>1</v>
      </c>
      <c r="D452" s="1">
        <v>28.5</v>
      </c>
      <c r="E452" s="1">
        <v>28.5</v>
      </c>
      <c r="F452" s="2">
        <v>45677</v>
      </c>
      <c r="G452" s="2">
        <v>45679</v>
      </c>
      <c r="H452" s="1" t="s">
        <v>2</v>
      </c>
      <c r="I452" s="1" t="s">
        <v>25</v>
      </c>
      <c r="J452" s="1">
        <v>3</v>
      </c>
      <c r="K452" s="1" t="s">
        <v>4</v>
      </c>
      <c r="L452" s="1" t="s">
        <v>18</v>
      </c>
      <c r="M452" s="1">
        <f>[1]!orders[[#This Row],[Ship Date]]-[1]!orders[[#This Row],[Order Date]]</f>
        <v>2</v>
      </c>
      <c r="N452" s="1">
        <f>WEEKNUM([1]!orders[[#This Row],[Order Date]])</f>
        <v>4</v>
      </c>
      <c r="O452" t="str" cm="1">
        <f t="array" ref="O452">_xlfn.IFS([1]!orders[[#This Row],[Customer Gender]]="M","Male", [1]!orders[[#This Row],[Customer Gender]]="F","Female", [1]!orders[[#This Row],[Customer Gender]]="O","Other", TRUE,"Unknown")</f>
        <v>Unknown</v>
      </c>
    </row>
    <row r="453" spans="1:15" x14ac:dyDescent="0.25">
      <c r="A453" t="s">
        <v>524</v>
      </c>
      <c r="B453" t="s">
        <v>131</v>
      </c>
      <c r="C453">
        <v>2</v>
      </c>
      <c r="D453">
        <v>36.799999999999997</v>
      </c>
      <c r="E453">
        <v>73.599999999999994</v>
      </c>
      <c r="F453" s="3">
        <v>45677</v>
      </c>
      <c r="G453" s="3">
        <v>45683</v>
      </c>
      <c r="H453" t="s">
        <v>12</v>
      </c>
      <c r="I453" t="s">
        <v>3</v>
      </c>
      <c r="J453">
        <v>5</v>
      </c>
      <c r="K453" t="s">
        <v>4</v>
      </c>
      <c r="L453" t="s">
        <v>18</v>
      </c>
      <c r="M453">
        <f>[1]!orders[[#This Row],[Ship Date]]-[1]!orders[[#This Row],[Order Date]]</f>
        <v>6</v>
      </c>
      <c r="N453">
        <f>WEEKNUM([1]!orders[[#This Row],[Order Date]])</f>
        <v>4</v>
      </c>
      <c r="O453" t="str" cm="1">
        <f t="array" ref="O453">_xlfn.IFS([1]!orders[[#This Row],[Customer Gender]]="M","Male", [1]!orders[[#This Row],[Customer Gender]]="F","Female", [1]!orders[[#This Row],[Customer Gender]]="O","Other", TRUE,"Unknown")</f>
        <v>Female</v>
      </c>
    </row>
    <row r="454" spans="1:15" x14ac:dyDescent="0.25">
      <c r="A454" s="1" t="s">
        <v>525</v>
      </c>
      <c r="B454" s="1" t="s">
        <v>27</v>
      </c>
      <c r="C454" s="1">
        <v>3</v>
      </c>
      <c r="D454" s="1">
        <v>33.5</v>
      </c>
      <c r="E454" s="1">
        <v>100.5</v>
      </c>
      <c r="F454" s="2">
        <v>45677</v>
      </c>
      <c r="G454" s="2">
        <v>45678</v>
      </c>
      <c r="H454" s="1" t="s">
        <v>12</v>
      </c>
      <c r="I454" s="1" t="s">
        <v>3</v>
      </c>
      <c r="J454" s="1">
        <v>3</v>
      </c>
      <c r="K454" s="1" t="s">
        <v>4</v>
      </c>
      <c r="L454" s="1" t="s">
        <v>18</v>
      </c>
      <c r="M454" s="1">
        <f>[1]!orders[[#This Row],[Ship Date]]-[1]!orders[[#This Row],[Order Date]]</f>
        <v>1</v>
      </c>
      <c r="N454" s="1">
        <f>WEEKNUM([1]!orders[[#This Row],[Order Date]])</f>
        <v>4</v>
      </c>
      <c r="O454" t="str" cm="1">
        <f t="array" ref="O454">_xlfn.IFS([1]!orders[[#This Row],[Customer Gender]]="M","Male", [1]!orders[[#This Row],[Customer Gender]]="F","Female", [1]!orders[[#This Row],[Customer Gender]]="O","Other", TRUE,"Unknown")</f>
        <v>Female</v>
      </c>
    </row>
    <row r="455" spans="1:15" x14ac:dyDescent="0.25">
      <c r="A455" t="s">
        <v>526</v>
      </c>
      <c r="B455" t="s">
        <v>24</v>
      </c>
      <c r="C455">
        <v>6</v>
      </c>
      <c r="D455">
        <v>62.5</v>
      </c>
      <c r="E455">
        <v>375</v>
      </c>
      <c r="F455" s="3">
        <v>45677</v>
      </c>
      <c r="G455" s="3">
        <v>45679</v>
      </c>
      <c r="H455" t="s">
        <v>12</v>
      </c>
      <c r="I455" t="s">
        <v>3</v>
      </c>
      <c r="J455">
        <v>4</v>
      </c>
      <c r="K455" t="s">
        <v>4</v>
      </c>
      <c r="L455" t="s">
        <v>18</v>
      </c>
      <c r="M455">
        <f>[1]!orders[[#This Row],[Ship Date]]-[1]!orders[[#This Row],[Order Date]]</f>
        <v>2</v>
      </c>
      <c r="N455">
        <f>WEEKNUM([1]!orders[[#This Row],[Order Date]])</f>
        <v>4</v>
      </c>
      <c r="O455" t="str" cm="1">
        <f t="array" ref="O455">_xlfn.IFS([1]!orders[[#This Row],[Customer Gender]]="M","Male", [1]!orders[[#This Row],[Customer Gender]]="F","Female", [1]!orders[[#This Row],[Customer Gender]]="O","Other", TRUE,"Unknown")</f>
        <v>Female</v>
      </c>
    </row>
    <row r="456" spans="1:15" x14ac:dyDescent="0.25">
      <c r="A456" s="1" t="s">
        <v>527</v>
      </c>
      <c r="B456" s="1" t="s">
        <v>29</v>
      </c>
      <c r="C456" s="1">
        <v>40</v>
      </c>
      <c r="D456" s="1">
        <v>47.9</v>
      </c>
      <c r="E456" s="1">
        <v>1916</v>
      </c>
      <c r="F456" s="2">
        <v>45677</v>
      </c>
      <c r="G456" s="2">
        <v>45678</v>
      </c>
      <c r="H456" s="1" t="s">
        <v>12</v>
      </c>
      <c r="I456" s="1" t="s">
        <v>36</v>
      </c>
      <c r="J456" s="1">
        <v>4</v>
      </c>
      <c r="K456" s="1" t="s">
        <v>4</v>
      </c>
      <c r="L456" s="1" t="s">
        <v>18</v>
      </c>
      <c r="M456" s="1">
        <f>[1]!orders[[#This Row],[Ship Date]]-[1]!orders[[#This Row],[Order Date]]</f>
        <v>1</v>
      </c>
      <c r="N456" s="1">
        <f>WEEKNUM([1]!orders[[#This Row],[Order Date]])</f>
        <v>4</v>
      </c>
      <c r="O456" t="str" cm="1">
        <f t="array" ref="O456">_xlfn.IFS([1]!orders[[#This Row],[Customer Gender]]="M","Male", [1]!orders[[#This Row],[Customer Gender]]="F","Female", [1]!orders[[#This Row],[Customer Gender]]="O","Other", TRUE,"Unknown")</f>
        <v>Female</v>
      </c>
    </row>
    <row r="457" spans="1:15" x14ac:dyDescent="0.25">
      <c r="A457" t="s">
        <v>528</v>
      </c>
      <c r="B457" t="s">
        <v>24</v>
      </c>
      <c r="C457">
        <v>6</v>
      </c>
      <c r="D457">
        <v>92.9</v>
      </c>
      <c r="E457">
        <v>557.40000000000009</v>
      </c>
      <c r="F457" s="3">
        <v>45677</v>
      </c>
      <c r="G457" s="3">
        <v>45688</v>
      </c>
      <c r="H457" t="s">
        <v>12</v>
      </c>
      <c r="I457" t="s">
        <v>3</v>
      </c>
      <c r="J457">
        <v>2</v>
      </c>
      <c r="K457" t="s">
        <v>4</v>
      </c>
      <c r="L457" t="s">
        <v>18</v>
      </c>
      <c r="M457">
        <f>[1]!orders[[#This Row],[Ship Date]]-[1]!orders[[#This Row],[Order Date]]</f>
        <v>11</v>
      </c>
      <c r="N457">
        <f>WEEKNUM([1]!orders[[#This Row],[Order Date]])</f>
        <v>4</v>
      </c>
      <c r="O457" t="str" cm="1">
        <f t="array" ref="O457">_xlfn.IFS([1]!orders[[#This Row],[Customer Gender]]="M","Male", [1]!orders[[#This Row],[Customer Gender]]="F","Female", [1]!orders[[#This Row],[Customer Gender]]="O","Other", TRUE,"Unknown")</f>
        <v>Female</v>
      </c>
    </row>
    <row r="458" spans="1:15" x14ac:dyDescent="0.25">
      <c r="A458" s="1" t="s">
        <v>529</v>
      </c>
      <c r="B458" s="1" t="s">
        <v>54</v>
      </c>
      <c r="C458" s="1">
        <v>3</v>
      </c>
      <c r="D458" s="1">
        <v>44.1</v>
      </c>
      <c r="E458" s="1">
        <v>132.30000000000001</v>
      </c>
      <c r="F458" s="2">
        <v>45677</v>
      </c>
      <c r="G458" s="2">
        <v>45677</v>
      </c>
      <c r="H458" s="1" t="s">
        <v>12</v>
      </c>
      <c r="I458" s="1" t="s">
        <v>20</v>
      </c>
      <c r="J458" s="1">
        <v>3</v>
      </c>
      <c r="K458" s="1" t="s">
        <v>4</v>
      </c>
      <c r="L458" s="1" t="s">
        <v>530</v>
      </c>
      <c r="M458" s="1">
        <f>[1]!orders[[#This Row],[Ship Date]]-[1]!orders[[#This Row],[Order Date]]</f>
        <v>0</v>
      </c>
      <c r="N458" s="1">
        <f>WEEKNUM([1]!orders[[#This Row],[Order Date]])</f>
        <v>4</v>
      </c>
      <c r="O458" t="str" cm="1">
        <f t="array" ref="O458">_xlfn.IFS([1]!orders[[#This Row],[Customer Gender]]="M","Male", [1]!orders[[#This Row],[Customer Gender]]="F","Female", [1]!orders[[#This Row],[Customer Gender]]="O","Other", TRUE,"Unknown")</f>
        <v>Female</v>
      </c>
    </row>
    <row r="459" spans="1:15" x14ac:dyDescent="0.25">
      <c r="A459" t="s">
        <v>531</v>
      </c>
      <c r="B459" t="s">
        <v>1</v>
      </c>
      <c r="C459">
        <v>1</v>
      </c>
      <c r="D459">
        <v>11.4</v>
      </c>
      <c r="E459">
        <v>11.4</v>
      </c>
      <c r="F459" s="3">
        <v>45678</v>
      </c>
      <c r="G459" s="3">
        <v>45680</v>
      </c>
      <c r="H459" t="s">
        <v>12</v>
      </c>
      <c r="I459" t="s">
        <v>25</v>
      </c>
      <c r="J459">
        <v>4</v>
      </c>
      <c r="K459" t="s">
        <v>4</v>
      </c>
      <c r="L459" t="s">
        <v>37</v>
      </c>
      <c r="M459">
        <f>[1]!orders[[#This Row],[Ship Date]]-[1]!orders[[#This Row],[Order Date]]</f>
        <v>2</v>
      </c>
      <c r="N459">
        <f>WEEKNUM([1]!orders[[#This Row],[Order Date]])</f>
        <v>4</v>
      </c>
      <c r="O459" t="str" cm="1">
        <f t="array" ref="O459">_xlfn.IFS([1]!orders[[#This Row],[Customer Gender]]="M","Male", [1]!orders[[#This Row],[Customer Gender]]="F","Female", [1]!orders[[#This Row],[Customer Gender]]="O","Other", TRUE,"Unknown")</f>
        <v>Female</v>
      </c>
    </row>
    <row r="460" spans="1:15" x14ac:dyDescent="0.25">
      <c r="A460" s="1" t="s">
        <v>532</v>
      </c>
      <c r="B460" s="1" t="s">
        <v>24</v>
      </c>
      <c r="C460" s="1">
        <v>1</v>
      </c>
      <c r="D460" s="1">
        <v>83.7</v>
      </c>
      <c r="E460" s="1">
        <v>83.7</v>
      </c>
      <c r="F460" s="2">
        <v>45678</v>
      </c>
      <c r="G460" s="2">
        <v>45680</v>
      </c>
      <c r="H460" s="1" t="s">
        <v>12</v>
      </c>
      <c r="I460" s="1" t="s">
        <v>3</v>
      </c>
      <c r="J460" s="1">
        <v>5</v>
      </c>
      <c r="K460" s="1" t="s">
        <v>4</v>
      </c>
      <c r="L460" s="1" t="s">
        <v>40</v>
      </c>
      <c r="M460" s="1">
        <f>[1]!orders[[#This Row],[Ship Date]]-[1]!orders[[#This Row],[Order Date]]</f>
        <v>2</v>
      </c>
      <c r="N460" s="1">
        <f>WEEKNUM([1]!orders[[#This Row],[Order Date]])</f>
        <v>4</v>
      </c>
      <c r="O460" t="str" cm="1">
        <f t="array" ref="O460">_xlfn.IFS([1]!orders[[#This Row],[Customer Gender]]="M","Male", [1]!orders[[#This Row],[Customer Gender]]="F","Female", [1]!orders[[#This Row],[Customer Gender]]="O","Other", TRUE,"Unknown")</f>
        <v>Female</v>
      </c>
    </row>
    <row r="461" spans="1:15" x14ac:dyDescent="0.25">
      <c r="A461" t="s">
        <v>533</v>
      </c>
      <c r="B461" t="s">
        <v>39</v>
      </c>
      <c r="C461">
        <v>2</v>
      </c>
      <c r="D461">
        <v>23.2</v>
      </c>
      <c r="E461">
        <v>46.4</v>
      </c>
      <c r="F461" s="3">
        <v>45678</v>
      </c>
      <c r="G461" s="3">
        <v>45679</v>
      </c>
      <c r="H461" t="s">
        <v>8</v>
      </c>
      <c r="I461" t="s">
        <v>25</v>
      </c>
      <c r="J461">
        <v>4</v>
      </c>
      <c r="K461" t="s">
        <v>4</v>
      </c>
      <c r="L461" t="s">
        <v>47</v>
      </c>
      <c r="M461">
        <f>[1]!orders[[#This Row],[Ship Date]]-[1]!orders[[#This Row],[Order Date]]</f>
        <v>1</v>
      </c>
      <c r="N461">
        <f>WEEKNUM([1]!orders[[#This Row],[Order Date]])</f>
        <v>4</v>
      </c>
      <c r="O461" t="str" cm="1">
        <f t="array" ref="O461">_xlfn.IFS([1]!orders[[#This Row],[Customer Gender]]="M","Male", [1]!orders[[#This Row],[Customer Gender]]="F","Female", [1]!orders[[#This Row],[Customer Gender]]="O","Other", TRUE,"Unknown")</f>
        <v>Male</v>
      </c>
    </row>
    <row r="462" spans="1:15" x14ac:dyDescent="0.25">
      <c r="A462" s="1" t="s">
        <v>534</v>
      </c>
      <c r="B462" s="1" t="s">
        <v>11</v>
      </c>
      <c r="C462" s="1">
        <v>1</v>
      </c>
      <c r="D462" s="1">
        <v>162.1</v>
      </c>
      <c r="E462" s="1">
        <v>162.1</v>
      </c>
      <c r="F462" s="2">
        <v>45678</v>
      </c>
      <c r="G462" s="2">
        <v>45681</v>
      </c>
      <c r="H462" s="1" t="s">
        <v>12</v>
      </c>
      <c r="I462" s="1" t="s">
        <v>3</v>
      </c>
      <c r="J462" s="1">
        <v>5</v>
      </c>
      <c r="K462" s="1" t="s">
        <v>4</v>
      </c>
      <c r="L462" s="1" t="s">
        <v>57</v>
      </c>
      <c r="M462" s="1">
        <f>[1]!orders[[#This Row],[Ship Date]]-[1]!orders[[#This Row],[Order Date]]</f>
        <v>3</v>
      </c>
      <c r="N462" s="1">
        <f>WEEKNUM([1]!orders[[#This Row],[Order Date]])</f>
        <v>4</v>
      </c>
      <c r="O462" t="str" cm="1">
        <f t="array" ref="O462">_xlfn.IFS([1]!orders[[#This Row],[Customer Gender]]="M","Male", [1]!orders[[#This Row],[Customer Gender]]="F","Female", [1]!orders[[#This Row],[Customer Gender]]="O","Other", TRUE,"Unknown")</f>
        <v>Female</v>
      </c>
    </row>
    <row r="463" spans="1:15" x14ac:dyDescent="0.25">
      <c r="A463" t="s">
        <v>535</v>
      </c>
      <c r="B463" t="s">
        <v>24</v>
      </c>
      <c r="C463">
        <v>4</v>
      </c>
      <c r="D463">
        <v>49.2</v>
      </c>
      <c r="E463">
        <v>196.8</v>
      </c>
      <c r="F463" s="3">
        <v>45678</v>
      </c>
      <c r="G463" s="3">
        <v>45682</v>
      </c>
      <c r="H463" t="s">
        <v>8</v>
      </c>
      <c r="I463" t="s">
        <v>20</v>
      </c>
      <c r="J463">
        <v>4</v>
      </c>
      <c r="K463" t="s">
        <v>4</v>
      </c>
      <c r="L463" t="s">
        <v>57</v>
      </c>
      <c r="M463">
        <f>[1]!orders[[#This Row],[Ship Date]]-[1]!orders[[#This Row],[Order Date]]</f>
        <v>4</v>
      </c>
      <c r="N463">
        <f>WEEKNUM([1]!orders[[#This Row],[Order Date]])</f>
        <v>4</v>
      </c>
      <c r="O463" t="str" cm="1">
        <f t="array" ref="O463">_xlfn.IFS([1]!orders[[#This Row],[Customer Gender]]="M","Male", [1]!orders[[#This Row],[Customer Gender]]="F","Female", [1]!orders[[#This Row],[Customer Gender]]="O","Other", TRUE,"Unknown")</f>
        <v>Male</v>
      </c>
    </row>
    <row r="464" spans="1:15" x14ac:dyDescent="0.25">
      <c r="A464" s="1" t="s">
        <v>536</v>
      </c>
      <c r="B464" s="1" t="s">
        <v>7</v>
      </c>
      <c r="C464" s="1">
        <v>2</v>
      </c>
      <c r="D464" s="1">
        <v>61</v>
      </c>
      <c r="E464" s="1">
        <v>122</v>
      </c>
      <c r="F464" s="2">
        <v>45678</v>
      </c>
      <c r="G464" s="2">
        <v>45679</v>
      </c>
      <c r="H464" s="1" t="s">
        <v>8</v>
      </c>
      <c r="I464" s="1" t="s">
        <v>36</v>
      </c>
      <c r="J464" s="1">
        <v>4</v>
      </c>
      <c r="K464" s="1" t="s">
        <v>4</v>
      </c>
      <c r="L464" s="1" t="s">
        <v>59</v>
      </c>
      <c r="M464" s="1">
        <f>[1]!orders[[#This Row],[Ship Date]]-[1]!orders[[#This Row],[Order Date]]</f>
        <v>1</v>
      </c>
      <c r="N464" s="1">
        <f>WEEKNUM([1]!orders[[#This Row],[Order Date]])</f>
        <v>4</v>
      </c>
      <c r="O464" t="str" cm="1">
        <f t="array" ref="O464">_xlfn.IFS([1]!orders[[#This Row],[Customer Gender]]="M","Male", [1]!orders[[#This Row],[Customer Gender]]="F","Female", [1]!orders[[#This Row],[Customer Gender]]="O","Other", TRUE,"Unknown")</f>
        <v>Male</v>
      </c>
    </row>
    <row r="465" spans="1:15" x14ac:dyDescent="0.25">
      <c r="A465" t="s">
        <v>537</v>
      </c>
      <c r="B465" t="s">
        <v>11</v>
      </c>
      <c r="C465">
        <v>10</v>
      </c>
      <c r="D465">
        <v>53.1</v>
      </c>
      <c r="E465">
        <v>531</v>
      </c>
      <c r="F465" s="3">
        <v>45678</v>
      </c>
      <c r="G465" s="3">
        <v>45680</v>
      </c>
      <c r="H465" t="s">
        <v>8</v>
      </c>
      <c r="I465" t="s">
        <v>3</v>
      </c>
      <c r="J465">
        <v>4</v>
      </c>
      <c r="K465" t="s">
        <v>4</v>
      </c>
      <c r="L465" t="s">
        <v>62</v>
      </c>
      <c r="M465">
        <f>[1]!orders[[#This Row],[Ship Date]]-[1]!orders[[#This Row],[Order Date]]</f>
        <v>2</v>
      </c>
      <c r="N465">
        <f>WEEKNUM([1]!orders[[#This Row],[Order Date]])</f>
        <v>4</v>
      </c>
      <c r="O465" t="str" cm="1">
        <f t="array" ref="O465">_xlfn.IFS([1]!orders[[#This Row],[Customer Gender]]="M","Male", [1]!orders[[#This Row],[Customer Gender]]="F","Female", [1]!orders[[#This Row],[Customer Gender]]="O","Other", TRUE,"Unknown")</f>
        <v>Male</v>
      </c>
    </row>
    <row r="466" spans="1:15" x14ac:dyDescent="0.25">
      <c r="A466" s="1" t="s">
        <v>538</v>
      </c>
      <c r="B466" s="1" t="s">
        <v>17</v>
      </c>
      <c r="C466" s="1">
        <v>2</v>
      </c>
      <c r="D466" s="1">
        <v>22.4</v>
      </c>
      <c r="E466" s="1">
        <v>44.8</v>
      </c>
      <c r="F466" s="2">
        <v>45678</v>
      </c>
      <c r="G466" s="2">
        <v>45680</v>
      </c>
      <c r="H466" s="1" t="s">
        <v>2</v>
      </c>
      <c r="I466" s="1" t="s">
        <v>20</v>
      </c>
      <c r="J466" s="1">
        <v>5</v>
      </c>
      <c r="K466" s="1" t="s">
        <v>4</v>
      </c>
      <c r="L466" s="1" t="s">
        <v>67</v>
      </c>
      <c r="M466" s="1">
        <f>[1]!orders[[#This Row],[Ship Date]]-[1]!orders[[#This Row],[Order Date]]</f>
        <v>2</v>
      </c>
      <c r="N466" s="1">
        <f>WEEKNUM([1]!orders[[#This Row],[Order Date]])</f>
        <v>4</v>
      </c>
      <c r="O466" t="str" cm="1">
        <f t="array" ref="O466">_xlfn.IFS([1]!orders[[#This Row],[Customer Gender]]="M","Male", [1]!orders[[#This Row],[Customer Gender]]="F","Female", [1]!orders[[#This Row],[Customer Gender]]="O","Other", TRUE,"Unknown")</f>
        <v>Unknown</v>
      </c>
    </row>
    <row r="467" spans="1:15" x14ac:dyDescent="0.25">
      <c r="A467" t="s">
        <v>539</v>
      </c>
      <c r="B467" t="s">
        <v>7</v>
      </c>
      <c r="C467">
        <v>5</v>
      </c>
      <c r="D467">
        <v>75.3</v>
      </c>
      <c r="E467">
        <v>376.5</v>
      </c>
      <c r="F467" s="3">
        <v>45678</v>
      </c>
      <c r="G467" s="3">
        <v>45679</v>
      </c>
      <c r="H467" t="s">
        <v>8</v>
      </c>
      <c r="I467" t="s">
        <v>3</v>
      </c>
      <c r="J467">
        <v>4</v>
      </c>
      <c r="K467" t="s">
        <v>4</v>
      </c>
      <c r="L467" t="s">
        <v>100</v>
      </c>
      <c r="M467">
        <f>[1]!orders[[#This Row],[Ship Date]]-[1]!orders[[#This Row],[Order Date]]</f>
        <v>1</v>
      </c>
      <c r="N467">
        <f>WEEKNUM([1]!orders[[#This Row],[Order Date]])</f>
        <v>4</v>
      </c>
      <c r="O467" t="str" cm="1">
        <f t="array" ref="O467">_xlfn.IFS([1]!orders[[#This Row],[Customer Gender]]="M","Male", [1]!orders[[#This Row],[Customer Gender]]="F","Female", [1]!orders[[#This Row],[Customer Gender]]="O","Other", TRUE,"Unknown")</f>
        <v>Male</v>
      </c>
    </row>
    <row r="468" spans="1:15" x14ac:dyDescent="0.25">
      <c r="A468" s="1" t="s">
        <v>540</v>
      </c>
      <c r="B468" s="1" t="s">
        <v>24</v>
      </c>
      <c r="C468" s="1">
        <v>1</v>
      </c>
      <c r="D468" s="1">
        <v>48.5</v>
      </c>
      <c r="E468" s="1">
        <v>48.5</v>
      </c>
      <c r="F468" s="2">
        <v>45678</v>
      </c>
      <c r="G468" s="2">
        <v>45679</v>
      </c>
      <c r="H468" s="1" t="s">
        <v>12</v>
      </c>
      <c r="I468" s="1" t="s">
        <v>3</v>
      </c>
      <c r="J468" s="1">
        <v>3</v>
      </c>
      <c r="K468" s="1" t="s">
        <v>4</v>
      </c>
      <c r="L468" s="1" t="s">
        <v>100</v>
      </c>
      <c r="M468" s="1">
        <f>[1]!orders[[#This Row],[Ship Date]]-[1]!orders[[#This Row],[Order Date]]</f>
        <v>1</v>
      </c>
      <c r="N468" s="1">
        <f>WEEKNUM([1]!orders[[#This Row],[Order Date]])</f>
        <v>4</v>
      </c>
      <c r="O468" t="str" cm="1">
        <f t="array" ref="O468">_xlfn.IFS([1]!orders[[#This Row],[Customer Gender]]="M","Male", [1]!orders[[#This Row],[Customer Gender]]="F","Female", [1]!orders[[#This Row],[Customer Gender]]="O","Other", TRUE,"Unknown")</f>
        <v>Female</v>
      </c>
    </row>
    <row r="469" spans="1:15" x14ac:dyDescent="0.25">
      <c r="A469" t="s">
        <v>541</v>
      </c>
      <c r="B469" t="s">
        <v>24</v>
      </c>
      <c r="C469">
        <v>1</v>
      </c>
      <c r="D469">
        <v>42.6</v>
      </c>
      <c r="E469">
        <v>42.6</v>
      </c>
      <c r="F469" s="3">
        <v>45678</v>
      </c>
      <c r="G469" s="3">
        <v>45682</v>
      </c>
      <c r="H469" t="s">
        <v>12</v>
      </c>
      <c r="I469" t="s">
        <v>36</v>
      </c>
      <c r="J469">
        <v>4</v>
      </c>
      <c r="K469" t="s">
        <v>4</v>
      </c>
      <c r="L469" t="s">
        <v>9</v>
      </c>
      <c r="M469">
        <f>[1]!orders[[#This Row],[Ship Date]]-[1]!orders[[#This Row],[Order Date]]</f>
        <v>4</v>
      </c>
      <c r="N469">
        <f>WEEKNUM([1]!orders[[#This Row],[Order Date]])</f>
        <v>4</v>
      </c>
      <c r="O469" t="str" cm="1">
        <f t="array" ref="O469">_xlfn.IFS([1]!orders[[#This Row],[Customer Gender]]="M","Male", [1]!orders[[#This Row],[Customer Gender]]="F","Female", [1]!orders[[#This Row],[Customer Gender]]="O","Other", TRUE,"Unknown")</f>
        <v>Female</v>
      </c>
    </row>
    <row r="470" spans="1:15" x14ac:dyDescent="0.25">
      <c r="A470" s="1" t="s">
        <v>542</v>
      </c>
      <c r="B470" s="1" t="s">
        <v>22</v>
      </c>
      <c r="C470" s="1">
        <v>5</v>
      </c>
      <c r="D470" s="1">
        <v>49</v>
      </c>
      <c r="E470" s="1">
        <v>245</v>
      </c>
      <c r="F470" s="2">
        <v>45678</v>
      </c>
      <c r="G470" s="2">
        <v>45679</v>
      </c>
      <c r="H470" s="1" t="s">
        <v>8</v>
      </c>
      <c r="I470" s="1" t="s">
        <v>3</v>
      </c>
      <c r="J470" s="1">
        <v>4</v>
      </c>
      <c r="K470" s="1" t="s">
        <v>4</v>
      </c>
      <c r="L470" s="1" t="s">
        <v>132</v>
      </c>
      <c r="M470" s="1">
        <f>[1]!orders[[#This Row],[Ship Date]]-[1]!orders[[#This Row],[Order Date]]</f>
        <v>1</v>
      </c>
      <c r="N470" s="1">
        <f>WEEKNUM([1]!orders[[#This Row],[Order Date]])</f>
        <v>4</v>
      </c>
      <c r="O470" t="str" cm="1">
        <f t="array" ref="O470">_xlfn.IFS([1]!orders[[#This Row],[Customer Gender]]="M","Male", [1]!orders[[#This Row],[Customer Gender]]="F","Female", [1]!orders[[#This Row],[Customer Gender]]="O","Other", TRUE,"Unknown")</f>
        <v>Male</v>
      </c>
    </row>
    <row r="471" spans="1:15" x14ac:dyDescent="0.25">
      <c r="A471" t="s">
        <v>543</v>
      </c>
      <c r="B471" t="s">
        <v>29</v>
      </c>
      <c r="C471">
        <v>3</v>
      </c>
      <c r="D471">
        <v>31.3</v>
      </c>
      <c r="E471">
        <v>93.9</v>
      </c>
      <c r="F471" s="3">
        <v>45678</v>
      </c>
      <c r="G471" s="3">
        <v>45679</v>
      </c>
      <c r="H471" t="s">
        <v>8</v>
      </c>
      <c r="I471" t="s">
        <v>25</v>
      </c>
      <c r="J471">
        <v>3</v>
      </c>
      <c r="K471" t="s">
        <v>4</v>
      </c>
      <c r="L471" t="s">
        <v>18</v>
      </c>
      <c r="M471">
        <f>[1]!orders[[#This Row],[Ship Date]]-[1]!orders[[#This Row],[Order Date]]</f>
        <v>1</v>
      </c>
      <c r="N471">
        <f>WEEKNUM([1]!orders[[#This Row],[Order Date]])</f>
        <v>4</v>
      </c>
      <c r="O471" t="str" cm="1">
        <f t="array" ref="O471">_xlfn.IFS([1]!orders[[#This Row],[Customer Gender]]="M","Male", [1]!orders[[#This Row],[Customer Gender]]="F","Female", [1]!orders[[#This Row],[Customer Gender]]="O","Other", TRUE,"Unknown")</f>
        <v>Male</v>
      </c>
    </row>
    <row r="472" spans="1:15" x14ac:dyDescent="0.25">
      <c r="A472" s="1" t="s">
        <v>544</v>
      </c>
      <c r="B472" s="1" t="s">
        <v>11</v>
      </c>
      <c r="C472" s="1">
        <v>2</v>
      </c>
      <c r="D472" s="1">
        <v>85.4</v>
      </c>
      <c r="E472" s="1">
        <v>170.8</v>
      </c>
      <c r="F472" s="2">
        <v>45678</v>
      </c>
      <c r="G472" s="2">
        <v>45679</v>
      </c>
      <c r="H472" s="1" t="s">
        <v>12</v>
      </c>
      <c r="I472" s="1" t="s">
        <v>25</v>
      </c>
      <c r="J472" s="1">
        <v>4</v>
      </c>
      <c r="K472" s="1" t="s">
        <v>4</v>
      </c>
      <c r="L472" s="1" t="s">
        <v>18</v>
      </c>
      <c r="M472" s="1">
        <f>[1]!orders[[#This Row],[Ship Date]]-[1]!orders[[#This Row],[Order Date]]</f>
        <v>1</v>
      </c>
      <c r="N472" s="1">
        <f>WEEKNUM([1]!orders[[#This Row],[Order Date]])</f>
        <v>4</v>
      </c>
      <c r="O472" t="str" cm="1">
        <f t="array" ref="O472">_xlfn.IFS([1]!orders[[#This Row],[Customer Gender]]="M","Male", [1]!orders[[#This Row],[Customer Gender]]="F","Female", [1]!orders[[#This Row],[Customer Gender]]="O","Other", TRUE,"Unknown")</f>
        <v>Female</v>
      </c>
    </row>
    <row r="473" spans="1:15" x14ac:dyDescent="0.25">
      <c r="A473" t="s">
        <v>545</v>
      </c>
      <c r="B473" t="s">
        <v>29</v>
      </c>
      <c r="C473">
        <v>4</v>
      </c>
      <c r="D473">
        <v>40</v>
      </c>
      <c r="E473">
        <v>160</v>
      </c>
      <c r="F473" s="3">
        <v>45678</v>
      </c>
      <c r="G473" s="3">
        <v>45679</v>
      </c>
      <c r="H473" t="s">
        <v>74</v>
      </c>
      <c r="I473" t="s">
        <v>3</v>
      </c>
      <c r="J473">
        <v>5</v>
      </c>
      <c r="K473" t="s">
        <v>4</v>
      </c>
      <c r="L473" t="s">
        <v>18</v>
      </c>
      <c r="M473">
        <f>[1]!orders[[#This Row],[Ship Date]]-[1]!orders[[#This Row],[Order Date]]</f>
        <v>1</v>
      </c>
      <c r="N473">
        <f>WEEKNUM([1]!orders[[#This Row],[Order Date]])</f>
        <v>4</v>
      </c>
      <c r="O473" t="str" cm="1">
        <f t="array" ref="O473">_xlfn.IFS([1]!orders[[#This Row],[Customer Gender]]="M","Male", [1]!orders[[#This Row],[Customer Gender]]="F","Female", [1]!orders[[#This Row],[Customer Gender]]="O","Other", TRUE,"Unknown")</f>
        <v>Other</v>
      </c>
    </row>
    <row r="474" spans="1:15" x14ac:dyDescent="0.25">
      <c r="A474" s="1" t="s">
        <v>546</v>
      </c>
      <c r="B474" s="1" t="s">
        <v>22</v>
      </c>
      <c r="C474" s="1">
        <v>2</v>
      </c>
      <c r="D474" s="1">
        <v>38.5</v>
      </c>
      <c r="E474" s="1">
        <v>77</v>
      </c>
      <c r="F474" s="2">
        <v>45678</v>
      </c>
      <c r="G474" s="2">
        <v>45681</v>
      </c>
      <c r="H474" s="1" t="s">
        <v>8</v>
      </c>
      <c r="I474" s="1" t="s">
        <v>20</v>
      </c>
      <c r="J474" s="1">
        <v>5</v>
      </c>
      <c r="K474" s="1" t="s">
        <v>4</v>
      </c>
      <c r="L474" s="1" t="s">
        <v>18</v>
      </c>
      <c r="M474" s="1">
        <f>[1]!orders[[#This Row],[Ship Date]]-[1]!orders[[#This Row],[Order Date]]</f>
        <v>3</v>
      </c>
      <c r="N474" s="1">
        <f>WEEKNUM([1]!orders[[#This Row],[Order Date]])</f>
        <v>4</v>
      </c>
      <c r="O474" t="str" cm="1">
        <f t="array" ref="O474">_xlfn.IFS([1]!orders[[#This Row],[Customer Gender]]="M","Male", [1]!orders[[#This Row],[Customer Gender]]="F","Female", [1]!orders[[#This Row],[Customer Gender]]="O","Other", TRUE,"Unknown")</f>
        <v>Male</v>
      </c>
    </row>
    <row r="475" spans="1:15" x14ac:dyDescent="0.25">
      <c r="A475" t="s">
        <v>547</v>
      </c>
      <c r="B475" t="s">
        <v>11</v>
      </c>
      <c r="C475">
        <v>2</v>
      </c>
      <c r="D475">
        <v>57.8</v>
      </c>
      <c r="E475">
        <v>115.6</v>
      </c>
      <c r="F475" s="3">
        <v>45678</v>
      </c>
      <c r="G475" s="3">
        <v>45679</v>
      </c>
      <c r="H475" t="s">
        <v>2</v>
      </c>
      <c r="I475" t="s">
        <v>3</v>
      </c>
      <c r="J475">
        <v>4</v>
      </c>
      <c r="K475" t="s">
        <v>4</v>
      </c>
      <c r="L475" t="s">
        <v>18</v>
      </c>
      <c r="M475">
        <f>[1]!orders[[#This Row],[Ship Date]]-[1]!orders[[#This Row],[Order Date]]</f>
        <v>1</v>
      </c>
      <c r="N475">
        <f>WEEKNUM([1]!orders[[#This Row],[Order Date]])</f>
        <v>4</v>
      </c>
      <c r="O475" t="str" cm="1">
        <f t="array" ref="O475">_xlfn.IFS([1]!orders[[#This Row],[Customer Gender]]="M","Male", [1]!orders[[#This Row],[Customer Gender]]="F","Female", [1]!orders[[#This Row],[Customer Gender]]="O","Other", TRUE,"Unknown")</f>
        <v>Unknown</v>
      </c>
    </row>
    <row r="476" spans="1:15" x14ac:dyDescent="0.25">
      <c r="A476" s="1" t="s">
        <v>548</v>
      </c>
      <c r="B476" s="1" t="s">
        <v>29</v>
      </c>
      <c r="C476" s="1">
        <v>1</v>
      </c>
      <c r="D476" s="1">
        <v>19.2</v>
      </c>
      <c r="E476" s="1">
        <v>19.2</v>
      </c>
      <c r="F476" s="2">
        <v>45678</v>
      </c>
      <c r="G476" s="2">
        <v>45679</v>
      </c>
      <c r="H476" s="1" t="s">
        <v>12</v>
      </c>
      <c r="I476" s="1" t="s">
        <v>3</v>
      </c>
      <c r="J476" s="1">
        <v>2</v>
      </c>
      <c r="K476" s="1" t="s">
        <v>4</v>
      </c>
      <c r="L476" s="1" t="s">
        <v>18</v>
      </c>
      <c r="M476" s="1">
        <f>[1]!orders[[#This Row],[Ship Date]]-[1]!orders[[#This Row],[Order Date]]</f>
        <v>1</v>
      </c>
      <c r="N476" s="1">
        <f>WEEKNUM([1]!orders[[#This Row],[Order Date]])</f>
        <v>4</v>
      </c>
      <c r="O476" t="str" cm="1">
        <f t="array" ref="O476">_xlfn.IFS([1]!orders[[#This Row],[Customer Gender]]="M","Male", [1]!orders[[#This Row],[Customer Gender]]="F","Female", [1]!orders[[#This Row],[Customer Gender]]="O","Other", TRUE,"Unknown")</f>
        <v>Female</v>
      </c>
    </row>
    <row r="477" spans="1:15" x14ac:dyDescent="0.25">
      <c r="A477" t="s">
        <v>549</v>
      </c>
      <c r="B477" t="s">
        <v>24</v>
      </c>
      <c r="C477">
        <v>6</v>
      </c>
      <c r="D477">
        <v>114.8</v>
      </c>
      <c r="E477">
        <v>688.8</v>
      </c>
      <c r="F477" s="3">
        <v>45678</v>
      </c>
      <c r="G477" s="3">
        <v>45681</v>
      </c>
      <c r="H477" t="s">
        <v>8</v>
      </c>
      <c r="I477" t="s">
        <v>20</v>
      </c>
      <c r="J477">
        <v>3</v>
      </c>
      <c r="K477" t="s">
        <v>4</v>
      </c>
      <c r="L477" t="s">
        <v>18</v>
      </c>
      <c r="M477">
        <f>[1]!orders[[#This Row],[Ship Date]]-[1]!orders[[#This Row],[Order Date]]</f>
        <v>3</v>
      </c>
      <c r="N477">
        <f>WEEKNUM([1]!orders[[#This Row],[Order Date]])</f>
        <v>4</v>
      </c>
      <c r="O477" t="str" cm="1">
        <f t="array" ref="O477">_xlfn.IFS([1]!orders[[#This Row],[Customer Gender]]="M","Male", [1]!orders[[#This Row],[Customer Gender]]="F","Female", [1]!orders[[#This Row],[Customer Gender]]="O","Other", TRUE,"Unknown")</f>
        <v>Male</v>
      </c>
    </row>
    <row r="478" spans="1:15" x14ac:dyDescent="0.25">
      <c r="A478" s="1" t="s">
        <v>550</v>
      </c>
      <c r="B478" s="1" t="s">
        <v>39</v>
      </c>
      <c r="C478" s="1">
        <v>7</v>
      </c>
      <c r="D478" s="1">
        <v>48.4</v>
      </c>
      <c r="E478" s="1">
        <v>338.8</v>
      </c>
      <c r="F478" s="2">
        <v>45678</v>
      </c>
      <c r="G478" s="2">
        <v>45681</v>
      </c>
      <c r="H478" s="1" t="s">
        <v>12</v>
      </c>
      <c r="I478" s="1" t="s">
        <v>36</v>
      </c>
      <c r="J478" s="1">
        <v>3</v>
      </c>
      <c r="K478" s="1" t="s">
        <v>4</v>
      </c>
      <c r="L478" s="1" t="s">
        <v>18</v>
      </c>
      <c r="M478" s="1">
        <f>[1]!orders[[#This Row],[Ship Date]]-[1]!orders[[#This Row],[Order Date]]</f>
        <v>3</v>
      </c>
      <c r="N478" s="1">
        <f>WEEKNUM([1]!orders[[#This Row],[Order Date]])</f>
        <v>4</v>
      </c>
      <c r="O478" t="str" cm="1">
        <f t="array" ref="O478">_xlfn.IFS([1]!orders[[#This Row],[Customer Gender]]="M","Male", [1]!orders[[#This Row],[Customer Gender]]="F","Female", [1]!orders[[#This Row],[Customer Gender]]="O","Other", TRUE,"Unknown")</f>
        <v>Female</v>
      </c>
    </row>
    <row r="479" spans="1:15" x14ac:dyDescent="0.25">
      <c r="A479" t="s">
        <v>551</v>
      </c>
      <c r="B479" t="s">
        <v>31</v>
      </c>
      <c r="C479">
        <v>5</v>
      </c>
      <c r="D479">
        <v>73.2</v>
      </c>
      <c r="E479">
        <v>366</v>
      </c>
      <c r="F479" s="3">
        <v>45678</v>
      </c>
      <c r="G479" s="3">
        <v>45679</v>
      </c>
      <c r="H479" t="s">
        <v>12</v>
      </c>
      <c r="I479" t="s">
        <v>20</v>
      </c>
      <c r="J479">
        <v>2</v>
      </c>
      <c r="K479" t="s">
        <v>4</v>
      </c>
      <c r="L479" t="s">
        <v>18</v>
      </c>
      <c r="M479">
        <f>[1]!orders[[#This Row],[Ship Date]]-[1]!orders[[#This Row],[Order Date]]</f>
        <v>1</v>
      </c>
      <c r="N479">
        <f>WEEKNUM([1]!orders[[#This Row],[Order Date]])</f>
        <v>4</v>
      </c>
      <c r="O479" t="str" cm="1">
        <f t="array" ref="O479">_xlfn.IFS([1]!orders[[#This Row],[Customer Gender]]="M","Male", [1]!orders[[#This Row],[Customer Gender]]="F","Female", [1]!orders[[#This Row],[Customer Gender]]="O","Other", TRUE,"Unknown")</f>
        <v>Female</v>
      </c>
    </row>
    <row r="480" spans="1:15" x14ac:dyDescent="0.25">
      <c r="A480" s="1" t="s">
        <v>552</v>
      </c>
      <c r="B480" s="1" t="s">
        <v>108</v>
      </c>
      <c r="C480" s="1">
        <v>2</v>
      </c>
      <c r="D480" s="1">
        <v>48.6</v>
      </c>
      <c r="E480" s="1">
        <v>97.2</v>
      </c>
      <c r="F480" s="2">
        <v>45678</v>
      </c>
      <c r="G480" s="2">
        <v>45682</v>
      </c>
      <c r="H480" s="1" t="s">
        <v>12</v>
      </c>
      <c r="I480" s="1" t="s">
        <v>36</v>
      </c>
      <c r="J480" s="1">
        <v>4</v>
      </c>
      <c r="K480" s="1" t="s">
        <v>4</v>
      </c>
      <c r="L480" s="1" t="s">
        <v>18</v>
      </c>
      <c r="M480" s="1">
        <f>[1]!orders[[#This Row],[Ship Date]]-[1]!orders[[#This Row],[Order Date]]</f>
        <v>4</v>
      </c>
      <c r="N480" s="1">
        <f>WEEKNUM([1]!orders[[#This Row],[Order Date]])</f>
        <v>4</v>
      </c>
      <c r="O480" t="str" cm="1">
        <f t="array" ref="O480">_xlfn.IFS([1]!orders[[#This Row],[Customer Gender]]="M","Male", [1]!orders[[#This Row],[Customer Gender]]="F","Female", [1]!orders[[#This Row],[Customer Gender]]="O","Other", TRUE,"Unknown")</f>
        <v>Female</v>
      </c>
    </row>
    <row r="481" spans="1:15" x14ac:dyDescent="0.25">
      <c r="A481" t="s">
        <v>553</v>
      </c>
      <c r="B481" t="s">
        <v>1</v>
      </c>
      <c r="C481">
        <v>6</v>
      </c>
      <c r="D481">
        <v>48.7</v>
      </c>
      <c r="E481">
        <v>292.20000000000005</v>
      </c>
      <c r="F481" s="3">
        <v>45678</v>
      </c>
      <c r="G481" s="3">
        <v>45679</v>
      </c>
      <c r="H481" t="s">
        <v>8</v>
      </c>
      <c r="I481" t="s">
        <v>3</v>
      </c>
      <c r="J481">
        <v>4</v>
      </c>
      <c r="K481" t="s">
        <v>4</v>
      </c>
      <c r="L481" t="s">
        <v>18</v>
      </c>
      <c r="M481">
        <f>[1]!orders[[#This Row],[Ship Date]]-[1]!orders[[#This Row],[Order Date]]</f>
        <v>1</v>
      </c>
      <c r="N481">
        <f>WEEKNUM([1]!orders[[#This Row],[Order Date]])</f>
        <v>4</v>
      </c>
      <c r="O481" t="str" cm="1">
        <f t="array" ref="O481">_xlfn.IFS([1]!orders[[#This Row],[Customer Gender]]="M","Male", [1]!orders[[#This Row],[Customer Gender]]="F","Female", [1]!orders[[#This Row],[Customer Gender]]="O","Other", TRUE,"Unknown")</f>
        <v>Male</v>
      </c>
    </row>
    <row r="482" spans="1:15" x14ac:dyDescent="0.25">
      <c r="A482" s="1" t="s">
        <v>554</v>
      </c>
      <c r="B482" s="1" t="s">
        <v>17</v>
      </c>
      <c r="C482" s="1">
        <v>2</v>
      </c>
      <c r="D482" s="1">
        <v>32.200000000000003</v>
      </c>
      <c r="E482" s="1">
        <v>64.400000000000006</v>
      </c>
      <c r="F482" s="2">
        <v>45678</v>
      </c>
      <c r="G482" s="2">
        <v>45681</v>
      </c>
      <c r="H482" s="1" t="s">
        <v>8</v>
      </c>
      <c r="I482" s="1" t="s">
        <v>25</v>
      </c>
      <c r="J482" s="1">
        <v>5</v>
      </c>
      <c r="K482" s="1" t="s">
        <v>4</v>
      </c>
      <c r="L482" s="1" t="s">
        <v>18</v>
      </c>
      <c r="M482" s="1">
        <f>[1]!orders[[#This Row],[Ship Date]]-[1]!orders[[#This Row],[Order Date]]</f>
        <v>3</v>
      </c>
      <c r="N482" s="1">
        <f>WEEKNUM([1]!orders[[#This Row],[Order Date]])</f>
        <v>4</v>
      </c>
      <c r="O482" t="str" cm="1">
        <f t="array" ref="O482">_xlfn.IFS([1]!orders[[#This Row],[Customer Gender]]="M","Male", [1]!orders[[#This Row],[Customer Gender]]="F","Female", [1]!orders[[#This Row],[Customer Gender]]="O","Other", TRUE,"Unknown")</f>
        <v>Male</v>
      </c>
    </row>
    <row r="483" spans="1:15" x14ac:dyDescent="0.25">
      <c r="A483" t="s">
        <v>555</v>
      </c>
      <c r="B483" t="s">
        <v>108</v>
      </c>
      <c r="C483">
        <v>8</v>
      </c>
      <c r="D483">
        <v>25.8</v>
      </c>
      <c r="E483">
        <v>206.4</v>
      </c>
      <c r="F483" s="3">
        <v>45678</v>
      </c>
      <c r="G483" s="3">
        <v>45679</v>
      </c>
      <c r="H483" t="s">
        <v>8</v>
      </c>
      <c r="I483" t="s">
        <v>3</v>
      </c>
      <c r="J483">
        <v>4</v>
      </c>
      <c r="K483" t="s">
        <v>4</v>
      </c>
      <c r="L483" t="s">
        <v>349</v>
      </c>
      <c r="M483">
        <f>[1]!orders[[#This Row],[Ship Date]]-[1]!orders[[#This Row],[Order Date]]</f>
        <v>1</v>
      </c>
      <c r="N483">
        <f>WEEKNUM([1]!orders[[#This Row],[Order Date]])</f>
        <v>4</v>
      </c>
      <c r="O483" t="str" cm="1">
        <f t="array" ref="O483">_xlfn.IFS([1]!orders[[#This Row],[Customer Gender]]="M","Male", [1]!orders[[#This Row],[Customer Gender]]="F","Female", [1]!orders[[#This Row],[Customer Gender]]="O","Other", TRUE,"Unknown")</f>
        <v>Male</v>
      </c>
    </row>
    <row r="484" spans="1:15" x14ac:dyDescent="0.25">
      <c r="A484" s="1" t="s">
        <v>556</v>
      </c>
      <c r="B484" s="1" t="s">
        <v>24</v>
      </c>
      <c r="C484" s="1">
        <v>2</v>
      </c>
      <c r="D484" s="1">
        <v>94.8</v>
      </c>
      <c r="E484" s="1">
        <v>189.6</v>
      </c>
      <c r="F484" s="2">
        <v>45679</v>
      </c>
      <c r="G484" s="2">
        <v>45682</v>
      </c>
      <c r="H484" s="1" t="s">
        <v>12</v>
      </c>
      <c r="I484" s="1" t="s">
        <v>20</v>
      </c>
      <c r="J484" s="1">
        <v>3</v>
      </c>
      <c r="K484" s="1" t="s">
        <v>4</v>
      </c>
      <c r="L484" s="1" t="s">
        <v>173</v>
      </c>
      <c r="M484" s="1">
        <f>[1]!orders[[#This Row],[Ship Date]]-[1]!orders[[#This Row],[Order Date]]</f>
        <v>3</v>
      </c>
      <c r="N484" s="1">
        <f>WEEKNUM([1]!orders[[#This Row],[Order Date]])</f>
        <v>4</v>
      </c>
      <c r="O484" t="str" cm="1">
        <f t="array" ref="O484">_xlfn.IFS([1]!orders[[#This Row],[Customer Gender]]="M","Male", [1]!orders[[#This Row],[Customer Gender]]="F","Female", [1]!orders[[#This Row],[Customer Gender]]="O","Other", TRUE,"Unknown")</f>
        <v>Female</v>
      </c>
    </row>
    <row r="485" spans="1:15" x14ac:dyDescent="0.25">
      <c r="A485" t="s">
        <v>557</v>
      </c>
      <c r="B485" t="s">
        <v>108</v>
      </c>
      <c r="C485">
        <v>25</v>
      </c>
      <c r="D485">
        <v>56.8</v>
      </c>
      <c r="E485">
        <v>1420</v>
      </c>
      <c r="F485" s="3">
        <v>45679</v>
      </c>
      <c r="G485" s="3">
        <v>45682</v>
      </c>
      <c r="H485" t="s">
        <v>8</v>
      </c>
      <c r="I485" t="s">
        <v>3</v>
      </c>
      <c r="J485">
        <v>4</v>
      </c>
      <c r="K485" t="s">
        <v>4</v>
      </c>
      <c r="L485" t="s">
        <v>173</v>
      </c>
      <c r="M485">
        <f>[1]!orders[[#This Row],[Ship Date]]-[1]!orders[[#This Row],[Order Date]]</f>
        <v>3</v>
      </c>
      <c r="N485">
        <f>WEEKNUM([1]!orders[[#This Row],[Order Date]])</f>
        <v>4</v>
      </c>
      <c r="O485" t="str" cm="1">
        <f t="array" ref="O485">_xlfn.IFS([1]!orders[[#This Row],[Customer Gender]]="M","Male", [1]!orders[[#This Row],[Customer Gender]]="F","Female", [1]!orders[[#This Row],[Customer Gender]]="O","Other", TRUE,"Unknown")</f>
        <v>Male</v>
      </c>
    </row>
    <row r="486" spans="1:15" x14ac:dyDescent="0.25">
      <c r="A486" s="1" t="s">
        <v>558</v>
      </c>
      <c r="B486" s="1" t="s">
        <v>29</v>
      </c>
      <c r="C486" s="1">
        <v>16</v>
      </c>
      <c r="D486" s="1">
        <v>18.3</v>
      </c>
      <c r="E486" s="1">
        <v>292.8</v>
      </c>
      <c r="F486" s="2">
        <v>45679</v>
      </c>
      <c r="G486" s="2">
        <v>45686</v>
      </c>
      <c r="H486" s="1" t="s">
        <v>12</v>
      </c>
      <c r="I486" s="1" t="s">
        <v>25</v>
      </c>
      <c r="J486" s="1">
        <v>5</v>
      </c>
      <c r="K486" s="1" t="s">
        <v>4</v>
      </c>
      <c r="L486" s="1" t="s">
        <v>143</v>
      </c>
      <c r="M486" s="1">
        <f>[1]!orders[[#This Row],[Ship Date]]-[1]!orders[[#This Row],[Order Date]]</f>
        <v>7</v>
      </c>
      <c r="N486" s="1">
        <f>WEEKNUM([1]!orders[[#This Row],[Order Date]])</f>
        <v>4</v>
      </c>
      <c r="O486" t="str" cm="1">
        <f t="array" ref="O486">_xlfn.IFS([1]!orders[[#This Row],[Customer Gender]]="M","Male", [1]!orders[[#This Row],[Customer Gender]]="F","Female", [1]!orders[[#This Row],[Customer Gender]]="O","Other", TRUE,"Unknown")</f>
        <v>Female</v>
      </c>
    </row>
    <row r="487" spans="1:15" x14ac:dyDescent="0.25">
      <c r="A487" t="s">
        <v>559</v>
      </c>
      <c r="B487" t="s">
        <v>1</v>
      </c>
      <c r="C487">
        <v>3</v>
      </c>
      <c r="D487">
        <v>16.8</v>
      </c>
      <c r="E487">
        <v>50.400000000000006</v>
      </c>
      <c r="F487" s="3">
        <v>45679</v>
      </c>
      <c r="G487" s="3">
        <v>45684</v>
      </c>
      <c r="H487" t="s">
        <v>12</v>
      </c>
      <c r="I487" t="s">
        <v>25</v>
      </c>
      <c r="J487">
        <v>5</v>
      </c>
      <c r="K487" t="s">
        <v>4</v>
      </c>
      <c r="L487" t="s">
        <v>47</v>
      </c>
      <c r="M487">
        <f>[1]!orders[[#This Row],[Ship Date]]-[1]!orders[[#This Row],[Order Date]]</f>
        <v>5</v>
      </c>
      <c r="N487">
        <f>WEEKNUM([1]!orders[[#This Row],[Order Date]])</f>
        <v>4</v>
      </c>
      <c r="O487" t="str" cm="1">
        <f t="array" ref="O487">_xlfn.IFS([1]!orders[[#This Row],[Customer Gender]]="M","Male", [1]!orders[[#This Row],[Customer Gender]]="F","Female", [1]!orders[[#This Row],[Customer Gender]]="O","Other", TRUE,"Unknown")</f>
        <v>Female</v>
      </c>
    </row>
    <row r="488" spans="1:15" x14ac:dyDescent="0.25">
      <c r="A488" s="1" t="s">
        <v>560</v>
      </c>
      <c r="B488" s="1" t="s">
        <v>22</v>
      </c>
      <c r="C488" s="1">
        <v>11</v>
      </c>
      <c r="D488" s="1">
        <v>35.799999999999997</v>
      </c>
      <c r="E488" s="1">
        <v>393.79999999999995</v>
      </c>
      <c r="F488" s="2">
        <v>45679</v>
      </c>
      <c r="G488" s="2">
        <v>45680</v>
      </c>
      <c r="H488" s="1" t="s">
        <v>8</v>
      </c>
      <c r="I488" s="1" t="s">
        <v>20</v>
      </c>
      <c r="J488" s="1">
        <v>4</v>
      </c>
      <c r="K488" s="1" t="s">
        <v>4</v>
      </c>
      <c r="L488" s="1" t="s">
        <v>88</v>
      </c>
      <c r="M488" s="1">
        <f>[1]!orders[[#This Row],[Ship Date]]-[1]!orders[[#This Row],[Order Date]]</f>
        <v>1</v>
      </c>
      <c r="N488" s="1">
        <f>WEEKNUM([1]!orders[[#This Row],[Order Date]])</f>
        <v>4</v>
      </c>
      <c r="O488" t="str" cm="1">
        <f t="array" ref="O488">_xlfn.IFS([1]!orders[[#This Row],[Customer Gender]]="M","Male", [1]!orders[[#This Row],[Customer Gender]]="F","Female", [1]!orders[[#This Row],[Customer Gender]]="O","Other", TRUE,"Unknown")</f>
        <v>Male</v>
      </c>
    </row>
    <row r="489" spans="1:15" x14ac:dyDescent="0.25">
      <c r="A489" t="s">
        <v>561</v>
      </c>
      <c r="B489" t="s">
        <v>131</v>
      </c>
      <c r="C489">
        <v>1</v>
      </c>
      <c r="D489">
        <v>64.900000000000006</v>
      </c>
      <c r="E489">
        <v>64.900000000000006</v>
      </c>
      <c r="F489" s="3">
        <v>45679</v>
      </c>
      <c r="G489" s="3">
        <v>45680</v>
      </c>
      <c r="H489" t="s">
        <v>8</v>
      </c>
      <c r="I489" t="s">
        <v>3</v>
      </c>
      <c r="J489">
        <v>3</v>
      </c>
      <c r="K489" t="s">
        <v>4</v>
      </c>
      <c r="L489" t="s">
        <v>88</v>
      </c>
      <c r="M489">
        <f>[1]!orders[[#This Row],[Ship Date]]-[1]!orders[[#This Row],[Order Date]]</f>
        <v>1</v>
      </c>
      <c r="N489">
        <f>WEEKNUM([1]!orders[[#This Row],[Order Date]])</f>
        <v>4</v>
      </c>
      <c r="O489" t="str" cm="1">
        <f t="array" ref="O489">_xlfn.IFS([1]!orders[[#This Row],[Customer Gender]]="M","Male", [1]!orders[[#This Row],[Customer Gender]]="F","Female", [1]!orders[[#This Row],[Customer Gender]]="O","Other", TRUE,"Unknown")</f>
        <v>Male</v>
      </c>
    </row>
    <row r="490" spans="1:15" x14ac:dyDescent="0.25">
      <c r="A490" s="1" t="s">
        <v>562</v>
      </c>
      <c r="B490" s="1" t="s">
        <v>131</v>
      </c>
      <c r="C490" s="1">
        <v>1</v>
      </c>
      <c r="D490" s="1">
        <v>28.5</v>
      </c>
      <c r="E490" s="1">
        <v>28.5</v>
      </c>
      <c r="F490" s="2">
        <v>45679</v>
      </c>
      <c r="G490" s="2">
        <v>45681</v>
      </c>
      <c r="H490" s="1" t="s">
        <v>2</v>
      </c>
      <c r="I490" s="1" t="s">
        <v>20</v>
      </c>
      <c r="J490" s="1">
        <v>4</v>
      </c>
      <c r="K490" s="1" t="s">
        <v>4</v>
      </c>
      <c r="L490" s="1" t="s">
        <v>57</v>
      </c>
      <c r="M490" s="1">
        <f>[1]!orders[[#This Row],[Ship Date]]-[1]!orders[[#This Row],[Order Date]]</f>
        <v>2</v>
      </c>
      <c r="N490" s="1">
        <f>WEEKNUM([1]!orders[[#This Row],[Order Date]])</f>
        <v>4</v>
      </c>
      <c r="O490" t="str" cm="1">
        <f t="array" ref="O490">_xlfn.IFS([1]!orders[[#This Row],[Customer Gender]]="M","Male", [1]!orders[[#This Row],[Customer Gender]]="F","Female", [1]!orders[[#This Row],[Customer Gender]]="O","Other", TRUE,"Unknown")</f>
        <v>Unknown</v>
      </c>
    </row>
    <row r="491" spans="1:15" x14ac:dyDescent="0.25">
      <c r="A491" t="s">
        <v>563</v>
      </c>
      <c r="B491" t="s">
        <v>131</v>
      </c>
      <c r="C491">
        <v>2</v>
      </c>
      <c r="D491">
        <v>103.5</v>
      </c>
      <c r="E491">
        <v>207</v>
      </c>
      <c r="F491" s="3">
        <v>45679</v>
      </c>
      <c r="G491" s="3">
        <v>45681</v>
      </c>
      <c r="H491" t="s">
        <v>12</v>
      </c>
      <c r="I491" t="s">
        <v>20</v>
      </c>
      <c r="J491">
        <v>4</v>
      </c>
      <c r="K491" t="s">
        <v>4</v>
      </c>
      <c r="L491" t="s">
        <v>59</v>
      </c>
      <c r="M491">
        <f>[1]!orders[[#This Row],[Ship Date]]-[1]!orders[[#This Row],[Order Date]]</f>
        <v>2</v>
      </c>
      <c r="N491">
        <f>WEEKNUM([1]!orders[[#This Row],[Order Date]])</f>
        <v>4</v>
      </c>
      <c r="O491" t="str" cm="1">
        <f t="array" ref="O491">_xlfn.IFS([1]!orders[[#This Row],[Customer Gender]]="M","Male", [1]!orders[[#This Row],[Customer Gender]]="F","Female", [1]!orders[[#This Row],[Customer Gender]]="O","Other", TRUE,"Unknown")</f>
        <v>Female</v>
      </c>
    </row>
    <row r="492" spans="1:15" x14ac:dyDescent="0.25">
      <c r="A492" s="1" t="s">
        <v>564</v>
      </c>
      <c r="B492" s="1" t="s">
        <v>17</v>
      </c>
      <c r="C492" s="1">
        <v>2</v>
      </c>
      <c r="D492" s="1">
        <v>41.2</v>
      </c>
      <c r="E492" s="1">
        <v>82.4</v>
      </c>
      <c r="F492" s="2">
        <v>45679</v>
      </c>
      <c r="G492" s="2">
        <v>45680</v>
      </c>
      <c r="H492" s="1" t="s">
        <v>12</v>
      </c>
      <c r="I492" s="1" t="s">
        <v>20</v>
      </c>
      <c r="J492" s="1">
        <v>4</v>
      </c>
      <c r="K492" s="1" t="s">
        <v>4</v>
      </c>
      <c r="L492" s="1" t="s">
        <v>59</v>
      </c>
      <c r="M492" s="1">
        <f>[1]!orders[[#This Row],[Ship Date]]-[1]!orders[[#This Row],[Order Date]]</f>
        <v>1</v>
      </c>
      <c r="N492" s="1">
        <f>WEEKNUM([1]!orders[[#This Row],[Order Date]])</f>
        <v>4</v>
      </c>
      <c r="O492" t="str" cm="1">
        <f t="array" ref="O492">_xlfn.IFS([1]!orders[[#This Row],[Customer Gender]]="M","Male", [1]!orders[[#This Row],[Customer Gender]]="F","Female", [1]!orders[[#This Row],[Customer Gender]]="O","Other", TRUE,"Unknown")</f>
        <v>Female</v>
      </c>
    </row>
    <row r="493" spans="1:15" x14ac:dyDescent="0.25">
      <c r="A493" t="s">
        <v>565</v>
      </c>
      <c r="B493" t="s">
        <v>31</v>
      </c>
      <c r="C493">
        <v>1</v>
      </c>
      <c r="D493">
        <v>37.799999999999997</v>
      </c>
      <c r="E493">
        <v>37.799999999999997</v>
      </c>
      <c r="F493" s="3">
        <v>45679</v>
      </c>
      <c r="G493" s="3">
        <v>45681</v>
      </c>
      <c r="H493" t="s">
        <v>12</v>
      </c>
      <c r="I493" t="s">
        <v>36</v>
      </c>
      <c r="J493">
        <v>1</v>
      </c>
      <c r="K493" t="s">
        <v>4</v>
      </c>
      <c r="L493" t="s">
        <v>62</v>
      </c>
      <c r="M493">
        <f>[1]!orders[[#This Row],[Ship Date]]-[1]!orders[[#This Row],[Order Date]]</f>
        <v>2</v>
      </c>
      <c r="N493">
        <f>WEEKNUM([1]!orders[[#This Row],[Order Date]])</f>
        <v>4</v>
      </c>
      <c r="O493" t="str" cm="1">
        <f t="array" ref="O493">_xlfn.IFS([1]!orders[[#This Row],[Customer Gender]]="M","Male", [1]!orders[[#This Row],[Customer Gender]]="F","Female", [1]!orders[[#This Row],[Customer Gender]]="O","Other", TRUE,"Unknown")</f>
        <v>Female</v>
      </c>
    </row>
    <row r="494" spans="1:15" x14ac:dyDescent="0.25">
      <c r="A494" s="1" t="s">
        <v>566</v>
      </c>
      <c r="B494" s="1" t="s">
        <v>29</v>
      </c>
      <c r="C494" s="1">
        <v>2</v>
      </c>
      <c r="D494" s="1">
        <v>42.6</v>
      </c>
      <c r="E494" s="1">
        <v>85.2</v>
      </c>
      <c r="F494" s="2">
        <v>45679</v>
      </c>
      <c r="G494" s="2">
        <v>45681</v>
      </c>
      <c r="H494" s="1" t="s">
        <v>12</v>
      </c>
      <c r="I494" s="1" t="s">
        <v>55</v>
      </c>
      <c r="J494" s="1">
        <v>4</v>
      </c>
      <c r="K494" s="1" t="s">
        <v>4</v>
      </c>
      <c r="L494" s="1" t="s">
        <v>62</v>
      </c>
      <c r="M494" s="1">
        <f>[1]!orders[[#This Row],[Ship Date]]-[1]!orders[[#This Row],[Order Date]]</f>
        <v>2</v>
      </c>
      <c r="N494" s="1">
        <f>WEEKNUM([1]!orders[[#This Row],[Order Date]])</f>
        <v>4</v>
      </c>
      <c r="O494" t="str" cm="1">
        <f t="array" ref="O494">_xlfn.IFS([1]!orders[[#This Row],[Customer Gender]]="M","Male", [1]!orders[[#This Row],[Customer Gender]]="F","Female", [1]!orders[[#This Row],[Customer Gender]]="O","Other", TRUE,"Unknown")</f>
        <v>Female</v>
      </c>
    </row>
    <row r="495" spans="1:15" x14ac:dyDescent="0.25">
      <c r="A495" t="s">
        <v>567</v>
      </c>
      <c r="B495" t="s">
        <v>29</v>
      </c>
      <c r="C495">
        <v>10</v>
      </c>
      <c r="D495">
        <v>15.2</v>
      </c>
      <c r="E495">
        <v>152</v>
      </c>
      <c r="F495" s="3">
        <v>45679</v>
      </c>
      <c r="G495" s="3">
        <v>45681</v>
      </c>
      <c r="H495" t="s">
        <v>12</v>
      </c>
      <c r="I495" t="s">
        <v>25</v>
      </c>
      <c r="J495">
        <v>4</v>
      </c>
      <c r="K495" t="s">
        <v>4</v>
      </c>
      <c r="L495" t="s">
        <v>62</v>
      </c>
      <c r="M495">
        <f>[1]!orders[[#This Row],[Ship Date]]-[1]!orders[[#This Row],[Order Date]]</f>
        <v>2</v>
      </c>
      <c r="N495">
        <f>WEEKNUM([1]!orders[[#This Row],[Order Date]])</f>
        <v>4</v>
      </c>
      <c r="O495" t="str" cm="1">
        <f t="array" ref="O495">_xlfn.IFS([1]!orders[[#This Row],[Customer Gender]]="M","Male", [1]!orders[[#This Row],[Customer Gender]]="F","Female", [1]!orders[[#This Row],[Customer Gender]]="O","Other", TRUE,"Unknown")</f>
        <v>Female</v>
      </c>
    </row>
    <row r="496" spans="1:15" x14ac:dyDescent="0.25">
      <c r="A496" s="1" t="s">
        <v>568</v>
      </c>
      <c r="B496" s="1" t="s">
        <v>27</v>
      </c>
      <c r="C496" s="1">
        <v>4</v>
      </c>
      <c r="D496" s="1">
        <v>83.4</v>
      </c>
      <c r="E496" s="1">
        <v>333.6</v>
      </c>
      <c r="F496" s="2">
        <v>45679</v>
      </c>
      <c r="G496" s="2">
        <v>45680</v>
      </c>
      <c r="H496" s="1" t="s">
        <v>12</v>
      </c>
      <c r="I496" s="1" t="s">
        <v>25</v>
      </c>
      <c r="J496" s="1">
        <v>3</v>
      </c>
      <c r="K496" s="1" t="s">
        <v>4</v>
      </c>
      <c r="L496" s="1" t="s">
        <v>93</v>
      </c>
      <c r="M496" s="1">
        <f>[1]!orders[[#This Row],[Ship Date]]-[1]!orders[[#This Row],[Order Date]]</f>
        <v>1</v>
      </c>
      <c r="N496" s="1">
        <f>WEEKNUM([1]!orders[[#This Row],[Order Date]])</f>
        <v>4</v>
      </c>
      <c r="O496" t="str" cm="1">
        <f t="array" ref="O496">_xlfn.IFS([1]!orders[[#This Row],[Customer Gender]]="M","Male", [1]!orders[[#This Row],[Customer Gender]]="F","Female", [1]!orders[[#This Row],[Customer Gender]]="O","Other", TRUE,"Unknown")</f>
        <v>Female</v>
      </c>
    </row>
    <row r="497" spans="1:15" x14ac:dyDescent="0.25">
      <c r="A497" t="s">
        <v>569</v>
      </c>
      <c r="B497" t="s">
        <v>156</v>
      </c>
      <c r="C497">
        <v>2</v>
      </c>
      <c r="D497">
        <v>27.7</v>
      </c>
      <c r="E497">
        <v>55.4</v>
      </c>
      <c r="F497" s="3">
        <v>45679</v>
      </c>
      <c r="G497" s="3">
        <v>45680</v>
      </c>
      <c r="H497" t="s">
        <v>12</v>
      </c>
      <c r="I497" t="s">
        <v>3</v>
      </c>
      <c r="J497">
        <v>3</v>
      </c>
      <c r="K497" t="s">
        <v>4</v>
      </c>
      <c r="L497" t="s">
        <v>67</v>
      </c>
      <c r="M497">
        <f>[1]!orders[[#This Row],[Ship Date]]-[1]!orders[[#This Row],[Order Date]]</f>
        <v>1</v>
      </c>
      <c r="N497">
        <f>WEEKNUM([1]!orders[[#This Row],[Order Date]])</f>
        <v>4</v>
      </c>
      <c r="O497" t="str" cm="1">
        <f t="array" ref="O497">_xlfn.IFS([1]!orders[[#This Row],[Customer Gender]]="M","Male", [1]!orders[[#This Row],[Customer Gender]]="F","Female", [1]!orders[[#This Row],[Customer Gender]]="O","Other", TRUE,"Unknown")</f>
        <v>Female</v>
      </c>
    </row>
    <row r="498" spans="1:15" x14ac:dyDescent="0.25">
      <c r="A498" s="1" t="s">
        <v>570</v>
      </c>
      <c r="B498" s="1" t="s">
        <v>39</v>
      </c>
      <c r="C498" s="1">
        <v>12</v>
      </c>
      <c r="D498" s="1">
        <v>20.8</v>
      </c>
      <c r="E498" s="1">
        <v>249.60000000000002</v>
      </c>
      <c r="F498" s="2">
        <v>45679</v>
      </c>
      <c r="G498" s="2">
        <v>45680</v>
      </c>
      <c r="H498" s="1" t="s">
        <v>8</v>
      </c>
      <c r="I498" s="1" t="s">
        <v>36</v>
      </c>
      <c r="J498" s="1">
        <v>4</v>
      </c>
      <c r="K498" s="1" t="s">
        <v>4</v>
      </c>
      <c r="L498" s="1" t="s">
        <v>67</v>
      </c>
      <c r="M498" s="1">
        <f>[1]!orders[[#This Row],[Ship Date]]-[1]!orders[[#This Row],[Order Date]]</f>
        <v>1</v>
      </c>
      <c r="N498" s="1">
        <f>WEEKNUM([1]!orders[[#This Row],[Order Date]])</f>
        <v>4</v>
      </c>
      <c r="O498" t="str" cm="1">
        <f t="array" ref="O498">_xlfn.IFS([1]!orders[[#This Row],[Customer Gender]]="M","Male", [1]!orders[[#This Row],[Customer Gender]]="F","Female", [1]!orders[[#This Row],[Customer Gender]]="O","Other", TRUE,"Unknown")</f>
        <v>Male</v>
      </c>
    </row>
    <row r="499" spans="1:15" x14ac:dyDescent="0.25">
      <c r="A499" t="s">
        <v>571</v>
      </c>
      <c r="B499" t="s">
        <v>52</v>
      </c>
      <c r="C499">
        <v>2</v>
      </c>
      <c r="D499">
        <v>72.7</v>
      </c>
      <c r="E499">
        <v>145.4</v>
      </c>
      <c r="F499" s="3">
        <v>45679</v>
      </c>
      <c r="G499" s="3">
        <v>45683</v>
      </c>
      <c r="H499" t="s">
        <v>12</v>
      </c>
      <c r="I499" t="s">
        <v>55</v>
      </c>
      <c r="J499">
        <v>5</v>
      </c>
      <c r="K499" t="s">
        <v>4</v>
      </c>
      <c r="L499" t="s">
        <v>572</v>
      </c>
      <c r="M499">
        <f>[1]!orders[[#This Row],[Ship Date]]-[1]!orders[[#This Row],[Order Date]]</f>
        <v>4</v>
      </c>
      <c r="N499">
        <f>WEEKNUM([1]!orders[[#This Row],[Order Date]])</f>
        <v>4</v>
      </c>
      <c r="O499" t="str" cm="1">
        <f t="array" ref="O499">_xlfn.IFS([1]!orders[[#This Row],[Customer Gender]]="M","Male", [1]!orders[[#This Row],[Customer Gender]]="F","Female", [1]!orders[[#This Row],[Customer Gender]]="O","Other", TRUE,"Unknown")</f>
        <v>Female</v>
      </c>
    </row>
    <row r="500" spans="1:15" x14ac:dyDescent="0.25">
      <c r="A500" s="1" t="s">
        <v>573</v>
      </c>
      <c r="B500" s="1" t="s">
        <v>39</v>
      </c>
      <c r="C500" s="1">
        <v>4</v>
      </c>
      <c r="D500" s="1">
        <v>38.6</v>
      </c>
      <c r="E500" s="1">
        <v>154.4</v>
      </c>
      <c r="F500" s="2">
        <v>45679</v>
      </c>
      <c r="G500" s="2">
        <v>45680</v>
      </c>
      <c r="H500" s="1" t="s">
        <v>8</v>
      </c>
      <c r="I500" s="1" t="s">
        <v>3</v>
      </c>
      <c r="J500" s="1">
        <v>5</v>
      </c>
      <c r="K500" s="1" t="s">
        <v>4</v>
      </c>
      <c r="L500" s="1" t="s">
        <v>132</v>
      </c>
      <c r="M500" s="1">
        <f>[1]!orders[[#This Row],[Ship Date]]-[1]!orders[[#This Row],[Order Date]]</f>
        <v>1</v>
      </c>
      <c r="N500" s="1">
        <f>WEEKNUM([1]!orders[[#This Row],[Order Date]])</f>
        <v>4</v>
      </c>
      <c r="O500" t="str" cm="1">
        <f t="array" ref="O500">_xlfn.IFS([1]!orders[[#This Row],[Customer Gender]]="M","Male", [1]!orders[[#This Row],[Customer Gender]]="F","Female", [1]!orders[[#This Row],[Customer Gender]]="O","Other", TRUE,"Unknown")</f>
        <v>Male</v>
      </c>
    </row>
    <row r="501" spans="1:15" x14ac:dyDescent="0.25">
      <c r="A501" t="s">
        <v>574</v>
      </c>
      <c r="B501" t="s">
        <v>29</v>
      </c>
      <c r="C501">
        <v>7</v>
      </c>
      <c r="D501">
        <v>33.1</v>
      </c>
      <c r="E501">
        <v>231.70000000000002</v>
      </c>
      <c r="F501" s="3">
        <v>45679</v>
      </c>
      <c r="G501" s="3">
        <v>45680</v>
      </c>
      <c r="H501" t="s">
        <v>74</v>
      </c>
      <c r="I501" t="s">
        <v>55</v>
      </c>
      <c r="J501">
        <v>1</v>
      </c>
      <c r="K501" t="s">
        <v>4</v>
      </c>
      <c r="L501" t="s">
        <v>18</v>
      </c>
      <c r="M501">
        <f>[1]!orders[[#This Row],[Ship Date]]-[1]!orders[[#This Row],[Order Date]]</f>
        <v>1</v>
      </c>
      <c r="N501">
        <f>WEEKNUM([1]!orders[[#This Row],[Order Date]])</f>
        <v>4</v>
      </c>
      <c r="O501" t="str" cm="1">
        <f t="array" ref="O501">_xlfn.IFS([1]!orders[[#This Row],[Customer Gender]]="M","Male", [1]!orders[[#This Row],[Customer Gender]]="F","Female", [1]!orders[[#This Row],[Customer Gender]]="O","Other", TRUE,"Unknown")</f>
        <v>Other</v>
      </c>
    </row>
    <row r="502" spans="1:15" x14ac:dyDescent="0.25">
      <c r="A502" s="1" t="s">
        <v>575</v>
      </c>
      <c r="B502" s="1" t="s">
        <v>39</v>
      </c>
      <c r="C502" s="1">
        <v>2</v>
      </c>
      <c r="D502" s="1">
        <v>30.5</v>
      </c>
      <c r="E502" s="1">
        <v>61</v>
      </c>
      <c r="F502" s="2">
        <v>45679</v>
      </c>
      <c r="G502" s="2">
        <v>45679</v>
      </c>
      <c r="H502" s="1" t="s">
        <v>2</v>
      </c>
      <c r="I502" s="1" t="s">
        <v>20</v>
      </c>
      <c r="J502" s="1">
        <v>3</v>
      </c>
      <c r="K502" s="1" t="s">
        <v>4</v>
      </c>
      <c r="L502" s="1" t="s">
        <v>18</v>
      </c>
      <c r="M502" s="1">
        <f>[1]!orders[[#This Row],[Ship Date]]-[1]!orders[[#This Row],[Order Date]]</f>
        <v>0</v>
      </c>
      <c r="N502" s="1">
        <f>WEEKNUM([1]!orders[[#This Row],[Order Date]])</f>
        <v>4</v>
      </c>
      <c r="O502" t="str" cm="1">
        <f t="array" ref="O502">_xlfn.IFS([1]!orders[[#This Row],[Customer Gender]]="M","Male", [1]!orders[[#This Row],[Customer Gender]]="F","Female", [1]!orders[[#This Row],[Customer Gender]]="O","Other", TRUE,"Unknown")</f>
        <v>Unknown</v>
      </c>
    </row>
    <row r="503" spans="1:15" x14ac:dyDescent="0.25">
      <c r="A503" t="s">
        <v>576</v>
      </c>
      <c r="B503" t="s">
        <v>31</v>
      </c>
      <c r="C503">
        <v>2</v>
      </c>
      <c r="D503">
        <v>69.599999999999994</v>
      </c>
      <c r="E503">
        <v>139.19999999999999</v>
      </c>
      <c r="F503" s="3">
        <v>45679</v>
      </c>
      <c r="G503" s="3">
        <v>45680</v>
      </c>
      <c r="H503" t="s">
        <v>8</v>
      </c>
      <c r="I503" t="s">
        <v>3</v>
      </c>
      <c r="J503">
        <v>3</v>
      </c>
      <c r="K503" t="s">
        <v>4</v>
      </c>
      <c r="L503" t="s">
        <v>18</v>
      </c>
      <c r="M503">
        <f>[1]!orders[[#This Row],[Ship Date]]-[1]!orders[[#This Row],[Order Date]]</f>
        <v>1</v>
      </c>
      <c r="N503">
        <f>WEEKNUM([1]!orders[[#This Row],[Order Date]])</f>
        <v>4</v>
      </c>
      <c r="O503" t="str" cm="1">
        <f t="array" ref="O503">_xlfn.IFS([1]!orders[[#This Row],[Customer Gender]]="M","Male", [1]!orders[[#This Row],[Customer Gender]]="F","Female", [1]!orders[[#This Row],[Customer Gender]]="O","Other", TRUE,"Unknown")</f>
        <v>Male</v>
      </c>
    </row>
    <row r="504" spans="1:15" x14ac:dyDescent="0.25">
      <c r="A504" s="1" t="s">
        <v>577</v>
      </c>
      <c r="B504" s="1" t="s">
        <v>52</v>
      </c>
      <c r="C504" s="1">
        <v>1</v>
      </c>
      <c r="D504" s="1">
        <v>42.4</v>
      </c>
      <c r="E504" s="1">
        <v>42.4</v>
      </c>
      <c r="F504" s="2">
        <v>45679</v>
      </c>
      <c r="G504" s="2">
        <v>45683</v>
      </c>
      <c r="H504" s="1" t="s">
        <v>12</v>
      </c>
      <c r="I504" s="1" t="s">
        <v>20</v>
      </c>
      <c r="J504" s="1">
        <v>4</v>
      </c>
      <c r="K504" s="1" t="s">
        <v>4</v>
      </c>
      <c r="L504" s="1" t="s">
        <v>18</v>
      </c>
      <c r="M504" s="1">
        <f>[1]!orders[[#This Row],[Ship Date]]-[1]!orders[[#This Row],[Order Date]]</f>
        <v>4</v>
      </c>
      <c r="N504" s="1">
        <f>WEEKNUM([1]!orders[[#This Row],[Order Date]])</f>
        <v>4</v>
      </c>
      <c r="O504" t="str" cm="1">
        <f t="array" ref="O504">_xlfn.IFS([1]!orders[[#This Row],[Customer Gender]]="M","Male", [1]!orders[[#This Row],[Customer Gender]]="F","Female", [1]!orders[[#This Row],[Customer Gender]]="O","Other", TRUE,"Unknown")</f>
        <v>Female</v>
      </c>
    </row>
    <row r="505" spans="1:15" x14ac:dyDescent="0.25">
      <c r="A505" t="s">
        <v>578</v>
      </c>
      <c r="B505" t="s">
        <v>120</v>
      </c>
      <c r="C505">
        <v>1</v>
      </c>
      <c r="D505">
        <v>32.200000000000003</v>
      </c>
      <c r="E505">
        <v>32.200000000000003</v>
      </c>
      <c r="F505" s="3">
        <v>45679</v>
      </c>
      <c r="G505" s="3">
        <v>45682</v>
      </c>
      <c r="H505" t="s">
        <v>12</v>
      </c>
      <c r="I505" t="s">
        <v>25</v>
      </c>
      <c r="J505">
        <v>3</v>
      </c>
      <c r="K505" t="s">
        <v>4</v>
      </c>
      <c r="L505" t="s">
        <v>18</v>
      </c>
      <c r="M505">
        <f>[1]!orders[[#This Row],[Ship Date]]-[1]!orders[[#This Row],[Order Date]]</f>
        <v>3</v>
      </c>
      <c r="N505">
        <f>WEEKNUM([1]!orders[[#This Row],[Order Date]])</f>
        <v>4</v>
      </c>
      <c r="O505" t="str" cm="1">
        <f t="array" ref="O505">_xlfn.IFS([1]!orders[[#This Row],[Customer Gender]]="M","Male", [1]!orders[[#This Row],[Customer Gender]]="F","Female", [1]!orders[[#This Row],[Customer Gender]]="O","Other", TRUE,"Unknown")</f>
        <v>Female</v>
      </c>
    </row>
    <row r="506" spans="1:15" x14ac:dyDescent="0.25">
      <c r="A506" s="1" t="s">
        <v>579</v>
      </c>
      <c r="B506" s="1" t="s">
        <v>24</v>
      </c>
      <c r="C506" s="1">
        <v>2</v>
      </c>
      <c r="D506" s="1">
        <v>41.5</v>
      </c>
      <c r="E506" s="1">
        <v>83</v>
      </c>
      <c r="F506" s="2">
        <v>45679</v>
      </c>
      <c r="G506" s="2">
        <v>45682</v>
      </c>
      <c r="H506" s="1" t="s">
        <v>12</v>
      </c>
      <c r="I506" s="1" t="s">
        <v>3</v>
      </c>
      <c r="J506" s="1">
        <v>5</v>
      </c>
      <c r="K506" s="1" t="s">
        <v>4</v>
      </c>
      <c r="L506" s="1" t="s">
        <v>18</v>
      </c>
      <c r="M506" s="1">
        <f>[1]!orders[[#This Row],[Ship Date]]-[1]!orders[[#This Row],[Order Date]]</f>
        <v>3</v>
      </c>
      <c r="N506" s="1">
        <f>WEEKNUM([1]!orders[[#This Row],[Order Date]])</f>
        <v>4</v>
      </c>
      <c r="O506" t="str" cm="1">
        <f t="array" ref="O506">_xlfn.IFS([1]!orders[[#This Row],[Customer Gender]]="M","Male", [1]!orders[[#This Row],[Customer Gender]]="F","Female", [1]!orders[[#This Row],[Customer Gender]]="O","Other", TRUE,"Unknown")</f>
        <v>Female</v>
      </c>
    </row>
    <row r="507" spans="1:15" x14ac:dyDescent="0.25">
      <c r="A507" t="s">
        <v>580</v>
      </c>
      <c r="B507" t="s">
        <v>113</v>
      </c>
      <c r="C507">
        <v>9</v>
      </c>
      <c r="D507">
        <v>58.9</v>
      </c>
      <c r="E507">
        <v>530.1</v>
      </c>
      <c r="F507" s="3">
        <v>45679</v>
      </c>
      <c r="G507" s="3">
        <v>45683</v>
      </c>
      <c r="H507" t="s">
        <v>12</v>
      </c>
      <c r="I507" t="s">
        <v>36</v>
      </c>
      <c r="J507">
        <v>4</v>
      </c>
      <c r="K507" t="s">
        <v>4</v>
      </c>
      <c r="L507" t="s">
        <v>18</v>
      </c>
      <c r="M507">
        <f>[1]!orders[[#This Row],[Ship Date]]-[1]!orders[[#This Row],[Order Date]]</f>
        <v>4</v>
      </c>
      <c r="N507">
        <f>WEEKNUM([1]!orders[[#This Row],[Order Date]])</f>
        <v>4</v>
      </c>
      <c r="O507" t="str" cm="1">
        <f t="array" ref="O507">_xlfn.IFS([1]!orders[[#This Row],[Customer Gender]]="M","Male", [1]!orders[[#This Row],[Customer Gender]]="F","Female", [1]!orders[[#This Row],[Customer Gender]]="O","Other", TRUE,"Unknown")</f>
        <v>Female</v>
      </c>
    </row>
    <row r="508" spans="1:15" x14ac:dyDescent="0.25">
      <c r="A508" s="1" t="s">
        <v>581</v>
      </c>
      <c r="B508" s="1" t="s">
        <v>11</v>
      </c>
      <c r="C508" s="1">
        <v>1</v>
      </c>
      <c r="D508" s="1">
        <v>57.1</v>
      </c>
      <c r="E508" s="1">
        <v>57.1</v>
      </c>
      <c r="F508" s="2">
        <v>45679</v>
      </c>
      <c r="G508" s="2">
        <v>45682</v>
      </c>
      <c r="H508" s="1" t="s">
        <v>12</v>
      </c>
      <c r="I508" s="1" t="s">
        <v>20</v>
      </c>
      <c r="J508" s="1">
        <v>4</v>
      </c>
      <c r="K508" s="1" t="s">
        <v>4</v>
      </c>
      <c r="L508" s="1" t="s">
        <v>18</v>
      </c>
      <c r="M508" s="1">
        <f>[1]!orders[[#This Row],[Ship Date]]-[1]!orders[[#This Row],[Order Date]]</f>
        <v>3</v>
      </c>
      <c r="N508" s="1">
        <f>WEEKNUM([1]!orders[[#This Row],[Order Date]])</f>
        <v>4</v>
      </c>
      <c r="O508" t="str" cm="1">
        <f t="array" ref="O508">_xlfn.IFS([1]!orders[[#This Row],[Customer Gender]]="M","Male", [1]!orders[[#This Row],[Customer Gender]]="F","Female", [1]!orders[[#This Row],[Customer Gender]]="O","Other", TRUE,"Unknown")</f>
        <v>Female</v>
      </c>
    </row>
    <row r="509" spans="1:15" x14ac:dyDescent="0.25">
      <c r="A509" t="s">
        <v>582</v>
      </c>
      <c r="B509" t="s">
        <v>24</v>
      </c>
      <c r="C509">
        <v>1</v>
      </c>
      <c r="D509">
        <v>57.2</v>
      </c>
      <c r="E509">
        <v>57.2</v>
      </c>
      <c r="F509" s="3">
        <v>45679</v>
      </c>
      <c r="G509" s="3">
        <v>45681</v>
      </c>
      <c r="H509" t="s">
        <v>8</v>
      </c>
      <c r="I509" t="s">
        <v>20</v>
      </c>
      <c r="J509">
        <v>4</v>
      </c>
      <c r="K509" t="s">
        <v>4</v>
      </c>
      <c r="L509" t="s">
        <v>18</v>
      </c>
      <c r="M509">
        <f>[1]!orders[[#This Row],[Ship Date]]-[1]!orders[[#This Row],[Order Date]]</f>
        <v>2</v>
      </c>
      <c r="N509">
        <f>WEEKNUM([1]!orders[[#This Row],[Order Date]])</f>
        <v>4</v>
      </c>
      <c r="O509" t="str" cm="1">
        <f t="array" ref="O509">_xlfn.IFS([1]!orders[[#This Row],[Customer Gender]]="M","Male", [1]!orders[[#This Row],[Customer Gender]]="F","Female", [1]!orders[[#This Row],[Customer Gender]]="O","Other", TRUE,"Unknown")</f>
        <v>Male</v>
      </c>
    </row>
    <row r="510" spans="1:15" x14ac:dyDescent="0.25">
      <c r="A510" s="1" t="s">
        <v>583</v>
      </c>
      <c r="B510" s="1" t="s">
        <v>29</v>
      </c>
      <c r="C510" s="1">
        <v>2</v>
      </c>
      <c r="D510" s="1">
        <v>35.1</v>
      </c>
      <c r="E510" s="1">
        <v>70.2</v>
      </c>
      <c r="F510" s="2">
        <v>45679</v>
      </c>
      <c r="G510" s="2">
        <v>45680</v>
      </c>
      <c r="H510" s="1" t="s">
        <v>8</v>
      </c>
      <c r="I510" s="1" t="s">
        <v>20</v>
      </c>
      <c r="J510" s="1">
        <v>4</v>
      </c>
      <c r="K510" s="1" t="s">
        <v>4</v>
      </c>
      <c r="L510" s="1" t="s">
        <v>40</v>
      </c>
      <c r="M510" s="1">
        <f>[1]!orders[[#This Row],[Ship Date]]-[1]!orders[[#This Row],[Order Date]]</f>
        <v>1</v>
      </c>
      <c r="N510" s="1">
        <f>WEEKNUM([1]!orders[[#This Row],[Order Date]])</f>
        <v>4</v>
      </c>
      <c r="O510" t="str" cm="1">
        <f t="array" ref="O510">_xlfn.IFS([1]!orders[[#This Row],[Customer Gender]]="M","Male", [1]!orders[[#This Row],[Customer Gender]]="F","Female", [1]!orders[[#This Row],[Customer Gender]]="O","Other", TRUE,"Unknown")</f>
        <v>Male</v>
      </c>
    </row>
    <row r="511" spans="1:15" x14ac:dyDescent="0.25">
      <c r="A511" t="s">
        <v>584</v>
      </c>
      <c r="B511" t="s">
        <v>7</v>
      </c>
      <c r="C511">
        <v>1</v>
      </c>
      <c r="D511">
        <v>52.1</v>
      </c>
      <c r="E511">
        <v>52.1</v>
      </c>
      <c r="F511" s="3">
        <v>45679</v>
      </c>
      <c r="G511" s="3">
        <v>45681</v>
      </c>
      <c r="H511" t="s">
        <v>12</v>
      </c>
      <c r="I511" t="s">
        <v>55</v>
      </c>
      <c r="J511">
        <v>3</v>
      </c>
      <c r="K511" t="s">
        <v>4</v>
      </c>
      <c r="L511" t="s">
        <v>47</v>
      </c>
      <c r="M511">
        <f>[1]!orders[[#This Row],[Ship Date]]-[1]!orders[[#This Row],[Order Date]]</f>
        <v>2</v>
      </c>
      <c r="N511">
        <f>WEEKNUM([1]!orders[[#This Row],[Order Date]])</f>
        <v>4</v>
      </c>
      <c r="O511" t="str" cm="1">
        <f t="array" ref="O511">_xlfn.IFS([1]!orders[[#This Row],[Customer Gender]]="M","Male", [1]!orders[[#This Row],[Customer Gender]]="F","Female", [1]!orders[[#This Row],[Customer Gender]]="O","Other", TRUE,"Unknown")</f>
        <v>Female</v>
      </c>
    </row>
    <row r="512" spans="1:15" x14ac:dyDescent="0.25">
      <c r="A512" s="1" t="s">
        <v>585</v>
      </c>
      <c r="B512" s="1" t="s">
        <v>61</v>
      </c>
      <c r="C512" s="1">
        <v>3</v>
      </c>
      <c r="D512" s="1">
        <v>59.8</v>
      </c>
      <c r="E512" s="1">
        <v>179.39999999999998</v>
      </c>
      <c r="F512" s="2">
        <v>45679</v>
      </c>
      <c r="G512" s="2">
        <v>45681</v>
      </c>
      <c r="H512" s="1" t="s">
        <v>12</v>
      </c>
      <c r="I512" s="1" t="s">
        <v>55</v>
      </c>
      <c r="J512" s="1">
        <v>3</v>
      </c>
      <c r="K512" s="1" t="s">
        <v>4</v>
      </c>
      <c r="L512" s="1" t="s">
        <v>47</v>
      </c>
      <c r="M512" s="1">
        <f>[1]!orders[[#This Row],[Ship Date]]-[1]!orders[[#This Row],[Order Date]]</f>
        <v>2</v>
      </c>
      <c r="N512" s="1">
        <f>WEEKNUM([1]!orders[[#This Row],[Order Date]])</f>
        <v>4</v>
      </c>
      <c r="O512" t="str" cm="1">
        <f t="array" ref="O512">_xlfn.IFS([1]!orders[[#This Row],[Customer Gender]]="M","Male", [1]!orders[[#This Row],[Customer Gender]]="F","Female", [1]!orders[[#This Row],[Customer Gender]]="O","Other", TRUE,"Unknown")</f>
        <v>Female</v>
      </c>
    </row>
    <row r="513" spans="1:15" x14ac:dyDescent="0.25">
      <c r="A513" t="s">
        <v>586</v>
      </c>
      <c r="B513" t="s">
        <v>15</v>
      </c>
      <c r="C513">
        <v>4</v>
      </c>
      <c r="D513">
        <v>83.3</v>
      </c>
      <c r="E513">
        <v>333.2</v>
      </c>
      <c r="F513" s="3">
        <v>45679</v>
      </c>
      <c r="G513" s="3">
        <v>45679</v>
      </c>
      <c r="H513" t="s">
        <v>2</v>
      </c>
      <c r="I513" t="s">
        <v>25</v>
      </c>
      <c r="J513">
        <v>4</v>
      </c>
      <c r="K513" t="s">
        <v>4</v>
      </c>
      <c r="L513" t="s">
        <v>47</v>
      </c>
      <c r="M513">
        <f>[1]!orders[[#This Row],[Ship Date]]-[1]!orders[[#This Row],[Order Date]]</f>
        <v>0</v>
      </c>
      <c r="N513">
        <f>WEEKNUM([1]!orders[[#This Row],[Order Date]])</f>
        <v>4</v>
      </c>
      <c r="O513" t="str" cm="1">
        <f t="array" ref="O513">_xlfn.IFS([1]!orders[[#This Row],[Customer Gender]]="M","Male", [1]!orders[[#This Row],[Customer Gender]]="F","Female", [1]!orders[[#This Row],[Customer Gender]]="O","Other", TRUE,"Unknown")</f>
        <v>Unknown</v>
      </c>
    </row>
    <row r="514" spans="1:15" x14ac:dyDescent="0.25">
      <c r="A514" s="1" t="s">
        <v>587</v>
      </c>
      <c r="B514" s="1" t="s">
        <v>108</v>
      </c>
      <c r="C514" s="1">
        <v>12</v>
      </c>
      <c r="D514" s="1">
        <v>41.3</v>
      </c>
      <c r="E514" s="1">
        <v>495.59999999999997</v>
      </c>
      <c r="F514" s="2">
        <v>45679</v>
      </c>
      <c r="G514" s="2">
        <v>45680</v>
      </c>
      <c r="H514" s="1" t="s">
        <v>12</v>
      </c>
      <c r="I514" s="1" t="s">
        <v>20</v>
      </c>
      <c r="J514" s="1">
        <v>4</v>
      </c>
      <c r="K514" s="1" t="s">
        <v>4</v>
      </c>
      <c r="L514" s="1" t="s">
        <v>47</v>
      </c>
      <c r="M514" s="1">
        <f>[1]!orders[[#This Row],[Ship Date]]-[1]!orders[[#This Row],[Order Date]]</f>
        <v>1</v>
      </c>
      <c r="N514" s="1">
        <f>WEEKNUM([1]!orders[[#This Row],[Order Date]])</f>
        <v>4</v>
      </c>
      <c r="O514" t="str" cm="1">
        <f t="array" ref="O514">_xlfn.IFS([1]!orders[[#This Row],[Customer Gender]]="M","Male", [1]!orders[[#This Row],[Customer Gender]]="F","Female", [1]!orders[[#This Row],[Customer Gender]]="O","Other", TRUE,"Unknown")</f>
        <v>Female</v>
      </c>
    </row>
    <row r="515" spans="1:15" x14ac:dyDescent="0.25">
      <c r="A515" t="s">
        <v>588</v>
      </c>
      <c r="B515" t="s">
        <v>29</v>
      </c>
      <c r="C515">
        <v>5</v>
      </c>
      <c r="D515">
        <v>16</v>
      </c>
      <c r="E515">
        <v>80</v>
      </c>
      <c r="F515" s="3">
        <v>45679</v>
      </c>
      <c r="G515" s="3">
        <v>45681</v>
      </c>
      <c r="H515" t="s">
        <v>8</v>
      </c>
      <c r="I515" t="s">
        <v>55</v>
      </c>
      <c r="J515">
        <v>3</v>
      </c>
      <c r="K515" t="s">
        <v>4</v>
      </c>
      <c r="L515" t="s">
        <v>57</v>
      </c>
      <c r="M515">
        <f>[1]!orders[[#This Row],[Ship Date]]-[1]!orders[[#This Row],[Order Date]]</f>
        <v>2</v>
      </c>
      <c r="N515">
        <f>WEEKNUM([1]!orders[[#This Row],[Order Date]])</f>
        <v>4</v>
      </c>
      <c r="O515" t="str" cm="1">
        <f t="array" ref="O515">_xlfn.IFS([1]!orders[[#This Row],[Customer Gender]]="M","Male", [1]!orders[[#This Row],[Customer Gender]]="F","Female", [1]!orders[[#This Row],[Customer Gender]]="O","Other", TRUE,"Unknown")</f>
        <v>Male</v>
      </c>
    </row>
    <row r="516" spans="1:15" x14ac:dyDescent="0.25">
      <c r="A516" s="1" t="s">
        <v>589</v>
      </c>
      <c r="B516" s="1" t="s">
        <v>39</v>
      </c>
      <c r="C516" s="1">
        <v>2</v>
      </c>
      <c r="D516" s="1">
        <v>20.8</v>
      </c>
      <c r="E516" s="1">
        <v>41.6</v>
      </c>
      <c r="F516" s="2">
        <v>45680</v>
      </c>
      <c r="G516" s="2">
        <v>45682</v>
      </c>
      <c r="H516" s="1" t="s">
        <v>8</v>
      </c>
      <c r="I516" s="1" t="s">
        <v>3</v>
      </c>
      <c r="J516" s="1">
        <v>5</v>
      </c>
      <c r="K516" s="1" t="s">
        <v>4</v>
      </c>
      <c r="L516" s="1" t="s">
        <v>62</v>
      </c>
      <c r="M516" s="1">
        <f>[1]!orders[[#This Row],[Ship Date]]-[1]!orders[[#This Row],[Order Date]]</f>
        <v>2</v>
      </c>
      <c r="N516" s="1">
        <f>WEEKNUM([1]!orders[[#This Row],[Order Date]])</f>
        <v>4</v>
      </c>
      <c r="O516" t="str" cm="1">
        <f t="array" ref="O516">_xlfn.IFS([1]!orders[[#This Row],[Customer Gender]]="M","Male", [1]!orders[[#This Row],[Customer Gender]]="F","Female", [1]!orders[[#This Row],[Customer Gender]]="O","Other", TRUE,"Unknown")</f>
        <v>Male</v>
      </c>
    </row>
    <row r="517" spans="1:15" x14ac:dyDescent="0.25">
      <c r="A517" t="s">
        <v>590</v>
      </c>
      <c r="B517" t="s">
        <v>29</v>
      </c>
      <c r="C517">
        <v>28</v>
      </c>
      <c r="D517">
        <v>27.1</v>
      </c>
      <c r="E517">
        <v>758.80000000000007</v>
      </c>
      <c r="F517" s="3">
        <v>45680</v>
      </c>
      <c r="G517" s="3">
        <v>45681</v>
      </c>
      <c r="H517" t="s">
        <v>2</v>
      </c>
      <c r="I517" t="s">
        <v>36</v>
      </c>
      <c r="J517">
        <v>5</v>
      </c>
      <c r="K517" t="s">
        <v>4</v>
      </c>
      <c r="L517" t="s">
        <v>62</v>
      </c>
      <c r="M517">
        <f>[1]!orders[[#This Row],[Ship Date]]-[1]!orders[[#This Row],[Order Date]]</f>
        <v>1</v>
      </c>
      <c r="N517">
        <f>WEEKNUM([1]!orders[[#This Row],[Order Date]])</f>
        <v>4</v>
      </c>
      <c r="O517" t="str" cm="1">
        <f t="array" ref="O517">_xlfn.IFS([1]!orders[[#This Row],[Customer Gender]]="M","Male", [1]!orders[[#This Row],[Customer Gender]]="F","Female", [1]!orders[[#This Row],[Customer Gender]]="O","Other", TRUE,"Unknown")</f>
        <v>Unknown</v>
      </c>
    </row>
    <row r="518" spans="1:15" x14ac:dyDescent="0.25">
      <c r="A518" s="1" t="s">
        <v>591</v>
      </c>
      <c r="B518" s="1" t="s">
        <v>39</v>
      </c>
      <c r="C518" s="1">
        <v>2</v>
      </c>
      <c r="D518" s="1">
        <v>38.9</v>
      </c>
      <c r="E518" s="1">
        <v>77.8</v>
      </c>
      <c r="F518" s="2">
        <v>45680</v>
      </c>
      <c r="G518" s="2">
        <v>45682</v>
      </c>
      <c r="H518" s="1" t="s">
        <v>12</v>
      </c>
      <c r="I518" s="1" t="s">
        <v>3</v>
      </c>
      <c r="J518" s="1">
        <v>4</v>
      </c>
      <c r="K518" s="1" t="s">
        <v>4</v>
      </c>
      <c r="L518" s="1" t="s">
        <v>93</v>
      </c>
      <c r="M518" s="1">
        <f>[1]!orders[[#This Row],[Ship Date]]-[1]!orders[[#This Row],[Order Date]]</f>
        <v>2</v>
      </c>
      <c r="N518" s="1">
        <f>WEEKNUM([1]!orders[[#This Row],[Order Date]])</f>
        <v>4</v>
      </c>
      <c r="O518" t="str" cm="1">
        <f t="array" ref="O518">_xlfn.IFS([1]!orders[[#This Row],[Customer Gender]]="M","Male", [1]!orders[[#This Row],[Customer Gender]]="F","Female", [1]!orders[[#This Row],[Customer Gender]]="O","Other", TRUE,"Unknown")</f>
        <v>Female</v>
      </c>
    </row>
    <row r="519" spans="1:15" x14ac:dyDescent="0.25">
      <c r="A519" t="s">
        <v>592</v>
      </c>
      <c r="B519" t="s">
        <v>1</v>
      </c>
      <c r="C519">
        <v>2</v>
      </c>
      <c r="D519">
        <v>10.8</v>
      </c>
      <c r="E519">
        <v>21.6</v>
      </c>
      <c r="F519" s="3">
        <v>45680</v>
      </c>
      <c r="G519" s="3">
        <v>45683</v>
      </c>
      <c r="H519" t="s">
        <v>12</v>
      </c>
      <c r="I519" t="s">
        <v>20</v>
      </c>
      <c r="J519">
        <v>5</v>
      </c>
      <c r="K519" t="s">
        <v>4</v>
      </c>
      <c r="L519" t="s">
        <v>593</v>
      </c>
      <c r="M519">
        <f>[1]!orders[[#This Row],[Ship Date]]-[1]!orders[[#This Row],[Order Date]]</f>
        <v>3</v>
      </c>
      <c r="N519">
        <f>WEEKNUM([1]!orders[[#This Row],[Order Date]])</f>
        <v>4</v>
      </c>
      <c r="O519" t="str" cm="1">
        <f t="array" ref="O519">_xlfn.IFS([1]!orders[[#This Row],[Customer Gender]]="M","Male", [1]!orders[[#This Row],[Customer Gender]]="F","Female", [1]!orders[[#This Row],[Customer Gender]]="O","Other", TRUE,"Unknown")</f>
        <v>Female</v>
      </c>
    </row>
    <row r="520" spans="1:15" x14ac:dyDescent="0.25">
      <c r="A520" s="1" t="s">
        <v>594</v>
      </c>
      <c r="B520" s="1" t="s">
        <v>17</v>
      </c>
      <c r="C520" s="1">
        <v>13</v>
      </c>
      <c r="D520" s="1">
        <v>48.4</v>
      </c>
      <c r="E520" s="1">
        <v>629.19999999999993</v>
      </c>
      <c r="F520" s="2">
        <v>45680</v>
      </c>
      <c r="G520" s="2">
        <v>45684</v>
      </c>
      <c r="H520" s="1" t="s">
        <v>12</v>
      </c>
      <c r="I520" s="1" t="s">
        <v>3</v>
      </c>
      <c r="J520" s="1">
        <v>4</v>
      </c>
      <c r="K520" s="1" t="s">
        <v>4</v>
      </c>
      <c r="L520" s="1" t="s">
        <v>100</v>
      </c>
      <c r="M520" s="1">
        <f>[1]!orders[[#This Row],[Ship Date]]-[1]!orders[[#This Row],[Order Date]]</f>
        <v>4</v>
      </c>
      <c r="N520" s="1">
        <f>WEEKNUM([1]!orders[[#This Row],[Order Date]])</f>
        <v>4</v>
      </c>
      <c r="O520" t="str" cm="1">
        <f t="array" ref="O520">_xlfn.IFS([1]!orders[[#This Row],[Customer Gender]]="M","Male", [1]!orders[[#This Row],[Customer Gender]]="F","Female", [1]!orders[[#This Row],[Customer Gender]]="O","Other", TRUE,"Unknown")</f>
        <v>Female</v>
      </c>
    </row>
    <row r="521" spans="1:15" x14ac:dyDescent="0.25">
      <c r="A521" t="s">
        <v>595</v>
      </c>
      <c r="B521" t="s">
        <v>17</v>
      </c>
      <c r="C521">
        <v>3</v>
      </c>
      <c r="D521">
        <v>29.2</v>
      </c>
      <c r="E521">
        <v>87.6</v>
      </c>
      <c r="F521" s="3">
        <v>45680</v>
      </c>
      <c r="G521" s="3">
        <v>45683</v>
      </c>
      <c r="H521" t="s">
        <v>12</v>
      </c>
      <c r="I521" t="s">
        <v>20</v>
      </c>
      <c r="J521">
        <v>3</v>
      </c>
      <c r="K521" t="s">
        <v>4</v>
      </c>
      <c r="L521" t="s">
        <v>13</v>
      </c>
      <c r="M521">
        <f>[1]!orders[[#This Row],[Ship Date]]-[1]!orders[[#This Row],[Order Date]]</f>
        <v>3</v>
      </c>
      <c r="N521">
        <f>WEEKNUM([1]!orders[[#This Row],[Order Date]])</f>
        <v>4</v>
      </c>
      <c r="O521" t="str" cm="1">
        <f t="array" ref="O521">_xlfn.IFS([1]!orders[[#This Row],[Customer Gender]]="M","Male", [1]!orders[[#This Row],[Customer Gender]]="F","Female", [1]!orders[[#This Row],[Customer Gender]]="O","Other", TRUE,"Unknown")</f>
        <v>Female</v>
      </c>
    </row>
    <row r="522" spans="1:15" x14ac:dyDescent="0.25">
      <c r="A522" s="1" t="s">
        <v>596</v>
      </c>
      <c r="B522" s="1" t="s">
        <v>17</v>
      </c>
      <c r="C522" s="1">
        <v>2</v>
      </c>
      <c r="D522" s="1">
        <v>25.1</v>
      </c>
      <c r="E522" s="1">
        <v>50.2</v>
      </c>
      <c r="F522" s="2">
        <v>45680</v>
      </c>
      <c r="G522" s="2">
        <v>45681</v>
      </c>
      <c r="H522" s="1" t="s">
        <v>8</v>
      </c>
      <c r="I522" s="1" t="s">
        <v>3</v>
      </c>
      <c r="J522" s="1">
        <v>3</v>
      </c>
      <c r="K522" s="1" t="s">
        <v>4</v>
      </c>
      <c r="L522" s="1" t="s">
        <v>13</v>
      </c>
      <c r="M522" s="1">
        <f>[1]!orders[[#This Row],[Ship Date]]-[1]!orders[[#This Row],[Order Date]]</f>
        <v>1</v>
      </c>
      <c r="N522" s="1">
        <f>WEEKNUM([1]!orders[[#This Row],[Order Date]])</f>
        <v>4</v>
      </c>
      <c r="O522" t="str" cm="1">
        <f t="array" ref="O522">_xlfn.IFS([1]!orders[[#This Row],[Customer Gender]]="M","Male", [1]!orders[[#This Row],[Customer Gender]]="F","Female", [1]!orders[[#This Row],[Customer Gender]]="O","Other", TRUE,"Unknown")</f>
        <v>Male</v>
      </c>
    </row>
    <row r="523" spans="1:15" x14ac:dyDescent="0.25">
      <c r="A523" t="s">
        <v>597</v>
      </c>
      <c r="B523" t="s">
        <v>27</v>
      </c>
      <c r="C523">
        <v>3</v>
      </c>
      <c r="D523">
        <v>65.599999999999994</v>
      </c>
      <c r="E523">
        <v>196.79999999999998</v>
      </c>
      <c r="F523" s="3">
        <v>45680</v>
      </c>
      <c r="G523" s="3">
        <v>45680</v>
      </c>
      <c r="H523" t="s">
        <v>12</v>
      </c>
      <c r="I523" t="s">
        <v>25</v>
      </c>
      <c r="J523">
        <v>3</v>
      </c>
      <c r="K523" t="s">
        <v>4</v>
      </c>
      <c r="L523" t="s">
        <v>18</v>
      </c>
      <c r="M523">
        <f>[1]!orders[[#This Row],[Ship Date]]-[1]!orders[[#This Row],[Order Date]]</f>
        <v>0</v>
      </c>
      <c r="N523">
        <f>WEEKNUM([1]!orders[[#This Row],[Order Date]])</f>
        <v>4</v>
      </c>
      <c r="O523" t="str" cm="1">
        <f t="array" ref="O523">_xlfn.IFS([1]!orders[[#This Row],[Customer Gender]]="M","Male", [1]!orders[[#This Row],[Customer Gender]]="F","Female", [1]!orders[[#This Row],[Customer Gender]]="O","Other", TRUE,"Unknown")</f>
        <v>Female</v>
      </c>
    </row>
    <row r="524" spans="1:15" x14ac:dyDescent="0.25">
      <c r="A524" s="1" t="s">
        <v>598</v>
      </c>
      <c r="B524" s="1" t="s">
        <v>11</v>
      </c>
      <c r="C524" s="1">
        <v>2</v>
      </c>
      <c r="D524" s="1">
        <v>57.3</v>
      </c>
      <c r="E524" s="1">
        <v>114.6</v>
      </c>
      <c r="F524" s="2">
        <v>45680</v>
      </c>
      <c r="G524" s="2">
        <v>45680</v>
      </c>
      <c r="H524" s="1" t="s">
        <v>2</v>
      </c>
      <c r="I524" s="1" t="s">
        <v>3</v>
      </c>
      <c r="J524" s="1">
        <v>4</v>
      </c>
      <c r="K524" s="1" t="s">
        <v>4</v>
      </c>
      <c r="L524" s="1" t="s">
        <v>18</v>
      </c>
      <c r="M524" s="1">
        <f>[1]!orders[[#This Row],[Ship Date]]-[1]!orders[[#This Row],[Order Date]]</f>
        <v>0</v>
      </c>
      <c r="N524" s="1">
        <f>WEEKNUM([1]!orders[[#This Row],[Order Date]])</f>
        <v>4</v>
      </c>
      <c r="O524" t="str" cm="1">
        <f t="array" ref="O524">_xlfn.IFS([1]!orders[[#This Row],[Customer Gender]]="M","Male", [1]!orders[[#This Row],[Customer Gender]]="F","Female", [1]!orders[[#This Row],[Customer Gender]]="O","Other", TRUE,"Unknown")</f>
        <v>Unknown</v>
      </c>
    </row>
    <row r="525" spans="1:15" x14ac:dyDescent="0.25">
      <c r="A525" t="s">
        <v>599</v>
      </c>
      <c r="B525" t="s">
        <v>31</v>
      </c>
      <c r="C525">
        <v>4</v>
      </c>
      <c r="D525">
        <v>22.4</v>
      </c>
      <c r="E525">
        <v>89.6</v>
      </c>
      <c r="F525" s="3">
        <v>45680</v>
      </c>
      <c r="G525" s="3">
        <v>45681</v>
      </c>
      <c r="H525" t="s">
        <v>12</v>
      </c>
      <c r="I525" t="s">
        <v>25</v>
      </c>
      <c r="J525">
        <v>5</v>
      </c>
      <c r="K525" t="s">
        <v>4</v>
      </c>
      <c r="L525" t="s">
        <v>18</v>
      </c>
      <c r="M525">
        <f>[1]!orders[[#This Row],[Ship Date]]-[1]!orders[[#This Row],[Order Date]]</f>
        <v>1</v>
      </c>
      <c r="N525">
        <f>WEEKNUM([1]!orders[[#This Row],[Order Date]])</f>
        <v>4</v>
      </c>
      <c r="O525" t="str" cm="1">
        <f t="array" ref="O525">_xlfn.IFS([1]!orders[[#This Row],[Customer Gender]]="M","Male", [1]!orders[[#This Row],[Customer Gender]]="F","Female", [1]!orders[[#This Row],[Customer Gender]]="O","Other", TRUE,"Unknown")</f>
        <v>Female</v>
      </c>
    </row>
    <row r="526" spans="1:15" x14ac:dyDescent="0.25">
      <c r="A526" s="1" t="s">
        <v>600</v>
      </c>
      <c r="B526" s="1" t="s">
        <v>54</v>
      </c>
      <c r="C526" s="1">
        <v>9</v>
      </c>
      <c r="D526" s="1">
        <v>45.7</v>
      </c>
      <c r="E526" s="1">
        <v>411.3</v>
      </c>
      <c r="F526" s="2">
        <v>45680</v>
      </c>
      <c r="G526" s="2">
        <v>45681</v>
      </c>
      <c r="H526" s="1" t="s">
        <v>12</v>
      </c>
      <c r="I526" s="1" t="s">
        <v>3</v>
      </c>
      <c r="J526" s="1">
        <v>4</v>
      </c>
      <c r="K526" s="1" t="s">
        <v>4</v>
      </c>
      <c r="L526" s="1" t="s">
        <v>18</v>
      </c>
      <c r="M526" s="1">
        <f>[1]!orders[[#This Row],[Ship Date]]-[1]!orders[[#This Row],[Order Date]]</f>
        <v>1</v>
      </c>
      <c r="N526" s="1">
        <f>WEEKNUM([1]!orders[[#This Row],[Order Date]])</f>
        <v>4</v>
      </c>
      <c r="O526" t="str" cm="1">
        <f t="array" ref="O526">_xlfn.IFS([1]!orders[[#This Row],[Customer Gender]]="M","Male", [1]!orders[[#This Row],[Customer Gender]]="F","Female", [1]!orders[[#This Row],[Customer Gender]]="O","Other", TRUE,"Unknown")</f>
        <v>Female</v>
      </c>
    </row>
    <row r="527" spans="1:15" x14ac:dyDescent="0.25">
      <c r="A527" t="s">
        <v>601</v>
      </c>
      <c r="B527" t="s">
        <v>29</v>
      </c>
      <c r="C527">
        <v>2</v>
      </c>
      <c r="D527">
        <v>29.3</v>
      </c>
      <c r="E527">
        <v>58.6</v>
      </c>
      <c r="F527" s="3">
        <v>45680</v>
      </c>
      <c r="G527" s="3">
        <v>45681</v>
      </c>
      <c r="H527" t="s">
        <v>8</v>
      </c>
      <c r="I527" t="s">
        <v>20</v>
      </c>
      <c r="J527">
        <v>4</v>
      </c>
      <c r="K527" t="s">
        <v>4</v>
      </c>
      <c r="L527" t="s">
        <v>18</v>
      </c>
      <c r="M527">
        <f>[1]!orders[[#This Row],[Ship Date]]-[1]!orders[[#This Row],[Order Date]]</f>
        <v>1</v>
      </c>
      <c r="N527">
        <f>WEEKNUM([1]!orders[[#This Row],[Order Date]])</f>
        <v>4</v>
      </c>
      <c r="O527" t="str" cm="1">
        <f t="array" ref="O527">_xlfn.IFS([1]!orders[[#This Row],[Customer Gender]]="M","Male", [1]!orders[[#This Row],[Customer Gender]]="F","Female", [1]!orders[[#This Row],[Customer Gender]]="O","Other", TRUE,"Unknown")</f>
        <v>Male</v>
      </c>
    </row>
    <row r="528" spans="1:15" x14ac:dyDescent="0.25">
      <c r="A528" s="1" t="s">
        <v>602</v>
      </c>
      <c r="B528" s="1" t="s">
        <v>131</v>
      </c>
      <c r="C528" s="1">
        <v>22</v>
      </c>
      <c r="D528" s="1">
        <v>74</v>
      </c>
      <c r="E528" s="1">
        <v>1628</v>
      </c>
      <c r="F528" s="2">
        <v>45680</v>
      </c>
      <c r="G528" s="2">
        <v>45681</v>
      </c>
      <c r="H528" s="1" t="s">
        <v>8</v>
      </c>
      <c r="I528" s="1" t="s">
        <v>3</v>
      </c>
      <c r="J528" s="1">
        <v>5</v>
      </c>
      <c r="K528" s="1" t="s">
        <v>4</v>
      </c>
      <c r="L528" s="1" t="s">
        <v>18</v>
      </c>
      <c r="M528" s="1">
        <f>[1]!orders[[#This Row],[Ship Date]]-[1]!orders[[#This Row],[Order Date]]</f>
        <v>1</v>
      </c>
      <c r="N528" s="1">
        <f>WEEKNUM([1]!orders[[#This Row],[Order Date]])</f>
        <v>4</v>
      </c>
      <c r="O528" t="str" cm="1">
        <f t="array" ref="O528">_xlfn.IFS([1]!orders[[#This Row],[Customer Gender]]="M","Male", [1]!orders[[#This Row],[Customer Gender]]="F","Female", [1]!orders[[#This Row],[Customer Gender]]="O","Other", TRUE,"Unknown")</f>
        <v>Male</v>
      </c>
    </row>
    <row r="529" spans="1:15" x14ac:dyDescent="0.25">
      <c r="A529" t="s">
        <v>603</v>
      </c>
      <c r="B529" t="s">
        <v>66</v>
      </c>
      <c r="C529">
        <v>2</v>
      </c>
      <c r="D529">
        <v>39.200000000000003</v>
      </c>
      <c r="E529">
        <v>78.400000000000006</v>
      </c>
      <c r="F529" s="3">
        <v>45680</v>
      </c>
      <c r="G529" s="3">
        <v>45682</v>
      </c>
      <c r="H529" t="s">
        <v>12</v>
      </c>
      <c r="I529" t="s">
        <v>20</v>
      </c>
      <c r="J529">
        <v>4</v>
      </c>
      <c r="K529" t="s">
        <v>4</v>
      </c>
      <c r="L529" t="s">
        <v>18</v>
      </c>
      <c r="M529">
        <f>[1]!orders[[#This Row],[Ship Date]]-[1]!orders[[#This Row],[Order Date]]</f>
        <v>2</v>
      </c>
      <c r="N529">
        <f>WEEKNUM([1]!orders[[#This Row],[Order Date]])</f>
        <v>4</v>
      </c>
      <c r="O529" t="str" cm="1">
        <f t="array" ref="O529">_xlfn.IFS([1]!orders[[#This Row],[Customer Gender]]="M","Male", [1]!orders[[#This Row],[Customer Gender]]="F","Female", [1]!orders[[#This Row],[Customer Gender]]="O","Other", TRUE,"Unknown")</f>
        <v>Female</v>
      </c>
    </row>
    <row r="530" spans="1:15" x14ac:dyDescent="0.25">
      <c r="A530" s="1" t="s">
        <v>604</v>
      </c>
      <c r="B530" s="1" t="s">
        <v>17</v>
      </c>
      <c r="C530" s="1">
        <v>17</v>
      </c>
      <c r="D530" s="1">
        <v>62.7</v>
      </c>
      <c r="E530" s="1">
        <v>1065.9000000000001</v>
      </c>
      <c r="F530" s="2">
        <v>45680</v>
      </c>
      <c r="G530" s="2">
        <v>45681</v>
      </c>
      <c r="H530" s="1" t="s">
        <v>12</v>
      </c>
      <c r="I530" s="1" t="s">
        <v>25</v>
      </c>
      <c r="J530" s="1">
        <v>3</v>
      </c>
      <c r="K530" s="1" t="s">
        <v>4</v>
      </c>
      <c r="L530" s="1" t="s">
        <v>18</v>
      </c>
      <c r="M530" s="1">
        <f>[1]!orders[[#This Row],[Ship Date]]-[1]!orders[[#This Row],[Order Date]]</f>
        <v>1</v>
      </c>
      <c r="N530" s="1">
        <f>WEEKNUM([1]!orders[[#This Row],[Order Date]])</f>
        <v>4</v>
      </c>
      <c r="O530" t="str" cm="1">
        <f t="array" ref="O530">_xlfn.IFS([1]!orders[[#This Row],[Customer Gender]]="M","Male", [1]!orders[[#This Row],[Customer Gender]]="F","Female", [1]!orders[[#This Row],[Customer Gender]]="O","Other", TRUE,"Unknown")</f>
        <v>Female</v>
      </c>
    </row>
    <row r="531" spans="1:15" x14ac:dyDescent="0.25">
      <c r="A531" t="s">
        <v>605</v>
      </c>
      <c r="B531" t="s">
        <v>39</v>
      </c>
      <c r="C531">
        <v>2</v>
      </c>
      <c r="D531">
        <v>60.1</v>
      </c>
      <c r="E531">
        <v>120.2</v>
      </c>
      <c r="F531" s="3">
        <v>45680</v>
      </c>
      <c r="G531" s="3">
        <v>45681</v>
      </c>
      <c r="H531" t="s">
        <v>12</v>
      </c>
      <c r="I531" t="s">
        <v>36</v>
      </c>
      <c r="J531">
        <v>4</v>
      </c>
      <c r="K531" t="s">
        <v>4</v>
      </c>
      <c r="L531" t="s">
        <v>18</v>
      </c>
      <c r="M531">
        <f>[1]!orders[[#This Row],[Ship Date]]-[1]!orders[[#This Row],[Order Date]]</f>
        <v>1</v>
      </c>
      <c r="N531">
        <f>WEEKNUM([1]!orders[[#This Row],[Order Date]])</f>
        <v>4</v>
      </c>
      <c r="O531" t="str" cm="1">
        <f t="array" ref="O531">_xlfn.IFS([1]!orders[[#This Row],[Customer Gender]]="M","Male", [1]!orders[[#This Row],[Customer Gender]]="F","Female", [1]!orders[[#This Row],[Customer Gender]]="O","Other", TRUE,"Unknown")</f>
        <v>Female</v>
      </c>
    </row>
    <row r="532" spans="1:15" x14ac:dyDescent="0.25">
      <c r="A532" s="1" t="s">
        <v>606</v>
      </c>
      <c r="B532" s="1" t="s">
        <v>1</v>
      </c>
      <c r="C532" s="1">
        <v>4</v>
      </c>
      <c r="D532" s="1">
        <v>11.2</v>
      </c>
      <c r="E532" s="1">
        <v>44.8</v>
      </c>
      <c r="F532" s="2">
        <v>45680</v>
      </c>
      <c r="G532" s="2">
        <v>45681</v>
      </c>
      <c r="H532" s="1" t="s">
        <v>12</v>
      </c>
      <c r="I532" s="1" t="s">
        <v>36</v>
      </c>
      <c r="J532" s="1">
        <v>3</v>
      </c>
      <c r="K532" s="1" t="s">
        <v>4</v>
      </c>
      <c r="L532" s="1" t="s">
        <v>18</v>
      </c>
      <c r="M532" s="1">
        <f>[1]!orders[[#This Row],[Ship Date]]-[1]!orders[[#This Row],[Order Date]]</f>
        <v>1</v>
      </c>
      <c r="N532" s="1">
        <f>WEEKNUM([1]!orders[[#This Row],[Order Date]])</f>
        <v>4</v>
      </c>
      <c r="O532" t="str" cm="1">
        <f t="array" ref="O532">_xlfn.IFS([1]!orders[[#This Row],[Customer Gender]]="M","Male", [1]!orders[[#This Row],[Customer Gender]]="F","Female", [1]!orders[[#This Row],[Customer Gender]]="O","Other", TRUE,"Unknown")</f>
        <v>Female</v>
      </c>
    </row>
    <row r="533" spans="1:15" x14ac:dyDescent="0.25">
      <c r="A533" t="s">
        <v>607</v>
      </c>
      <c r="B533" t="s">
        <v>29</v>
      </c>
      <c r="C533">
        <v>2</v>
      </c>
      <c r="D533">
        <v>22.9</v>
      </c>
      <c r="E533">
        <v>45.8</v>
      </c>
      <c r="F533" s="3">
        <v>45680</v>
      </c>
      <c r="G533" s="3">
        <v>45681</v>
      </c>
      <c r="H533" t="s">
        <v>12</v>
      </c>
      <c r="I533" t="s">
        <v>3</v>
      </c>
      <c r="J533">
        <v>4</v>
      </c>
      <c r="K533" t="s">
        <v>4</v>
      </c>
      <c r="L533" t="s">
        <v>40</v>
      </c>
      <c r="M533">
        <f>[1]!orders[[#This Row],[Ship Date]]-[1]!orders[[#This Row],[Order Date]]</f>
        <v>1</v>
      </c>
      <c r="N533">
        <f>WEEKNUM([1]!orders[[#This Row],[Order Date]])</f>
        <v>4</v>
      </c>
      <c r="O533" t="str" cm="1">
        <f t="array" ref="O533">_xlfn.IFS([1]!orders[[#This Row],[Customer Gender]]="M","Male", [1]!orders[[#This Row],[Customer Gender]]="F","Female", [1]!orders[[#This Row],[Customer Gender]]="O","Other", TRUE,"Unknown")</f>
        <v>Female</v>
      </c>
    </row>
    <row r="534" spans="1:15" x14ac:dyDescent="0.25">
      <c r="A534" s="1" t="s">
        <v>608</v>
      </c>
      <c r="B534" s="1" t="s">
        <v>7</v>
      </c>
      <c r="C534" s="1">
        <v>2</v>
      </c>
      <c r="D534" s="1">
        <v>37.6</v>
      </c>
      <c r="E534" s="1">
        <v>75.2</v>
      </c>
      <c r="F534" s="2">
        <v>45680</v>
      </c>
      <c r="G534" s="2">
        <v>45683</v>
      </c>
      <c r="H534" s="1" t="s">
        <v>12</v>
      </c>
      <c r="I534" s="1" t="s">
        <v>3</v>
      </c>
      <c r="J534" s="1">
        <v>4</v>
      </c>
      <c r="K534" s="1" t="s">
        <v>4</v>
      </c>
      <c r="L534" s="1" t="s">
        <v>40</v>
      </c>
      <c r="M534" s="1">
        <f>[1]!orders[[#This Row],[Ship Date]]-[1]!orders[[#This Row],[Order Date]]</f>
        <v>3</v>
      </c>
      <c r="N534" s="1">
        <f>WEEKNUM([1]!orders[[#This Row],[Order Date]])</f>
        <v>4</v>
      </c>
      <c r="O534" t="str" cm="1">
        <f t="array" ref="O534">_xlfn.IFS([1]!orders[[#This Row],[Customer Gender]]="M","Male", [1]!orders[[#This Row],[Customer Gender]]="F","Female", [1]!orders[[#This Row],[Customer Gender]]="O","Other", TRUE,"Unknown")</f>
        <v>Female</v>
      </c>
    </row>
    <row r="535" spans="1:15" x14ac:dyDescent="0.25">
      <c r="A535" t="s">
        <v>609</v>
      </c>
      <c r="B535" t="s">
        <v>24</v>
      </c>
      <c r="C535">
        <v>1</v>
      </c>
      <c r="D535">
        <v>42.4</v>
      </c>
      <c r="E535">
        <v>42.4</v>
      </c>
      <c r="F535" s="3">
        <v>45680</v>
      </c>
      <c r="G535" s="3">
        <v>45681</v>
      </c>
      <c r="H535" t="s">
        <v>12</v>
      </c>
      <c r="I535" t="s">
        <v>36</v>
      </c>
      <c r="J535">
        <v>5</v>
      </c>
      <c r="K535" t="s">
        <v>4</v>
      </c>
      <c r="L535" t="s">
        <v>40</v>
      </c>
      <c r="M535">
        <f>[1]!orders[[#This Row],[Ship Date]]-[1]!orders[[#This Row],[Order Date]]</f>
        <v>1</v>
      </c>
      <c r="N535">
        <f>WEEKNUM([1]!orders[[#This Row],[Order Date]])</f>
        <v>4</v>
      </c>
      <c r="O535" t="str" cm="1">
        <f t="array" ref="O535">_xlfn.IFS([1]!orders[[#This Row],[Customer Gender]]="M","Male", [1]!orders[[#This Row],[Customer Gender]]="F","Female", [1]!orders[[#This Row],[Customer Gender]]="O","Other", TRUE,"Unknown")</f>
        <v>Female</v>
      </c>
    </row>
    <row r="536" spans="1:15" x14ac:dyDescent="0.25">
      <c r="A536" s="1" t="s">
        <v>610</v>
      </c>
      <c r="B536" s="1" t="s">
        <v>29</v>
      </c>
      <c r="C536" s="1">
        <v>2</v>
      </c>
      <c r="D536" s="1">
        <v>19.600000000000001</v>
      </c>
      <c r="E536" s="1">
        <v>39.200000000000003</v>
      </c>
      <c r="F536" s="2">
        <v>45680</v>
      </c>
      <c r="G536" s="2">
        <v>45684</v>
      </c>
      <c r="H536" s="1" t="s">
        <v>12</v>
      </c>
      <c r="I536" s="1" t="s">
        <v>25</v>
      </c>
      <c r="J536" s="1">
        <v>4</v>
      </c>
      <c r="K536" s="1" t="s">
        <v>4</v>
      </c>
      <c r="L536" s="1" t="s">
        <v>44</v>
      </c>
      <c r="M536" s="1">
        <f>[1]!orders[[#This Row],[Ship Date]]-[1]!orders[[#This Row],[Order Date]]</f>
        <v>4</v>
      </c>
      <c r="N536" s="1">
        <f>WEEKNUM([1]!orders[[#This Row],[Order Date]])</f>
        <v>4</v>
      </c>
      <c r="O536" t="str" cm="1">
        <f t="array" ref="O536">_xlfn.IFS([1]!orders[[#This Row],[Customer Gender]]="M","Male", [1]!orders[[#This Row],[Customer Gender]]="F","Female", [1]!orders[[#This Row],[Customer Gender]]="O","Other", TRUE,"Unknown")</f>
        <v>Female</v>
      </c>
    </row>
    <row r="537" spans="1:15" x14ac:dyDescent="0.25">
      <c r="A537" t="s">
        <v>611</v>
      </c>
      <c r="B537" t="s">
        <v>31</v>
      </c>
      <c r="C537">
        <v>1</v>
      </c>
      <c r="D537">
        <v>90.5</v>
      </c>
      <c r="E537">
        <v>90.5</v>
      </c>
      <c r="F537" s="3">
        <v>45680</v>
      </c>
      <c r="G537" s="3">
        <v>45683</v>
      </c>
      <c r="H537" t="s">
        <v>12</v>
      </c>
      <c r="I537" t="s">
        <v>25</v>
      </c>
      <c r="J537">
        <v>4</v>
      </c>
      <c r="K537" t="s">
        <v>4</v>
      </c>
      <c r="L537" t="s">
        <v>44</v>
      </c>
      <c r="M537">
        <f>[1]!orders[[#This Row],[Ship Date]]-[1]!orders[[#This Row],[Order Date]]</f>
        <v>3</v>
      </c>
      <c r="N537">
        <f>WEEKNUM([1]!orders[[#This Row],[Order Date]])</f>
        <v>4</v>
      </c>
      <c r="O537" t="str" cm="1">
        <f t="array" ref="O537">_xlfn.IFS([1]!orders[[#This Row],[Customer Gender]]="M","Male", [1]!orders[[#This Row],[Customer Gender]]="F","Female", [1]!orders[[#This Row],[Customer Gender]]="O","Other", TRUE,"Unknown")</f>
        <v>Female</v>
      </c>
    </row>
    <row r="538" spans="1:15" x14ac:dyDescent="0.25">
      <c r="A538" s="1" t="s">
        <v>612</v>
      </c>
      <c r="B538" s="1" t="s">
        <v>113</v>
      </c>
      <c r="C538" s="1">
        <v>11</v>
      </c>
      <c r="D538" s="1">
        <v>33.9</v>
      </c>
      <c r="E538" s="1">
        <v>372.9</v>
      </c>
      <c r="F538" s="2">
        <v>45680</v>
      </c>
      <c r="G538" s="2">
        <v>45681</v>
      </c>
      <c r="H538" s="1" t="s">
        <v>8</v>
      </c>
      <c r="I538" s="1" t="s">
        <v>25</v>
      </c>
      <c r="J538" s="1">
        <v>3</v>
      </c>
      <c r="K538" s="1" t="s">
        <v>4</v>
      </c>
      <c r="L538" s="1" t="s">
        <v>44</v>
      </c>
      <c r="M538" s="1">
        <f>[1]!orders[[#This Row],[Ship Date]]-[1]!orders[[#This Row],[Order Date]]</f>
        <v>1</v>
      </c>
      <c r="N538" s="1">
        <f>WEEKNUM([1]!orders[[#This Row],[Order Date]])</f>
        <v>4</v>
      </c>
      <c r="O538" t="str" cm="1">
        <f t="array" ref="O538">_xlfn.IFS([1]!orders[[#This Row],[Customer Gender]]="M","Male", [1]!orders[[#This Row],[Customer Gender]]="F","Female", [1]!orders[[#This Row],[Customer Gender]]="O","Other", TRUE,"Unknown")</f>
        <v>Male</v>
      </c>
    </row>
    <row r="539" spans="1:15" x14ac:dyDescent="0.25">
      <c r="A539" t="s">
        <v>613</v>
      </c>
      <c r="B539" t="s">
        <v>1</v>
      </c>
      <c r="C539">
        <v>2</v>
      </c>
      <c r="D539">
        <v>32.799999999999997</v>
      </c>
      <c r="E539">
        <v>65.599999999999994</v>
      </c>
      <c r="F539" s="3">
        <v>45680</v>
      </c>
      <c r="G539" s="3">
        <v>45682</v>
      </c>
      <c r="H539" t="s">
        <v>12</v>
      </c>
      <c r="I539" t="s">
        <v>55</v>
      </c>
      <c r="J539">
        <v>2</v>
      </c>
      <c r="K539" t="s">
        <v>4</v>
      </c>
      <c r="L539" t="s">
        <v>47</v>
      </c>
      <c r="M539">
        <f>[1]!orders[[#This Row],[Ship Date]]-[1]!orders[[#This Row],[Order Date]]</f>
        <v>2</v>
      </c>
      <c r="N539">
        <f>WEEKNUM([1]!orders[[#This Row],[Order Date]])</f>
        <v>4</v>
      </c>
      <c r="O539" t="str" cm="1">
        <f t="array" ref="O539">_xlfn.IFS([1]!orders[[#This Row],[Customer Gender]]="M","Male", [1]!orders[[#This Row],[Customer Gender]]="F","Female", [1]!orders[[#This Row],[Customer Gender]]="O","Other", TRUE,"Unknown")</f>
        <v>Female</v>
      </c>
    </row>
    <row r="540" spans="1:15" x14ac:dyDescent="0.25">
      <c r="A540" s="1" t="s">
        <v>614</v>
      </c>
      <c r="B540" s="1" t="s">
        <v>108</v>
      </c>
      <c r="C540" s="1">
        <v>1</v>
      </c>
      <c r="D540" s="1">
        <v>49.9</v>
      </c>
      <c r="E540" s="1">
        <v>49.9</v>
      </c>
      <c r="F540" s="2">
        <v>45680</v>
      </c>
      <c r="G540" s="2">
        <v>45681</v>
      </c>
      <c r="H540" s="1" t="s">
        <v>8</v>
      </c>
      <c r="I540" s="1" t="s">
        <v>36</v>
      </c>
      <c r="J540" s="1">
        <v>3</v>
      </c>
      <c r="K540" s="1" t="s">
        <v>4</v>
      </c>
      <c r="L540" s="1" t="s">
        <v>47</v>
      </c>
      <c r="M540" s="1">
        <f>[1]!orders[[#This Row],[Ship Date]]-[1]!orders[[#This Row],[Order Date]]</f>
        <v>1</v>
      </c>
      <c r="N540" s="1">
        <f>WEEKNUM([1]!orders[[#This Row],[Order Date]])</f>
        <v>4</v>
      </c>
      <c r="O540" t="str" cm="1">
        <f t="array" ref="O540">_xlfn.IFS([1]!orders[[#This Row],[Customer Gender]]="M","Male", [1]!orders[[#This Row],[Customer Gender]]="F","Female", [1]!orders[[#This Row],[Customer Gender]]="O","Other", TRUE,"Unknown")</f>
        <v>Male</v>
      </c>
    </row>
    <row r="541" spans="1:15" x14ac:dyDescent="0.25">
      <c r="A541" t="s">
        <v>615</v>
      </c>
      <c r="B541" t="s">
        <v>27</v>
      </c>
      <c r="C541">
        <v>5</v>
      </c>
      <c r="D541">
        <v>79.2</v>
      </c>
      <c r="E541">
        <v>396</v>
      </c>
      <c r="F541" s="3">
        <v>45680</v>
      </c>
      <c r="G541" s="3">
        <v>45681</v>
      </c>
      <c r="H541" t="s">
        <v>12</v>
      </c>
      <c r="I541" t="s">
        <v>55</v>
      </c>
      <c r="J541">
        <v>4</v>
      </c>
      <c r="K541" t="s">
        <v>4</v>
      </c>
      <c r="L541" t="s">
        <v>47</v>
      </c>
      <c r="M541">
        <f>[1]!orders[[#This Row],[Ship Date]]-[1]!orders[[#This Row],[Order Date]]</f>
        <v>1</v>
      </c>
      <c r="N541">
        <f>WEEKNUM([1]!orders[[#This Row],[Order Date]])</f>
        <v>4</v>
      </c>
      <c r="O541" t="str" cm="1">
        <f t="array" ref="O541">_xlfn.IFS([1]!orders[[#This Row],[Customer Gender]]="M","Male", [1]!orders[[#This Row],[Customer Gender]]="F","Female", [1]!orders[[#This Row],[Customer Gender]]="O","Other", TRUE,"Unknown")</f>
        <v>Female</v>
      </c>
    </row>
    <row r="542" spans="1:15" x14ac:dyDescent="0.25">
      <c r="A542" s="1" t="s">
        <v>616</v>
      </c>
      <c r="B542" s="1" t="s">
        <v>29</v>
      </c>
      <c r="C542" s="1">
        <v>16</v>
      </c>
      <c r="D542" s="1">
        <v>19.5</v>
      </c>
      <c r="E542" s="1">
        <v>312</v>
      </c>
      <c r="F542" s="2">
        <v>45680</v>
      </c>
      <c r="G542" s="2">
        <v>45682</v>
      </c>
      <c r="H542" s="1" t="s">
        <v>8</v>
      </c>
      <c r="I542" s="1" t="s">
        <v>36</v>
      </c>
      <c r="J542" s="1">
        <v>5</v>
      </c>
      <c r="K542" s="1" t="s">
        <v>4</v>
      </c>
      <c r="L542" s="1" t="s">
        <v>47</v>
      </c>
      <c r="M542" s="1">
        <f>[1]!orders[[#This Row],[Ship Date]]-[1]!orders[[#This Row],[Order Date]]</f>
        <v>2</v>
      </c>
      <c r="N542" s="1">
        <f>WEEKNUM([1]!orders[[#This Row],[Order Date]])</f>
        <v>4</v>
      </c>
      <c r="O542" t="str" cm="1">
        <f t="array" ref="O542">_xlfn.IFS([1]!orders[[#This Row],[Customer Gender]]="M","Male", [1]!orders[[#This Row],[Customer Gender]]="F","Female", [1]!orders[[#This Row],[Customer Gender]]="O","Other", TRUE,"Unknown")</f>
        <v>Male</v>
      </c>
    </row>
    <row r="543" spans="1:15" x14ac:dyDescent="0.25">
      <c r="A543" t="s">
        <v>617</v>
      </c>
      <c r="B543" t="s">
        <v>29</v>
      </c>
      <c r="C543">
        <v>4</v>
      </c>
      <c r="D543">
        <v>18</v>
      </c>
      <c r="E543">
        <v>72</v>
      </c>
      <c r="F543" s="3">
        <v>45680</v>
      </c>
      <c r="G543" s="3">
        <v>45681</v>
      </c>
      <c r="H543" t="s">
        <v>8</v>
      </c>
      <c r="I543" t="s">
        <v>20</v>
      </c>
      <c r="J543">
        <v>4</v>
      </c>
      <c r="K543" t="s">
        <v>4</v>
      </c>
      <c r="L543" t="s">
        <v>59</v>
      </c>
      <c r="M543">
        <f>[1]!orders[[#This Row],[Ship Date]]-[1]!orders[[#This Row],[Order Date]]</f>
        <v>1</v>
      </c>
      <c r="N543">
        <f>WEEKNUM([1]!orders[[#This Row],[Order Date]])</f>
        <v>4</v>
      </c>
      <c r="O543" t="str" cm="1">
        <f t="array" ref="O543">_xlfn.IFS([1]!orders[[#This Row],[Customer Gender]]="M","Male", [1]!orders[[#This Row],[Customer Gender]]="F","Female", [1]!orders[[#This Row],[Customer Gender]]="O","Other", TRUE,"Unknown")</f>
        <v>Male</v>
      </c>
    </row>
    <row r="544" spans="1:15" x14ac:dyDescent="0.25">
      <c r="A544" s="1" t="s">
        <v>618</v>
      </c>
      <c r="B544" s="1" t="s">
        <v>31</v>
      </c>
      <c r="C544" s="1">
        <v>3</v>
      </c>
      <c r="D544" s="1">
        <v>45.9</v>
      </c>
      <c r="E544" s="1">
        <v>137.69999999999999</v>
      </c>
      <c r="F544" s="2">
        <v>45680</v>
      </c>
      <c r="G544" s="2">
        <v>45682</v>
      </c>
      <c r="H544" s="1" t="s">
        <v>12</v>
      </c>
      <c r="I544" s="1" t="s">
        <v>20</v>
      </c>
      <c r="J544" s="1">
        <v>3</v>
      </c>
      <c r="K544" s="1" t="s">
        <v>4</v>
      </c>
      <c r="L544" s="1" t="s">
        <v>59</v>
      </c>
      <c r="M544" s="1">
        <f>[1]!orders[[#This Row],[Ship Date]]-[1]!orders[[#This Row],[Order Date]]</f>
        <v>2</v>
      </c>
      <c r="N544" s="1">
        <f>WEEKNUM([1]!orders[[#This Row],[Order Date]])</f>
        <v>4</v>
      </c>
      <c r="O544" t="str" cm="1">
        <f t="array" ref="O544">_xlfn.IFS([1]!orders[[#This Row],[Customer Gender]]="M","Male", [1]!orders[[#This Row],[Customer Gender]]="F","Female", [1]!orders[[#This Row],[Customer Gender]]="O","Other", TRUE,"Unknown")</f>
        <v>Female</v>
      </c>
    </row>
    <row r="545" spans="1:15" x14ac:dyDescent="0.25">
      <c r="A545" t="s">
        <v>619</v>
      </c>
      <c r="B545" t="s">
        <v>52</v>
      </c>
      <c r="C545">
        <v>1</v>
      </c>
      <c r="D545">
        <v>41.2</v>
      </c>
      <c r="E545">
        <v>41.2</v>
      </c>
      <c r="F545" s="3">
        <v>45680</v>
      </c>
      <c r="G545" s="3">
        <v>45682</v>
      </c>
      <c r="H545" t="s">
        <v>12</v>
      </c>
      <c r="I545" t="s">
        <v>20</v>
      </c>
      <c r="J545">
        <v>5</v>
      </c>
      <c r="K545" t="s">
        <v>4</v>
      </c>
      <c r="L545" t="s">
        <v>62</v>
      </c>
      <c r="M545">
        <f>[1]!orders[[#This Row],[Ship Date]]-[1]!orders[[#This Row],[Order Date]]</f>
        <v>2</v>
      </c>
      <c r="N545">
        <f>WEEKNUM([1]!orders[[#This Row],[Order Date]])</f>
        <v>4</v>
      </c>
      <c r="O545" t="str" cm="1">
        <f t="array" ref="O545">_xlfn.IFS([1]!orders[[#This Row],[Customer Gender]]="M","Male", [1]!orders[[#This Row],[Customer Gender]]="F","Female", [1]!orders[[#This Row],[Customer Gender]]="O","Other", TRUE,"Unknown")</f>
        <v>Female</v>
      </c>
    </row>
    <row r="546" spans="1:15" x14ac:dyDescent="0.25">
      <c r="A546" s="1" t="s">
        <v>620</v>
      </c>
      <c r="B546" s="1" t="s">
        <v>11</v>
      </c>
      <c r="C546" s="1">
        <v>10</v>
      </c>
      <c r="D546" s="1">
        <v>167.2</v>
      </c>
      <c r="E546" s="1">
        <v>1672</v>
      </c>
      <c r="F546" s="2">
        <v>45680</v>
      </c>
      <c r="G546" s="2">
        <v>45682</v>
      </c>
      <c r="H546" s="1" t="s">
        <v>12</v>
      </c>
      <c r="I546" s="1" t="s">
        <v>25</v>
      </c>
      <c r="J546" s="1">
        <v>5</v>
      </c>
      <c r="K546" s="1" t="s">
        <v>4</v>
      </c>
      <c r="L546" s="1" t="s">
        <v>294</v>
      </c>
      <c r="M546" s="1">
        <f>[1]!orders[[#This Row],[Ship Date]]-[1]!orders[[#This Row],[Order Date]]</f>
        <v>2</v>
      </c>
      <c r="N546" s="1">
        <f>WEEKNUM([1]!orders[[#This Row],[Order Date]])</f>
        <v>4</v>
      </c>
      <c r="O546" t="str" cm="1">
        <f t="array" ref="O546">_xlfn.IFS([1]!orders[[#This Row],[Customer Gender]]="M","Male", [1]!orders[[#This Row],[Customer Gender]]="F","Female", [1]!orders[[#This Row],[Customer Gender]]="O","Other", TRUE,"Unknown")</f>
        <v>Female</v>
      </c>
    </row>
    <row r="547" spans="1:15" x14ac:dyDescent="0.25">
      <c r="A547" t="s">
        <v>621</v>
      </c>
      <c r="B547" t="s">
        <v>24</v>
      </c>
      <c r="C547">
        <v>30</v>
      </c>
      <c r="D547">
        <v>74.5</v>
      </c>
      <c r="E547">
        <v>2235</v>
      </c>
      <c r="F547" s="3">
        <v>45681</v>
      </c>
      <c r="G547" s="3">
        <v>45684</v>
      </c>
      <c r="H547" t="s">
        <v>12</v>
      </c>
      <c r="I547" t="s">
        <v>20</v>
      </c>
      <c r="J547">
        <v>5</v>
      </c>
      <c r="K547" t="s">
        <v>4</v>
      </c>
      <c r="L547" t="s">
        <v>362</v>
      </c>
      <c r="M547">
        <f>[1]!orders[[#This Row],[Ship Date]]-[1]!orders[[#This Row],[Order Date]]</f>
        <v>3</v>
      </c>
      <c r="N547">
        <f>WEEKNUM([1]!orders[[#This Row],[Order Date]])</f>
        <v>4</v>
      </c>
      <c r="O547" t="str" cm="1">
        <f t="array" ref="O547">_xlfn.IFS([1]!orders[[#This Row],[Customer Gender]]="M","Male", [1]!orders[[#This Row],[Customer Gender]]="F","Female", [1]!orders[[#This Row],[Customer Gender]]="O","Other", TRUE,"Unknown")</f>
        <v>Female</v>
      </c>
    </row>
    <row r="548" spans="1:15" x14ac:dyDescent="0.25">
      <c r="A548" s="1" t="s">
        <v>622</v>
      </c>
      <c r="B548" s="1" t="s">
        <v>27</v>
      </c>
      <c r="C548" s="1">
        <v>4</v>
      </c>
      <c r="D548" s="1">
        <v>39.299999999999997</v>
      </c>
      <c r="E548" s="1">
        <v>157.19999999999999</v>
      </c>
      <c r="F548" s="2">
        <v>45681</v>
      </c>
      <c r="G548" s="2">
        <v>45682</v>
      </c>
      <c r="H548" s="1" t="s">
        <v>2</v>
      </c>
      <c r="I548" s="1" t="s">
        <v>25</v>
      </c>
      <c r="J548" s="1">
        <v>4</v>
      </c>
      <c r="K548" s="1" t="s">
        <v>4</v>
      </c>
      <c r="L548" s="1" t="s">
        <v>95</v>
      </c>
      <c r="M548" s="1">
        <f>[1]!orders[[#This Row],[Ship Date]]-[1]!orders[[#This Row],[Order Date]]</f>
        <v>1</v>
      </c>
      <c r="N548" s="1">
        <f>WEEKNUM([1]!orders[[#This Row],[Order Date]])</f>
        <v>4</v>
      </c>
      <c r="O548" t="str" cm="1">
        <f t="array" ref="O548">_xlfn.IFS([1]!orders[[#This Row],[Customer Gender]]="M","Male", [1]!orders[[#This Row],[Customer Gender]]="F","Female", [1]!orders[[#This Row],[Customer Gender]]="O","Other", TRUE,"Unknown")</f>
        <v>Unknown</v>
      </c>
    </row>
    <row r="549" spans="1:15" x14ac:dyDescent="0.25">
      <c r="A549" t="s">
        <v>623</v>
      </c>
      <c r="B549" t="s">
        <v>31</v>
      </c>
      <c r="C549">
        <v>1</v>
      </c>
      <c r="D549">
        <v>68.5</v>
      </c>
      <c r="E549">
        <v>68.5</v>
      </c>
      <c r="F549" s="3">
        <v>45681</v>
      </c>
      <c r="G549" s="3">
        <v>45684</v>
      </c>
      <c r="H549" t="s">
        <v>8</v>
      </c>
      <c r="I549" t="s">
        <v>20</v>
      </c>
      <c r="J549">
        <v>5</v>
      </c>
      <c r="K549" t="s">
        <v>4</v>
      </c>
      <c r="L549" t="s">
        <v>64</v>
      </c>
      <c r="M549">
        <f>[1]!orders[[#This Row],[Ship Date]]-[1]!orders[[#This Row],[Order Date]]</f>
        <v>3</v>
      </c>
      <c r="N549">
        <f>WEEKNUM([1]!orders[[#This Row],[Order Date]])</f>
        <v>4</v>
      </c>
      <c r="O549" t="str" cm="1">
        <f t="array" ref="O549">_xlfn.IFS([1]!orders[[#This Row],[Customer Gender]]="M","Male", [1]!orders[[#This Row],[Customer Gender]]="F","Female", [1]!orders[[#This Row],[Customer Gender]]="O","Other", TRUE,"Unknown")</f>
        <v>Male</v>
      </c>
    </row>
    <row r="550" spans="1:15" x14ac:dyDescent="0.25">
      <c r="A550" s="1" t="s">
        <v>624</v>
      </c>
      <c r="B550" s="1" t="s">
        <v>1</v>
      </c>
      <c r="C550" s="1">
        <v>3</v>
      </c>
      <c r="D550" s="1">
        <v>22.5</v>
      </c>
      <c r="E550" s="1">
        <v>67.5</v>
      </c>
      <c r="F550" s="2">
        <v>45681</v>
      </c>
      <c r="G550" s="2">
        <v>45681</v>
      </c>
      <c r="H550" s="1" t="s">
        <v>12</v>
      </c>
      <c r="I550" s="1" t="s">
        <v>55</v>
      </c>
      <c r="J550" s="1">
        <v>4</v>
      </c>
      <c r="K550" s="1" t="s">
        <v>4</v>
      </c>
      <c r="L550" s="1" t="s">
        <v>67</v>
      </c>
      <c r="M550" s="1">
        <f>[1]!orders[[#This Row],[Ship Date]]-[1]!orders[[#This Row],[Order Date]]</f>
        <v>0</v>
      </c>
      <c r="N550" s="1">
        <f>WEEKNUM([1]!orders[[#This Row],[Order Date]])</f>
        <v>4</v>
      </c>
      <c r="O550" t="str" cm="1">
        <f t="array" ref="O550">_xlfn.IFS([1]!orders[[#This Row],[Customer Gender]]="M","Male", [1]!orders[[#This Row],[Customer Gender]]="F","Female", [1]!orders[[#This Row],[Customer Gender]]="O","Other", TRUE,"Unknown")</f>
        <v>Female</v>
      </c>
    </row>
    <row r="551" spans="1:15" x14ac:dyDescent="0.25">
      <c r="A551" t="s">
        <v>625</v>
      </c>
      <c r="B551" t="s">
        <v>7</v>
      </c>
      <c r="C551">
        <v>1</v>
      </c>
      <c r="D551">
        <v>48</v>
      </c>
      <c r="E551">
        <v>48</v>
      </c>
      <c r="F551" s="3">
        <v>45681</v>
      </c>
      <c r="G551" s="3">
        <v>45682</v>
      </c>
      <c r="H551" t="s">
        <v>74</v>
      </c>
      <c r="I551" t="s">
        <v>55</v>
      </c>
      <c r="J551">
        <v>3</v>
      </c>
      <c r="K551" t="s">
        <v>4</v>
      </c>
      <c r="L551" t="s">
        <v>626</v>
      </c>
      <c r="M551">
        <f>[1]!orders[[#This Row],[Ship Date]]-[1]!orders[[#This Row],[Order Date]]</f>
        <v>1</v>
      </c>
      <c r="N551">
        <f>WEEKNUM([1]!orders[[#This Row],[Order Date]])</f>
        <v>4</v>
      </c>
      <c r="O551" t="str" cm="1">
        <f t="array" ref="O551">_xlfn.IFS([1]!orders[[#This Row],[Customer Gender]]="M","Male", [1]!orders[[#This Row],[Customer Gender]]="F","Female", [1]!orders[[#This Row],[Customer Gender]]="O","Other", TRUE,"Unknown")</f>
        <v>Other</v>
      </c>
    </row>
    <row r="552" spans="1:15" x14ac:dyDescent="0.25">
      <c r="A552" s="1" t="s">
        <v>627</v>
      </c>
      <c r="B552" s="1" t="s">
        <v>24</v>
      </c>
      <c r="C552" s="1">
        <v>1</v>
      </c>
      <c r="D552" s="1">
        <v>94</v>
      </c>
      <c r="E552" s="1">
        <v>94</v>
      </c>
      <c r="F552" s="2">
        <v>45681</v>
      </c>
      <c r="G552" s="2">
        <v>45682</v>
      </c>
      <c r="H552" s="1" t="s">
        <v>8</v>
      </c>
      <c r="I552" s="1" t="s">
        <v>36</v>
      </c>
      <c r="J552" s="1">
        <v>3</v>
      </c>
      <c r="K552" s="1" t="s">
        <v>4</v>
      </c>
      <c r="L552" s="1" t="s">
        <v>9</v>
      </c>
      <c r="M552" s="1">
        <f>[1]!orders[[#This Row],[Ship Date]]-[1]!orders[[#This Row],[Order Date]]</f>
        <v>1</v>
      </c>
      <c r="N552" s="1">
        <f>WEEKNUM([1]!orders[[#This Row],[Order Date]])</f>
        <v>4</v>
      </c>
      <c r="O552" t="str" cm="1">
        <f t="array" ref="O552">_xlfn.IFS([1]!orders[[#This Row],[Customer Gender]]="M","Male", [1]!orders[[#This Row],[Customer Gender]]="F","Female", [1]!orders[[#This Row],[Customer Gender]]="O","Other", TRUE,"Unknown")</f>
        <v>Male</v>
      </c>
    </row>
    <row r="553" spans="1:15" x14ac:dyDescent="0.25">
      <c r="A553" t="s">
        <v>628</v>
      </c>
      <c r="B553" t="s">
        <v>29</v>
      </c>
      <c r="C553">
        <v>3</v>
      </c>
      <c r="D553">
        <v>21.9</v>
      </c>
      <c r="E553">
        <v>65.699999999999989</v>
      </c>
      <c r="F553" s="3">
        <v>45681</v>
      </c>
      <c r="G553" s="3">
        <v>45682</v>
      </c>
      <c r="H553" t="s">
        <v>12</v>
      </c>
      <c r="I553" t="s">
        <v>3</v>
      </c>
      <c r="J553">
        <v>4</v>
      </c>
      <c r="K553" t="s">
        <v>4</v>
      </c>
      <c r="L553" t="s">
        <v>572</v>
      </c>
      <c r="M553">
        <f>[1]!orders[[#This Row],[Ship Date]]-[1]!orders[[#This Row],[Order Date]]</f>
        <v>1</v>
      </c>
      <c r="N553">
        <f>WEEKNUM([1]!orders[[#This Row],[Order Date]])</f>
        <v>4</v>
      </c>
      <c r="O553" t="str" cm="1">
        <f t="array" ref="O553">_xlfn.IFS([1]!orders[[#This Row],[Customer Gender]]="M","Male", [1]!orders[[#This Row],[Customer Gender]]="F","Female", [1]!orders[[#This Row],[Customer Gender]]="O","Other", TRUE,"Unknown")</f>
        <v>Female</v>
      </c>
    </row>
    <row r="554" spans="1:15" x14ac:dyDescent="0.25">
      <c r="A554" s="1" t="s">
        <v>629</v>
      </c>
      <c r="B554" s="1" t="s">
        <v>24</v>
      </c>
      <c r="C554" s="1">
        <v>7</v>
      </c>
      <c r="D554" s="1">
        <v>64.900000000000006</v>
      </c>
      <c r="E554" s="1">
        <v>454.30000000000007</v>
      </c>
      <c r="F554" s="2">
        <v>45681</v>
      </c>
      <c r="G554" s="2">
        <v>45682</v>
      </c>
      <c r="H554" s="1" t="s">
        <v>12</v>
      </c>
      <c r="I554" s="1" t="s">
        <v>3</v>
      </c>
      <c r="J554" s="1">
        <v>4</v>
      </c>
      <c r="K554" s="1" t="s">
        <v>4</v>
      </c>
      <c r="L554" s="1" t="s">
        <v>18</v>
      </c>
      <c r="M554" s="1">
        <f>[1]!orders[[#This Row],[Ship Date]]-[1]!orders[[#This Row],[Order Date]]</f>
        <v>1</v>
      </c>
      <c r="N554" s="1">
        <f>WEEKNUM([1]!orders[[#This Row],[Order Date]])</f>
        <v>4</v>
      </c>
      <c r="O554" t="str" cm="1">
        <f t="array" ref="O554">_xlfn.IFS([1]!orders[[#This Row],[Customer Gender]]="M","Male", [1]!orders[[#This Row],[Customer Gender]]="F","Female", [1]!orders[[#This Row],[Customer Gender]]="O","Other", TRUE,"Unknown")</f>
        <v>Female</v>
      </c>
    </row>
    <row r="555" spans="1:15" x14ac:dyDescent="0.25">
      <c r="A555" t="s">
        <v>630</v>
      </c>
      <c r="B555" t="s">
        <v>54</v>
      </c>
      <c r="C555">
        <v>1</v>
      </c>
      <c r="D555">
        <v>52.9</v>
      </c>
      <c r="E555">
        <v>52.9</v>
      </c>
      <c r="F555" s="3">
        <v>45681</v>
      </c>
      <c r="G555" s="3">
        <v>45681</v>
      </c>
      <c r="H555" t="s">
        <v>12</v>
      </c>
      <c r="I555" t="s">
        <v>20</v>
      </c>
      <c r="J555">
        <v>3</v>
      </c>
      <c r="K555" t="s">
        <v>4</v>
      </c>
      <c r="L555" t="s">
        <v>18</v>
      </c>
      <c r="M555">
        <f>[1]!orders[[#This Row],[Ship Date]]-[1]!orders[[#This Row],[Order Date]]</f>
        <v>0</v>
      </c>
      <c r="N555">
        <f>WEEKNUM([1]!orders[[#This Row],[Order Date]])</f>
        <v>4</v>
      </c>
      <c r="O555" t="str" cm="1">
        <f t="array" ref="O555">_xlfn.IFS([1]!orders[[#This Row],[Customer Gender]]="M","Male", [1]!orders[[#This Row],[Customer Gender]]="F","Female", [1]!orders[[#This Row],[Customer Gender]]="O","Other", TRUE,"Unknown")</f>
        <v>Female</v>
      </c>
    </row>
    <row r="556" spans="1:15" x14ac:dyDescent="0.25">
      <c r="A556" s="1" t="s">
        <v>631</v>
      </c>
      <c r="B556" s="1" t="s">
        <v>29</v>
      </c>
      <c r="C556" s="1">
        <v>3</v>
      </c>
      <c r="D556" s="1">
        <v>25.5</v>
      </c>
      <c r="E556" s="1">
        <v>76.5</v>
      </c>
      <c r="F556" s="2">
        <v>45681</v>
      </c>
      <c r="G556" s="2">
        <v>45682</v>
      </c>
      <c r="H556" s="1" t="s">
        <v>12</v>
      </c>
      <c r="I556" s="1" t="s">
        <v>20</v>
      </c>
      <c r="J556" s="1">
        <v>5</v>
      </c>
      <c r="K556" s="1" t="s">
        <v>4</v>
      </c>
      <c r="L556" s="1" t="s">
        <v>18</v>
      </c>
      <c r="M556" s="1">
        <f>[1]!orders[[#This Row],[Ship Date]]-[1]!orders[[#This Row],[Order Date]]</f>
        <v>1</v>
      </c>
      <c r="N556" s="1">
        <f>WEEKNUM([1]!orders[[#This Row],[Order Date]])</f>
        <v>4</v>
      </c>
      <c r="O556" t="str" cm="1">
        <f t="array" ref="O556">_xlfn.IFS([1]!orders[[#This Row],[Customer Gender]]="M","Male", [1]!orders[[#This Row],[Customer Gender]]="F","Female", [1]!orders[[#This Row],[Customer Gender]]="O","Other", TRUE,"Unknown")</f>
        <v>Female</v>
      </c>
    </row>
    <row r="557" spans="1:15" x14ac:dyDescent="0.25">
      <c r="A557" t="s">
        <v>632</v>
      </c>
      <c r="B557" t="s">
        <v>24</v>
      </c>
      <c r="C557">
        <v>3</v>
      </c>
      <c r="D557">
        <v>51.9</v>
      </c>
      <c r="E557">
        <v>155.69999999999999</v>
      </c>
      <c r="F557" s="3">
        <v>45681</v>
      </c>
      <c r="G557" s="3">
        <v>45682</v>
      </c>
      <c r="H557" t="s">
        <v>12</v>
      </c>
      <c r="I557" t="s">
        <v>36</v>
      </c>
      <c r="J557">
        <v>4</v>
      </c>
      <c r="K557" t="s">
        <v>4</v>
      </c>
      <c r="L557" t="s">
        <v>18</v>
      </c>
      <c r="M557">
        <f>[1]!orders[[#This Row],[Ship Date]]-[1]!orders[[#This Row],[Order Date]]</f>
        <v>1</v>
      </c>
      <c r="N557">
        <f>WEEKNUM([1]!orders[[#This Row],[Order Date]])</f>
        <v>4</v>
      </c>
      <c r="O557" t="str" cm="1">
        <f t="array" ref="O557">_xlfn.IFS([1]!orders[[#This Row],[Customer Gender]]="M","Male", [1]!orders[[#This Row],[Customer Gender]]="F","Female", [1]!orders[[#This Row],[Customer Gender]]="O","Other", TRUE,"Unknown")</f>
        <v>Female</v>
      </c>
    </row>
    <row r="558" spans="1:15" x14ac:dyDescent="0.25">
      <c r="A558" s="1" t="s">
        <v>633</v>
      </c>
      <c r="B558" s="1" t="s">
        <v>22</v>
      </c>
      <c r="C558" s="1">
        <v>1</v>
      </c>
      <c r="D558" s="1">
        <v>46.3</v>
      </c>
      <c r="E558" s="1">
        <v>46.3</v>
      </c>
      <c r="F558" s="2">
        <v>45681</v>
      </c>
      <c r="G558" s="2">
        <v>45684</v>
      </c>
      <c r="H558" s="1" t="s">
        <v>12</v>
      </c>
      <c r="I558" s="1" t="s">
        <v>55</v>
      </c>
      <c r="J558" s="1">
        <v>4</v>
      </c>
      <c r="K558" s="1" t="s">
        <v>4</v>
      </c>
      <c r="L558" s="1" t="s">
        <v>18</v>
      </c>
      <c r="M558" s="1">
        <f>[1]!orders[[#This Row],[Ship Date]]-[1]!orders[[#This Row],[Order Date]]</f>
        <v>3</v>
      </c>
      <c r="N558" s="1">
        <f>WEEKNUM([1]!orders[[#This Row],[Order Date]])</f>
        <v>4</v>
      </c>
      <c r="O558" t="str" cm="1">
        <f t="array" ref="O558">_xlfn.IFS([1]!orders[[#This Row],[Customer Gender]]="M","Male", [1]!orders[[#This Row],[Customer Gender]]="F","Female", [1]!orders[[#This Row],[Customer Gender]]="O","Other", TRUE,"Unknown")</f>
        <v>Female</v>
      </c>
    </row>
    <row r="559" spans="1:15" x14ac:dyDescent="0.25">
      <c r="A559" t="s">
        <v>634</v>
      </c>
      <c r="B559" t="s">
        <v>24</v>
      </c>
      <c r="C559">
        <v>2</v>
      </c>
      <c r="D559">
        <v>68.2</v>
      </c>
      <c r="E559">
        <v>136.4</v>
      </c>
      <c r="F559" s="3">
        <v>45681</v>
      </c>
      <c r="G559" s="3">
        <v>45683</v>
      </c>
      <c r="H559" t="s">
        <v>12</v>
      </c>
      <c r="I559" t="s">
        <v>36</v>
      </c>
      <c r="J559">
        <v>4</v>
      </c>
      <c r="K559" t="s">
        <v>4</v>
      </c>
      <c r="L559" t="s">
        <v>18</v>
      </c>
      <c r="M559">
        <f>[1]!orders[[#This Row],[Ship Date]]-[1]!orders[[#This Row],[Order Date]]</f>
        <v>2</v>
      </c>
      <c r="N559">
        <f>WEEKNUM([1]!orders[[#This Row],[Order Date]])</f>
        <v>4</v>
      </c>
      <c r="O559" t="str" cm="1">
        <f t="array" ref="O559">_xlfn.IFS([1]!orders[[#This Row],[Customer Gender]]="M","Male", [1]!orders[[#This Row],[Customer Gender]]="F","Female", [1]!orders[[#This Row],[Customer Gender]]="O","Other", TRUE,"Unknown")</f>
        <v>Female</v>
      </c>
    </row>
    <row r="560" spans="1:15" x14ac:dyDescent="0.25">
      <c r="A560" s="1" t="s">
        <v>635</v>
      </c>
      <c r="B560" s="1" t="s">
        <v>7</v>
      </c>
      <c r="C560" s="1">
        <v>1</v>
      </c>
      <c r="D560" s="1">
        <v>40.299999999999997</v>
      </c>
      <c r="E560" s="1">
        <v>40.299999999999997</v>
      </c>
      <c r="F560" s="2">
        <v>45681</v>
      </c>
      <c r="G560" s="2">
        <v>45682</v>
      </c>
      <c r="H560" s="1" t="s">
        <v>8</v>
      </c>
      <c r="I560" s="1" t="s">
        <v>3</v>
      </c>
      <c r="J560" s="1">
        <v>3</v>
      </c>
      <c r="K560" s="1" t="s">
        <v>4</v>
      </c>
      <c r="L560" s="1" t="s">
        <v>18</v>
      </c>
      <c r="M560" s="1">
        <f>[1]!orders[[#This Row],[Ship Date]]-[1]!orders[[#This Row],[Order Date]]</f>
        <v>1</v>
      </c>
      <c r="N560" s="1">
        <f>WEEKNUM([1]!orders[[#This Row],[Order Date]])</f>
        <v>4</v>
      </c>
      <c r="O560" t="str" cm="1">
        <f t="array" ref="O560">_xlfn.IFS([1]!orders[[#This Row],[Customer Gender]]="M","Male", [1]!orders[[#This Row],[Customer Gender]]="F","Female", [1]!orders[[#This Row],[Customer Gender]]="O","Other", TRUE,"Unknown")</f>
        <v>Male</v>
      </c>
    </row>
    <row r="561" spans="1:15" x14ac:dyDescent="0.25">
      <c r="A561" t="s">
        <v>636</v>
      </c>
      <c r="B561" t="s">
        <v>11</v>
      </c>
      <c r="C561">
        <v>3</v>
      </c>
      <c r="D561">
        <v>91.3</v>
      </c>
      <c r="E561">
        <v>273.89999999999998</v>
      </c>
      <c r="F561" s="3">
        <v>45681</v>
      </c>
      <c r="G561" s="3">
        <v>45686</v>
      </c>
      <c r="H561" t="s">
        <v>8</v>
      </c>
      <c r="I561" t="s">
        <v>3</v>
      </c>
      <c r="J561">
        <v>5</v>
      </c>
      <c r="K561" t="s">
        <v>4</v>
      </c>
      <c r="L561" t="s">
        <v>40</v>
      </c>
      <c r="M561">
        <f>[1]!orders[[#This Row],[Ship Date]]-[1]!orders[[#This Row],[Order Date]]</f>
        <v>5</v>
      </c>
      <c r="N561">
        <f>WEEKNUM([1]!orders[[#This Row],[Order Date]])</f>
        <v>4</v>
      </c>
      <c r="O561" t="str" cm="1">
        <f t="array" ref="O561">_xlfn.IFS([1]!orders[[#This Row],[Customer Gender]]="M","Male", [1]!orders[[#This Row],[Customer Gender]]="F","Female", [1]!orders[[#This Row],[Customer Gender]]="O","Other", TRUE,"Unknown")</f>
        <v>Male</v>
      </c>
    </row>
    <row r="562" spans="1:15" x14ac:dyDescent="0.25">
      <c r="A562" s="1" t="s">
        <v>637</v>
      </c>
      <c r="B562" s="1" t="s">
        <v>1</v>
      </c>
      <c r="C562" s="1">
        <v>3</v>
      </c>
      <c r="D562" s="1">
        <v>11.9</v>
      </c>
      <c r="E562" s="1">
        <v>35.700000000000003</v>
      </c>
      <c r="F562" s="2">
        <v>45681</v>
      </c>
      <c r="G562" s="2">
        <v>45682</v>
      </c>
      <c r="H562" s="1" t="s">
        <v>12</v>
      </c>
      <c r="I562" s="1" t="s">
        <v>3</v>
      </c>
      <c r="J562" s="1">
        <v>3</v>
      </c>
      <c r="K562" s="1" t="s">
        <v>4</v>
      </c>
      <c r="L562" s="1" t="s">
        <v>40</v>
      </c>
      <c r="M562" s="1">
        <f>[1]!orders[[#This Row],[Ship Date]]-[1]!orders[[#This Row],[Order Date]]</f>
        <v>1</v>
      </c>
      <c r="N562" s="1">
        <f>WEEKNUM([1]!orders[[#This Row],[Order Date]])</f>
        <v>4</v>
      </c>
      <c r="O562" t="str" cm="1">
        <f t="array" ref="O562">_xlfn.IFS([1]!orders[[#This Row],[Customer Gender]]="M","Male", [1]!orders[[#This Row],[Customer Gender]]="F","Female", [1]!orders[[#This Row],[Customer Gender]]="O","Other", TRUE,"Unknown")</f>
        <v>Female</v>
      </c>
    </row>
    <row r="563" spans="1:15" x14ac:dyDescent="0.25">
      <c r="A563" t="s">
        <v>638</v>
      </c>
      <c r="B563" t="s">
        <v>11</v>
      </c>
      <c r="C563">
        <v>2</v>
      </c>
      <c r="D563">
        <v>63.5</v>
      </c>
      <c r="E563">
        <v>127</v>
      </c>
      <c r="F563" s="3">
        <v>45681</v>
      </c>
      <c r="G563" s="3">
        <v>45683</v>
      </c>
      <c r="H563" t="s">
        <v>8</v>
      </c>
      <c r="I563" t="s">
        <v>20</v>
      </c>
      <c r="J563">
        <v>4</v>
      </c>
      <c r="K563" t="s">
        <v>4</v>
      </c>
      <c r="L563" t="s">
        <v>40</v>
      </c>
      <c r="M563">
        <f>[1]!orders[[#This Row],[Ship Date]]-[1]!orders[[#This Row],[Order Date]]</f>
        <v>2</v>
      </c>
      <c r="N563">
        <f>WEEKNUM([1]!orders[[#This Row],[Order Date]])</f>
        <v>4</v>
      </c>
      <c r="O563" t="str" cm="1">
        <f t="array" ref="O563">_xlfn.IFS([1]!orders[[#This Row],[Customer Gender]]="M","Male", [1]!orders[[#This Row],[Customer Gender]]="F","Female", [1]!orders[[#This Row],[Customer Gender]]="O","Other", TRUE,"Unknown")</f>
        <v>Male</v>
      </c>
    </row>
    <row r="564" spans="1:15" x14ac:dyDescent="0.25">
      <c r="A564" s="1" t="s">
        <v>639</v>
      </c>
      <c r="B564" s="1" t="s">
        <v>17</v>
      </c>
      <c r="C564" s="1">
        <v>2</v>
      </c>
      <c r="D564" s="1">
        <v>27.1</v>
      </c>
      <c r="E564" s="1">
        <v>54.2</v>
      </c>
      <c r="F564" s="2">
        <v>45681</v>
      </c>
      <c r="G564" s="2">
        <v>45684</v>
      </c>
      <c r="H564" s="1" t="s">
        <v>8</v>
      </c>
      <c r="I564" s="1" t="s">
        <v>25</v>
      </c>
      <c r="J564" s="1">
        <v>5</v>
      </c>
      <c r="K564" s="1" t="s">
        <v>4</v>
      </c>
      <c r="L564" s="1" t="s">
        <v>40</v>
      </c>
      <c r="M564" s="1">
        <f>[1]!orders[[#This Row],[Ship Date]]-[1]!orders[[#This Row],[Order Date]]</f>
        <v>3</v>
      </c>
      <c r="N564" s="1">
        <f>WEEKNUM([1]!orders[[#This Row],[Order Date]])</f>
        <v>4</v>
      </c>
      <c r="O564" t="str" cm="1">
        <f t="array" ref="O564">_xlfn.IFS([1]!orders[[#This Row],[Customer Gender]]="M","Male", [1]!orders[[#This Row],[Customer Gender]]="F","Female", [1]!orders[[#This Row],[Customer Gender]]="O","Other", TRUE,"Unknown")</f>
        <v>Male</v>
      </c>
    </row>
    <row r="565" spans="1:15" x14ac:dyDescent="0.25">
      <c r="A565" t="s">
        <v>640</v>
      </c>
      <c r="B565" t="s">
        <v>7</v>
      </c>
      <c r="C565">
        <v>2</v>
      </c>
      <c r="D565">
        <v>82.1</v>
      </c>
      <c r="E565">
        <v>164.2</v>
      </c>
      <c r="F565" s="3">
        <v>45682</v>
      </c>
      <c r="G565" s="3">
        <v>45685</v>
      </c>
      <c r="H565" t="s">
        <v>8</v>
      </c>
      <c r="I565" t="s">
        <v>20</v>
      </c>
      <c r="J565">
        <v>3</v>
      </c>
      <c r="K565" t="s">
        <v>4</v>
      </c>
      <c r="L565" t="s">
        <v>44</v>
      </c>
      <c r="M565">
        <f>[1]!orders[[#This Row],[Ship Date]]-[1]!orders[[#This Row],[Order Date]]</f>
        <v>3</v>
      </c>
      <c r="N565">
        <f>WEEKNUM([1]!orders[[#This Row],[Order Date]])</f>
        <v>4</v>
      </c>
      <c r="O565" t="str" cm="1">
        <f t="array" ref="O565">_xlfn.IFS([1]!orders[[#This Row],[Customer Gender]]="M","Male", [1]!orders[[#This Row],[Customer Gender]]="F","Female", [1]!orders[[#This Row],[Customer Gender]]="O","Other", TRUE,"Unknown")</f>
        <v>Male</v>
      </c>
    </row>
    <row r="566" spans="1:15" x14ac:dyDescent="0.25">
      <c r="A566" s="1" t="s">
        <v>641</v>
      </c>
      <c r="B566" s="1" t="s">
        <v>15</v>
      </c>
      <c r="C566" s="1">
        <v>5</v>
      </c>
      <c r="D566" s="1">
        <v>42.9</v>
      </c>
      <c r="E566" s="1">
        <v>214.5</v>
      </c>
      <c r="F566" s="2">
        <v>45682</v>
      </c>
      <c r="G566" s="2">
        <v>45684</v>
      </c>
      <c r="H566" s="1" t="s">
        <v>12</v>
      </c>
      <c r="I566" s="1" t="s">
        <v>20</v>
      </c>
      <c r="J566" s="1">
        <v>4</v>
      </c>
      <c r="K566" s="1" t="s">
        <v>4</v>
      </c>
      <c r="L566" s="1" t="s">
        <v>47</v>
      </c>
      <c r="M566" s="1">
        <f>[1]!orders[[#This Row],[Ship Date]]-[1]!orders[[#This Row],[Order Date]]</f>
        <v>2</v>
      </c>
      <c r="N566" s="1">
        <f>WEEKNUM([1]!orders[[#This Row],[Order Date]])</f>
        <v>4</v>
      </c>
      <c r="O566" t="str" cm="1">
        <f t="array" ref="O566">_xlfn.IFS([1]!orders[[#This Row],[Customer Gender]]="M","Male", [1]!orders[[#This Row],[Customer Gender]]="F","Female", [1]!orders[[#This Row],[Customer Gender]]="O","Other", TRUE,"Unknown")</f>
        <v>Female</v>
      </c>
    </row>
    <row r="567" spans="1:15" x14ac:dyDescent="0.25">
      <c r="A567" t="s">
        <v>642</v>
      </c>
      <c r="B567" t="s">
        <v>29</v>
      </c>
      <c r="C567">
        <v>11</v>
      </c>
      <c r="D567">
        <v>37.9</v>
      </c>
      <c r="E567">
        <v>416.9</v>
      </c>
      <c r="F567" s="3">
        <v>45682</v>
      </c>
      <c r="G567" s="3">
        <v>45689</v>
      </c>
      <c r="H567" t="s">
        <v>8</v>
      </c>
      <c r="I567" t="s">
        <v>3</v>
      </c>
      <c r="J567">
        <v>4</v>
      </c>
      <c r="K567" t="s">
        <v>4</v>
      </c>
      <c r="L567" t="s">
        <v>47</v>
      </c>
      <c r="M567">
        <f>[1]!orders[[#This Row],[Ship Date]]-[1]!orders[[#This Row],[Order Date]]</f>
        <v>7</v>
      </c>
      <c r="N567">
        <f>WEEKNUM([1]!orders[[#This Row],[Order Date]])</f>
        <v>4</v>
      </c>
      <c r="O567" t="str" cm="1">
        <f t="array" ref="O567">_xlfn.IFS([1]!orders[[#This Row],[Customer Gender]]="M","Male", [1]!orders[[#This Row],[Customer Gender]]="F","Female", [1]!orders[[#This Row],[Customer Gender]]="O","Other", TRUE,"Unknown")</f>
        <v>Male</v>
      </c>
    </row>
    <row r="568" spans="1:15" x14ac:dyDescent="0.25">
      <c r="A568" s="1" t="s">
        <v>643</v>
      </c>
      <c r="B568" s="1" t="s">
        <v>1</v>
      </c>
      <c r="C568" s="1">
        <v>1</v>
      </c>
      <c r="D568" s="1">
        <v>22.4</v>
      </c>
      <c r="E568" s="1">
        <v>22.4</v>
      </c>
      <c r="F568" s="2">
        <v>45682</v>
      </c>
      <c r="G568" s="2">
        <v>45683</v>
      </c>
      <c r="H568" s="1" t="s">
        <v>12</v>
      </c>
      <c r="I568" s="1" t="s">
        <v>3</v>
      </c>
      <c r="J568" s="1">
        <v>3</v>
      </c>
      <c r="K568" s="1" t="s">
        <v>4</v>
      </c>
      <c r="L568" s="1" t="s">
        <v>88</v>
      </c>
      <c r="M568" s="1">
        <f>[1]!orders[[#This Row],[Ship Date]]-[1]!orders[[#This Row],[Order Date]]</f>
        <v>1</v>
      </c>
      <c r="N568" s="1">
        <f>WEEKNUM([1]!orders[[#This Row],[Order Date]])</f>
        <v>4</v>
      </c>
      <c r="O568" t="str" cm="1">
        <f t="array" ref="O568">_xlfn.IFS([1]!orders[[#This Row],[Customer Gender]]="M","Male", [1]!orders[[#This Row],[Customer Gender]]="F","Female", [1]!orders[[#This Row],[Customer Gender]]="O","Other", TRUE,"Unknown")</f>
        <v>Female</v>
      </c>
    </row>
    <row r="569" spans="1:15" x14ac:dyDescent="0.25">
      <c r="A569" t="s">
        <v>644</v>
      </c>
      <c r="B569" t="s">
        <v>11</v>
      </c>
      <c r="C569">
        <v>13</v>
      </c>
      <c r="D569">
        <v>79.900000000000006</v>
      </c>
      <c r="E569">
        <v>1038.7</v>
      </c>
      <c r="F569" s="3">
        <v>45682</v>
      </c>
      <c r="G569" s="3">
        <v>45695</v>
      </c>
      <c r="H569" t="s">
        <v>12</v>
      </c>
      <c r="I569" t="s">
        <v>36</v>
      </c>
      <c r="J569">
        <v>3</v>
      </c>
      <c r="K569" t="s">
        <v>4</v>
      </c>
      <c r="L569" t="s">
        <v>62</v>
      </c>
      <c r="M569">
        <f>[1]!orders[[#This Row],[Ship Date]]-[1]!orders[[#This Row],[Order Date]]</f>
        <v>13</v>
      </c>
      <c r="N569">
        <f>WEEKNUM([1]!orders[[#This Row],[Order Date]])</f>
        <v>4</v>
      </c>
      <c r="O569" t="str" cm="1">
        <f t="array" ref="O569">_xlfn.IFS([1]!orders[[#This Row],[Customer Gender]]="M","Male", [1]!orders[[#This Row],[Customer Gender]]="F","Female", [1]!orders[[#This Row],[Customer Gender]]="O","Other", TRUE,"Unknown")</f>
        <v>Female</v>
      </c>
    </row>
    <row r="570" spans="1:15" x14ac:dyDescent="0.25">
      <c r="A570" s="1" t="s">
        <v>645</v>
      </c>
      <c r="B570" s="1" t="s">
        <v>7</v>
      </c>
      <c r="C570" s="1">
        <v>1</v>
      </c>
      <c r="D570" s="1">
        <v>70.599999999999994</v>
      </c>
      <c r="E570" s="1">
        <v>70.599999999999994</v>
      </c>
      <c r="F570" s="2">
        <v>45682</v>
      </c>
      <c r="G570" s="2">
        <v>45685</v>
      </c>
      <c r="H570" s="1" t="s">
        <v>12</v>
      </c>
      <c r="I570" s="1" t="s">
        <v>3</v>
      </c>
      <c r="J570" s="1">
        <v>3</v>
      </c>
      <c r="K570" s="1" t="s">
        <v>4</v>
      </c>
      <c r="L570" s="1" t="s">
        <v>62</v>
      </c>
      <c r="M570" s="1">
        <f>[1]!orders[[#This Row],[Ship Date]]-[1]!orders[[#This Row],[Order Date]]</f>
        <v>3</v>
      </c>
      <c r="N570" s="1">
        <f>WEEKNUM([1]!orders[[#This Row],[Order Date]])</f>
        <v>4</v>
      </c>
      <c r="O570" t="str" cm="1">
        <f t="array" ref="O570">_xlfn.IFS([1]!orders[[#This Row],[Customer Gender]]="M","Male", [1]!orders[[#This Row],[Customer Gender]]="F","Female", [1]!orders[[#This Row],[Customer Gender]]="O","Other", TRUE,"Unknown")</f>
        <v>Female</v>
      </c>
    </row>
    <row r="571" spans="1:15" x14ac:dyDescent="0.25">
      <c r="A571" t="s">
        <v>646</v>
      </c>
      <c r="B571" t="s">
        <v>24</v>
      </c>
      <c r="C571">
        <v>1</v>
      </c>
      <c r="D571">
        <v>49.5</v>
      </c>
      <c r="E571">
        <v>49.5</v>
      </c>
      <c r="F571" s="3">
        <v>45682</v>
      </c>
      <c r="G571" s="3">
        <v>45684</v>
      </c>
      <c r="H571" t="s">
        <v>8</v>
      </c>
      <c r="I571" t="s">
        <v>3</v>
      </c>
      <c r="J571">
        <v>4</v>
      </c>
      <c r="K571" t="s">
        <v>4</v>
      </c>
      <c r="L571" t="s">
        <v>67</v>
      </c>
      <c r="M571">
        <f>[1]!orders[[#This Row],[Ship Date]]-[1]!orders[[#This Row],[Order Date]]</f>
        <v>2</v>
      </c>
      <c r="N571">
        <f>WEEKNUM([1]!orders[[#This Row],[Order Date]])</f>
        <v>4</v>
      </c>
      <c r="O571" t="str" cm="1">
        <f t="array" ref="O571">_xlfn.IFS([1]!orders[[#This Row],[Customer Gender]]="M","Male", [1]!orders[[#This Row],[Customer Gender]]="F","Female", [1]!orders[[#This Row],[Customer Gender]]="O","Other", TRUE,"Unknown")</f>
        <v>Male</v>
      </c>
    </row>
    <row r="572" spans="1:15" x14ac:dyDescent="0.25">
      <c r="A572" s="1" t="s">
        <v>647</v>
      </c>
      <c r="B572" s="1" t="s">
        <v>11</v>
      </c>
      <c r="C572" s="1">
        <v>2</v>
      </c>
      <c r="D572" s="1">
        <v>96.6</v>
      </c>
      <c r="E572" s="1">
        <v>193.2</v>
      </c>
      <c r="F572" s="2">
        <v>45682</v>
      </c>
      <c r="G572" s="2">
        <v>45684</v>
      </c>
      <c r="H572" s="1" t="s">
        <v>8</v>
      </c>
      <c r="I572" s="1" t="s">
        <v>3</v>
      </c>
      <c r="J572" s="1">
        <v>4</v>
      </c>
      <c r="K572" s="1" t="s">
        <v>4</v>
      </c>
      <c r="L572" s="1" t="s">
        <v>100</v>
      </c>
      <c r="M572" s="1">
        <f>[1]!orders[[#This Row],[Ship Date]]-[1]!orders[[#This Row],[Order Date]]</f>
        <v>2</v>
      </c>
      <c r="N572" s="1">
        <f>WEEKNUM([1]!orders[[#This Row],[Order Date]])</f>
        <v>4</v>
      </c>
      <c r="O572" t="str" cm="1">
        <f t="array" ref="O572">_xlfn.IFS([1]!orders[[#This Row],[Customer Gender]]="M","Male", [1]!orders[[#This Row],[Customer Gender]]="F","Female", [1]!orders[[#This Row],[Customer Gender]]="O","Other", TRUE,"Unknown")</f>
        <v>Male</v>
      </c>
    </row>
    <row r="573" spans="1:15" x14ac:dyDescent="0.25">
      <c r="A573" t="s">
        <v>648</v>
      </c>
      <c r="B573" t="s">
        <v>24</v>
      </c>
      <c r="C573">
        <v>2</v>
      </c>
      <c r="D573">
        <v>52.8</v>
      </c>
      <c r="E573">
        <v>105.6</v>
      </c>
      <c r="F573" s="3">
        <v>45682</v>
      </c>
      <c r="G573" s="3">
        <v>45683</v>
      </c>
      <c r="H573" t="s">
        <v>12</v>
      </c>
      <c r="I573" t="s">
        <v>20</v>
      </c>
      <c r="J573">
        <v>3</v>
      </c>
      <c r="K573" t="s">
        <v>4</v>
      </c>
      <c r="L573" t="s">
        <v>100</v>
      </c>
      <c r="M573">
        <f>[1]!orders[[#This Row],[Ship Date]]-[1]!orders[[#This Row],[Order Date]]</f>
        <v>1</v>
      </c>
      <c r="N573">
        <f>WEEKNUM([1]!orders[[#This Row],[Order Date]])</f>
        <v>4</v>
      </c>
      <c r="O573" t="str" cm="1">
        <f t="array" ref="O573">_xlfn.IFS([1]!orders[[#This Row],[Customer Gender]]="M","Male", [1]!orders[[#This Row],[Customer Gender]]="F","Female", [1]!orders[[#This Row],[Customer Gender]]="O","Other", TRUE,"Unknown")</f>
        <v>Female</v>
      </c>
    </row>
    <row r="574" spans="1:15" x14ac:dyDescent="0.25">
      <c r="A574" s="1" t="s">
        <v>649</v>
      </c>
      <c r="B574" s="1" t="s">
        <v>11</v>
      </c>
      <c r="C574" s="1">
        <v>1</v>
      </c>
      <c r="D574" s="1">
        <v>101.7</v>
      </c>
      <c r="E574" s="1">
        <v>101.7</v>
      </c>
      <c r="F574" s="2">
        <v>45682</v>
      </c>
      <c r="G574" s="2">
        <v>45683</v>
      </c>
      <c r="H574" s="1" t="s">
        <v>8</v>
      </c>
      <c r="I574" s="1" t="s">
        <v>3</v>
      </c>
      <c r="J574" s="1">
        <v>4</v>
      </c>
      <c r="K574" s="1" t="s">
        <v>4</v>
      </c>
      <c r="L574" s="1" t="s">
        <v>9</v>
      </c>
      <c r="M574" s="1">
        <f>[1]!orders[[#This Row],[Ship Date]]-[1]!orders[[#This Row],[Order Date]]</f>
        <v>1</v>
      </c>
      <c r="N574" s="1">
        <f>WEEKNUM([1]!orders[[#This Row],[Order Date]])</f>
        <v>4</v>
      </c>
      <c r="O574" t="str" cm="1">
        <f t="array" ref="O574">_xlfn.IFS([1]!orders[[#This Row],[Customer Gender]]="M","Male", [1]!orders[[#This Row],[Customer Gender]]="F","Female", [1]!orders[[#This Row],[Customer Gender]]="O","Other", TRUE,"Unknown")</f>
        <v>Male</v>
      </c>
    </row>
    <row r="575" spans="1:15" x14ac:dyDescent="0.25">
      <c r="A575" t="s">
        <v>650</v>
      </c>
      <c r="B575" t="s">
        <v>17</v>
      </c>
      <c r="C575">
        <v>5</v>
      </c>
      <c r="D575">
        <v>26.9</v>
      </c>
      <c r="E575">
        <v>134.5</v>
      </c>
      <c r="F575" s="3">
        <v>45682</v>
      </c>
      <c r="G575" s="3">
        <v>45687</v>
      </c>
      <c r="H575" t="s">
        <v>12</v>
      </c>
      <c r="I575" t="s">
        <v>20</v>
      </c>
      <c r="J575">
        <v>3</v>
      </c>
      <c r="K575" t="s">
        <v>4</v>
      </c>
      <c r="L575" t="s">
        <v>132</v>
      </c>
      <c r="M575">
        <f>[1]!orders[[#This Row],[Ship Date]]-[1]!orders[[#This Row],[Order Date]]</f>
        <v>5</v>
      </c>
      <c r="N575">
        <f>WEEKNUM([1]!orders[[#This Row],[Order Date]])</f>
        <v>4</v>
      </c>
      <c r="O575" t="str" cm="1">
        <f t="array" ref="O575">_xlfn.IFS([1]!orders[[#This Row],[Customer Gender]]="M","Male", [1]!orders[[#This Row],[Customer Gender]]="F","Female", [1]!orders[[#This Row],[Customer Gender]]="O","Other", TRUE,"Unknown")</f>
        <v>Female</v>
      </c>
    </row>
    <row r="576" spans="1:15" x14ac:dyDescent="0.25">
      <c r="A576" s="1" t="s">
        <v>651</v>
      </c>
      <c r="B576" s="1" t="s">
        <v>11</v>
      </c>
      <c r="C576" s="1">
        <v>4</v>
      </c>
      <c r="D576" s="1">
        <v>211</v>
      </c>
      <c r="E576" s="1">
        <v>844</v>
      </c>
      <c r="F576" s="2">
        <v>45682</v>
      </c>
      <c r="G576" s="2">
        <v>45682</v>
      </c>
      <c r="H576" s="1" t="s">
        <v>12</v>
      </c>
      <c r="I576" s="1" t="s">
        <v>20</v>
      </c>
      <c r="J576" s="1">
        <v>3</v>
      </c>
      <c r="K576" s="1" t="s">
        <v>4</v>
      </c>
      <c r="L576" s="1" t="s">
        <v>18</v>
      </c>
      <c r="M576" s="1">
        <f>[1]!orders[[#This Row],[Ship Date]]-[1]!orders[[#This Row],[Order Date]]</f>
        <v>0</v>
      </c>
      <c r="N576" s="1">
        <f>WEEKNUM([1]!orders[[#This Row],[Order Date]])</f>
        <v>4</v>
      </c>
      <c r="O576" t="str" cm="1">
        <f t="array" ref="O576">_xlfn.IFS([1]!orders[[#This Row],[Customer Gender]]="M","Male", [1]!orders[[#This Row],[Customer Gender]]="F","Female", [1]!orders[[#This Row],[Customer Gender]]="O","Other", TRUE,"Unknown")</f>
        <v>Female</v>
      </c>
    </row>
    <row r="577" spans="1:15" x14ac:dyDescent="0.25">
      <c r="A577" t="s">
        <v>652</v>
      </c>
      <c r="B577" t="s">
        <v>1</v>
      </c>
      <c r="C577">
        <v>4</v>
      </c>
      <c r="D577">
        <v>21.1</v>
      </c>
      <c r="E577">
        <v>84.4</v>
      </c>
      <c r="F577" s="3">
        <v>45682</v>
      </c>
      <c r="G577" s="3">
        <v>45685</v>
      </c>
      <c r="H577" t="s">
        <v>8</v>
      </c>
      <c r="I577" t="s">
        <v>55</v>
      </c>
      <c r="J577">
        <v>4</v>
      </c>
      <c r="K577" t="s">
        <v>4</v>
      </c>
      <c r="L577" t="s">
        <v>18</v>
      </c>
      <c r="M577">
        <f>[1]!orders[[#This Row],[Ship Date]]-[1]!orders[[#This Row],[Order Date]]</f>
        <v>3</v>
      </c>
      <c r="N577">
        <f>WEEKNUM([1]!orders[[#This Row],[Order Date]])</f>
        <v>4</v>
      </c>
      <c r="O577" t="str" cm="1">
        <f t="array" ref="O577">_xlfn.IFS([1]!orders[[#This Row],[Customer Gender]]="M","Male", [1]!orders[[#This Row],[Customer Gender]]="F","Female", [1]!orders[[#This Row],[Customer Gender]]="O","Other", TRUE,"Unknown")</f>
        <v>Male</v>
      </c>
    </row>
    <row r="578" spans="1:15" x14ac:dyDescent="0.25">
      <c r="A578" s="1" t="s">
        <v>653</v>
      </c>
      <c r="B578" s="1" t="s">
        <v>39</v>
      </c>
      <c r="C578" s="1">
        <v>1</v>
      </c>
      <c r="D578" s="1">
        <v>26.6</v>
      </c>
      <c r="E578" s="1">
        <v>26.6</v>
      </c>
      <c r="F578" s="2">
        <v>45682</v>
      </c>
      <c r="G578" s="2">
        <v>45684</v>
      </c>
      <c r="H578" s="1" t="s">
        <v>8</v>
      </c>
      <c r="I578" s="1" t="s">
        <v>3</v>
      </c>
      <c r="J578" s="1">
        <v>2</v>
      </c>
      <c r="K578" s="1" t="s">
        <v>4</v>
      </c>
      <c r="L578" s="1" t="s">
        <v>18</v>
      </c>
      <c r="M578" s="1">
        <f>[1]!orders[[#This Row],[Ship Date]]-[1]!orders[[#This Row],[Order Date]]</f>
        <v>2</v>
      </c>
      <c r="N578" s="1">
        <f>WEEKNUM([1]!orders[[#This Row],[Order Date]])</f>
        <v>4</v>
      </c>
      <c r="O578" t="str" cm="1">
        <f t="array" ref="O578">_xlfn.IFS([1]!orders[[#This Row],[Customer Gender]]="M","Male", [1]!orders[[#This Row],[Customer Gender]]="F","Female", [1]!orders[[#This Row],[Customer Gender]]="O","Other", TRUE,"Unknown")</f>
        <v>Male</v>
      </c>
    </row>
    <row r="579" spans="1:15" x14ac:dyDescent="0.25">
      <c r="A579" t="s">
        <v>654</v>
      </c>
      <c r="B579" t="s">
        <v>54</v>
      </c>
      <c r="C579">
        <v>4</v>
      </c>
      <c r="D579">
        <v>51.2</v>
      </c>
      <c r="E579">
        <v>204.8</v>
      </c>
      <c r="F579" s="3">
        <v>45682</v>
      </c>
      <c r="G579" s="3">
        <v>45683</v>
      </c>
      <c r="H579" t="s">
        <v>12</v>
      </c>
      <c r="I579" t="s">
        <v>36</v>
      </c>
      <c r="J579">
        <v>4</v>
      </c>
      <c r="K579" t="s">
        <v>4</v>
      </c>
      <c r="L579" t="s">
        <v>655</v>
      </c>
      <c r="M579">
        <f>[1]!orders[[#This Row],[Ship Date]]-[1]!orders[[#This Row],[Order Date]]</f>
        <v>1</v>
      </c>
      <c r="N579">
        <f>WEEKNUM([1]!orders[[#This Row],[Order Date]])</f>
        <v>4</v>
      </c>
      <c r="O579" t="str" cm="1">
        <f t="array" ref="O579">_xlfn.IFS([1]!orders[[#This Row],[Customer Gender]]="M","Male", [1]!orders[[#This Row],[Customer Gender]]="F","Female", [1]!orders[[#This Row],[Customer Gender]]="O","Other", TRUE,"Unknown")</f>
        <v>Female</v>
      </c>
    </row>
    <row r="580" spans="1:15" x14ac:dyDescent="0.25">
      <c r="A580" s="1" t="s">
        <v>656</v>
      </c>
      <c r="B580" s="1" t="s">
        <v>1</v>
      </c>
      <c r="C580" s="1">
        <v>5</v>
      </c>
      <c r="D580" s="1">
        <v>10.6</v>
      </c>
      <c r="E580" s="1">
        <v>53</v>
      </c>
      <c r="F580" s="2">
        <v>45682</v>
      </c>
      <c r="G580" s="2">
        <v>45686</v>
      </c>
      <c r="H580" s="1" t="s">
        <v>12</v>
      </c>
      <c r="I580" s="1" t="s">
        <v>3</v>
      </c>
      <c r="J580" s="1">
        <v>4</v>
      </c>
      <c r="K580" s="1" t="s">
        <v>4</v>
      </c>
      <c r="L580" s="1" t="s">
        <v>47</v>
      </c>
      <c r="M580" s="1">
        <f>[1]!orders[[#This Row],[Ship Date]]-[1]!orders[[#This Row],[Order Date]]</f>
        <v>4</v>
      </c>
      <c r="N580" s="1">
        <f>WEEKNUM([1]!orders[[#This Row],[Order Date]])</f>
        <v>4</v>
      </c>
      <c r="O580" t="str" cm="1">
        <f t="array" ref="O580">_xlfn.IFS([1]!orders[[#This Row],[Customer Gender]]="M","Male", [1]!orders[[#This Row],[Customer Gender]]="F","Female", [1]!orders[[#This Row],[Customer Gender]]="O","Other", TRUE,"Unknown")</f>
        <v>Female</v>
      </c>
    </row>
    <row r="581" spans="1:15" x14ac:dyDescent="0.25">
      <c r="A581" t="s">
        <v>657</v>
      </c>
      <c r="B581" t="s">
        <v>24</v>
      </c>
      <c r="C581">
        <v>3</v>
      </c>
      <c r="D581">
        <v>43.4</v>
      </c>
      <c r="E581">
        <v>130.19999999999999</v>
      </c>
      <c r="F581" s="3">
        <v>45682</v>
      </c>
      <c r="G581" s="3">
        <v>45685</v>
      </c>
      <c r="H581" t="s">
        <v>12</v>
      </c>
      <c r="I581" t="s">
        <v>55</v>
      </c>
      <c r="J581">
        <v>4</v>
      </c>
      <c r="K581" t="s">
        <v>4</v>
      </c>
      <c r="L581" t="s">
        <v>47</v>
      </c>
      <c r="M581">
        <f>[1]!orders[[#This Row],[Ship Date]]-[1]!orders[[#This Row],[Order Date]]</f>
        <v>3</v>
      </c>
      <c r="N581">
        <f>WEEKNUM([1]!orders[[#This Row],[Order Date]])</f>
        <v>4</v>
      </c>
      <c r="O581" t="str" cm="1">
        <f t="array" ref="O581">_xlfn.IFS([1]!orders[[#This Row],[Customer Gender]]="M","Male", [1]!orders[[#This Row],[Customer Gender]]="F","Female", [1]!orders[[#This Row],[Customer Gender]]="O","Other", TRUE,"Unknown")</f>
        <v>Female</v>
      </c>
    </row>
    <row r="582" spans="1:15" x14ac:dyDescent="0.25">
      <c r="A582" s="1" t="s">
        <v>658</v>
      </c>
      <c r="B582" s="1" t="s">
        <v>54</v>
      </c>
      <c r="C582" s="1">
        <v>1</v>
      </c>
      <c r="D582" s="1">
        <v>80</v>
      </c>
      <c r="E582" s="1">
        <v>80</v>
      </c>
      <c r="F582" s="2">
        <v>45682</v>
      </c>
      <c r="G582" s="2">
        <v>45682</v>
      </c>
      <c r="H582" s="1" t="s">
        <v>12</v>
      </c>
      <c r="I582" s="1" t="s">
        <v>3</v>
      </c>
      <c r="J582" s="1">
        <v>5</v>
      </c>
      <c r="K582" s="1" t="s">
        <v>4</v>
      </c>
      <c r="L582" s="1" t="s">
        <v>47</v>
      </c>
      <c r="M582" s="1">
        <f>[1]!orders[[#This Row],[Ship Date]]-[1]!orders[[#This Row],[Order Date]]</f>
        <v>0</v>
      </c>
      <c r="N582" s="1">
        <f>WEEKNUM([1]!orders[[#This Row],[Order Date]])</f>
        <v>4</v>
      </c>
      <c r="O582" t="str" cm="1">
        <f t="array" ref="O582">_xlfn.IFS([1]!orders[[#This Row],[Customer Gender]]="M","Male", [1]!orders[[#This Row],[Customer Gender]]="F","Female", [1]!orders[[#This Row],[Customer Gender]]="O","Other", TRUE,"Unknown")</f>
        <v>Female</v>
      </c>
    </row>
    <row r="583" spans="1:15" x14ac:dyDescent="0.25">
      <c r="A583" t="s">
        <v>659</v>
      </c>
      <c r="B583" t="s">
        <v>39</v>
      </c>
      <c r="C583">
        <v>4</v>
      </c>
      <c r="D583">
        <v>64.7</v>
      </c>
      <c r="E583">
        <v>258.8</v>
      </c>
      <c r="F583" s="3">
        <v>45682</v>
      </c>
      <c r="G583" s="3">
        <v>45684</v>
      </c>
      <c r="H583" t="s">
        <v>12</v>
      </c>
      <c r="I583" t="s">
        <v>20</v>
      </c>
      <c r="J583">
        <v>2</v>
      </c>
      <c r="K583" t="s">
        <v>4</v>
      </c>
      <c r="L583" t="s">
        <v>47</v>
      </c>
      <c r="M583">
        <f>[1]!orders[[#This Row],[Ship Date]]-[1]!orders[[#This Row],[Order Date]]</f>
        <v>2</v>
      </c>
      <c r="N583">
        <f>WEEKNUM([1]!orders[[#This Row],[Order Date]])</f>
        <v>4</v>
      </c>
      <c r="O583" t="str" cm="1">
        <f t="array" ref="O583">_xlfn.IFS([1]!orders[[#This Row],[Customer Gender]]="M","Male", [1]!orders[[#This Row],[Customer Gender]]="F","Female", [1]!orders[[#This Row],[Customer Gender]]="O","Other", TRUE,"Unknown")</f>
        <v>Female</v>
      </c>
    </row>
    <row r="584" spans="1:15" x14ac:dyDescent="0.25">
      <c r="A584" s="1" t="s">
        <v>660</v>
      </c>
      <c r="B584" s="1" t="s">
        <v>29</v>
      </c>
      <c r="C584" s="1">
        <v>11</v>
      </c>
      <c r="D584" s="1">
        <v>26.3</v>
      </c>
      <c r="E584" s="1">
        <v>289.3</v>
      </c>
      <c r="F584" s="2">
        <v>45683</v>
      </c>
      <c r="G584" s="2">
        <v>45683</v>
      </c>
      <c r="H584" s="1" t="s">
        <v>12</v>
      </c>
      <c r="I584" s="1" t="s">
        <v>55</v>
      </c>
      <c r="J584" s="1">
        <v>3</v>
      </c>
      <c r="K584" s="1" t="s">
        <v>4</v>
      </c>
      <c r="L584" s="1" t="s">
        <v>186</v>
      </c>
      <c r="M584" s="1">
        <f>[1]!orders[[#This Row],[Ship Date]]-[1]!orders[[#This Row],[Order Date]]</f>
        <v>0</v>
      </c>
      <c r="N584" s="1">
        <f>WEEKNUM([1]!orders[[#This Row],[Order Date]])</f>
        <v>5</v>
      </c>
      <c r="O584" t="str" cm="1">
        <f t="array" ref="O584">_xlfn.IFS([1]!orders[[#This Row],[Customer Gender]]="M","Male", [1]!orders[[#This Row],[Customer Gender]]="F","Female", [1]!orders[[#This Row],[Customer Gender]]="O","Other", TRUE,"Unknown")</f>
        <v>Female</v>
      </c>
    </row>
    <row r="585" spans="1:15" x14ac:dyDescent="0.25">
      <c r="A585" t="s">
        <v>661</v>
      </c>
      <c r="B585" t="s">
        <v>39</v>
      </c>
      <c r="C585">
        <v>1</v>
      </c>
      <c r="D585">
        <v>28.5</v>
      </c>
      <c r="E585">
        <v>28.5</v>
      </c>
      <c r="F585" s="3">
        <v>45683</v>
      </c>
      <c r="G585" s="3">
        <v>45683</v>
      </c>
      <c r="H585" t="s">
        <v>8</v>
      </c>
      <c r="I585" t="s">
        <v>3</v>
      </c>
      <c r="J585">
        <v>3</v>
      </c>
      <c r="K585" t="s">
        <v>4</v>
      </c>
      <c r="L585" t="s">
        <v>57</v>
      </c>
      <c r="M585">
        <f>[1]!orders[[#This Row],[Ship Date]]-[1]!orders[[#This Row],[Order Date]]</f>
        <v>0</v>
      </c>
      <c r="N585">
        <f>WEEKNUM([1]!orders[[#This Row],[Order Date]])</f>
        <v>5</v>
      </c>
      <c r="O585" t="str" cm="1">
        <f t="array" ref="O585">_xlfn.IFS([1]!orders[[#This Row],[Customer Gender]]="M","Male", [1]!orders[[#This Row],[Customer Gender]]="F","Female", [1]!orders[[#This Row],[Customer Gender]]="O","Other", TRUE,"Unknown")</f>
        <v>Male</v>
      </c>
    </row>
    <row r="586" spans="1:15" x14ac:dyDescent="0.25">
      <c r="A586" s="1" t="s">
        <v>662</v>
      </c>
      <c r="B586" s="1" t="s">
        <v>120</v>
      </c>
      <c r="C586" s="1">
        <v>1</v>
      </c>
      <c r="D586" s="1">
        <v>47.8</v>
      </c>
      <c r="E586" s="1">
        <v>47.8</v>
      </c>
      <c r="F586" s="2">
        <v>45683</v>
      </c>
      <c r="G586" s="2">
        <v>45685</v>
      </c>
      <c r="H586" s="1" t="s">
        <v>12</v>
      </c>
      <c r="I586" s="1" t="s">
        <v>3</v>
      </c>
      <c r="J586" s="1">
        <v>3</v>
      </c>
      <c r="K586" s="1" t="s">
        <v>4</v>
      </c>
      <c r="L586" s="1" t="s">
        <v>57</v>
      </c>
      <c r="M586" s="1">
        <f>[1]!orders[[#This Row],[Ship Date]]-[1]!orders[[#This Row],[Order Date]]</f>
        <v>2</v>
      </c>
      <c r="N586" s="1">
        <f>WEEKNUM([1]!orders[[#This Row],[Order Date]])</f>
        <v>5</v>
      </c>
      <c r="O586" t="str" cm="1">
        <f t="array" ref="O586">_xlfn.IFS([1]!orders[[#This Row],[Customer Gender]]="M","Male", [1]!orders[[#This Row],[Customer Gender]]="F","Female", [1]!orders[[#This Row],[Customer Gender]]="O","Other", TRUE,"Unknown")</f>
        <v>Female</v>
      </c>
    </row>
    <row r="587" spans="1:15" x14ac:dyDescent="0.25">
      <c r="A587" t="s">
        <v>663</v>
      </c>
      <c r="B587" t="s">
        <v>39</v>
      </c>
      <c r="C587">
        <v>3</v>
      </c>
      <c r="D587">
        <v>42.8</v>
      </c>
      <c r="E587">
        <v>128.39999999999998</v>
      </c>
      <c r="F587" s="3">
        <v>45683</v>
      </c>
      <c r="G587" s="3">
        <v>45686</v>
      </c>
      <c r="H587" t="s">
        <v>12</v>
      </c>
      <c r="I587" t="s">
        <v>55</v>
      </c>
      <c r="J587">
        <v>3</v>
      </c>
      <c r="K587" t="s">
        <v>4</v>
      </c>
      <c r="L587" t="s">
        <v>62</v>
      </c>
      <c r="M587">
        <f>[1]!orders[[#This Row],[Ship Date]]-[1]!orders[[#This Row],[Order Date]]</f>
        <v>3</v>
      </c>
      <c r="N587">
        <f>WEEKNUM([1]!orders[[#This Row],[Order Date]])</f>
        <v>5</v>
      </c>
      <c r="O587" t="str" cm="1">
        <f t="array" ref="O587">_xlfn.IFS([1]!orders[[#This Row],[Customer Gender]]="M","Male", [1]!orders[[#This Row],[Customer Gender]]="F","Female", [1]!orders[[#This Row],[Customer Gender]]="O","Other", TRUE,"Unknown")</f>
        <v>Female</v>
      </c>
    </row>
    <row r="588" spans="1:15" x14ac:dyDescent="0.25">
      <c r="A588" s="1" t="s">
        <v>664</v>
      </c>
      <c r="B588" s="1" t="s">
        <v>24</v>
      </c>
      <c r="C588" s="1">
        <v>5</v>
      </c>
      <c r="D588" s="1">
        <v>46.8</v>
      </c>
      <c r="E588" s="1">
        <v>234</v>
      </c>
      <c r="F588" s="2">
        <v>45683</v>
      </c>
      <c r="G588" s="2">
        <v>45688</v>
      </c>
      <c r="H588" s="1" t="s">
        <v>12</v>
      </c>
      <c r="I588" s="1" t="s">
        <v>20</v>
      </c>
      <c r="J588" s="1">
        <v>5</v>
      </c>
      <c r="K588" s="1" t="s">
        <v>4</v>
      </c>
      <c r="L588" s="1" t="s">
        <v>62</v>
      </c>
      <c r="M588" s="1">
        <f>[1]!orders[[#This Row],[Ship Date]]-[1]!orders[[#This Row],[Order Date]]</f>
        <v>5</v>
      </c>
      <c r="N588" s="1">
        <f>WEEKNUM([1]!orders[[#This Row],[Order Date]])</f>
        <v>5</v>
      </c>
      <c r="O588" t="str" cm="1">
        <f t="array" ref="O588">_xlfn.IFS([1]!orders[[#This Row],[Customer Gender]]="M","Male", [1]!orders[[#This Row],[Customer Gender]]="F","Female", [1]!orders[[#This Row],[Customer Gender]]="O","Other", TRUE,"Unknown")</f>
        <v>Female</v>
      </c>
    </row>
    <row r="589" spans="1:15" x14ac:dyDescent="0.25">
      <c r="A589" t="s">
        <v>665</v>
      </c>
      <c r="B589" t="s">
        <v>7</v>
      </c>
      <c r="C589">
        <v>10</v>
      </c>
      <c r="D589">
        <v>64.099999999999994</v>
      </c>
      <c r="E589">
        <v>641</v>
      </c>
      <c r="F589" s="3">
        <v>45683</v>
      </c>
      <c r="G589" s="3">
        <v>45684</v>
      </c>
      <c r="H589" t="s">
        <v>8</v>
      </c>
      <c r="I589" t="s">
        <v>20</v>
      </c>
      <c r="J589">
        <v>4</v>
      </c>
      <c r="K589" t="s">
        <v>4</v>
      </c>
      <c r="L589" t="s">
        <v>62</v>
      </c>
      <c r="M589">
        <f>[1]!orders[[#This Row],[Ship Date]]-[1]!orders[[#This Row],[Order Date]]</f>
        <v>1</v>
      </c>
      <c r="N589">
        <f>WEEKNUM([1]!orders[[#This Row],[Order Date]])</f>
        <v>5</v>
      </c>
      <c r="O589" t="str" cm="1">
        <f t="array" ref="O589">_xlfn.IFS([1]!orders[[#This Row],[Customer Gender]]="M","Male", [1]!orders[[#This Row],[Customer Gender]]="F","Female", [1]!orders[[#This Row],[Customer Gender]]="O","Other", TRUE,"Unknown")</f>
        <v>Male</v>
      </c>
    </row>
    <row r="590" spans="1:15" x14ac:dyDescent="0.25">
      <c r="A590" s="1" t="s">
        <v>666</v>
      </c>
      <c r="B590" s="1" t="s">
        <v>11</v>
      </c>
      <c r="C590" s="1">
        <v>1</v>
      </c>
      <c r="D590" s="1">
        <v>89.1</v>
      </c>
      <c r="E590" s="1">
        <v>89.1</v>
      </c>
      <c r="F590" s="2">
        <v>45683</v>
      </c>
      <c r="G590" s="2">
        <v>45684</v>
      </c>
      <c r="H590" s="1" t="s">
        <v>12</v>
      </c>
      <c r="I590" s="1" t="s">
        <v>3</v>
      </c>
      <c r="J590" s="1">
        <v>3</v>
      </c>
      <c r="K590" s="1" t="s">
        <v>4</v>
      </c>
      <c r="L590" s="1" t="s">
        <v>98</v>
      </c>
      <c r="M590" s="1">
        <f>[1]!orders[[#This Row],[Ship Date]]-[1]!orders[[#This Row],[Order Date]]</f>
        <v>1</v>
      </c>
      <c r="N590" s="1">
        <f>WEEKNUM([1]!orders[[#This Row],[Order Date]])</f>
        <v>5</v>
      </c>
      <c r="O590" t="str" cm="1">
        <f t="array" ref="O590">_xlfn.IFS([1]!orders[[#This Row],[Customer Gender]]="M","Male", [1]!orders[[#This Row],[Customer Gender]]="F","Female", [1]!orders[[#This Row],[Customer Gender]]="O","Other", TRUE,"Unknown")</f>
        <v>Female</v>
      </c>
    </row>
    <row r="591" spans="1:15" x14ac:dyDescent="0.25">
      <c r="A591" t="s">
        <v>667</v>
      </c>
      <c r="B591" t="s">
        <v>11</v>
      </c>
      <c r="C591">
        <v>3</v>
      </c>
      <c r="D591">
        <v>83.1</v>
      </c>
      <c r="E591">
        <v>249.29999999999998</v>
      </c>
      <c r="F591" s="3">
        <v>45683</v>
      </c>
      <c r="G591" s="3">
        <v>45684</v>
      </c>
      <c r="H591" t="s">
        <v>12</v>
      </c>
      <c r="I591" t="s">
        <v>25</v>
      </c>
      <c r="J591">
        <v>3</v>
      </c>
      <c r="K591" t="s">
        <v>4</v>
      </c>
      <c r="L591" t="s">
        <v>67</v>
      </c>
      <c r="M591">
        <f>[1]!orders[[#This Row],[Ship Date]]-[1]!orders[[#This Row],[Order Date]]</f>
        <v>1</v>
      </c>
      <c r="N591">
        <f>WEEKNUM([1]!orders[[#This Row],[Order Date]])</f>
        <v>5</v>
      </c>
      <c r="O591" t="str" cm="1">
        <f t="array" ref="O591">_xlfn.IFS([1]!orders[[#This Row],[Customer Gender]]="M","Male", [1]!orders[[#This Row],[Customer Gender]]="F","Female", [1]!orders[[#This Row],[Customer Gender]]="O","Other", TRUE,"Unknown")</f>
        <v>Female</v>
      </c>
    </row>
    <row r="592" spans="1:15" x14ac:dyDescent="0.25">
      <c r="A592" s="1" t="s">
        <v>668</v>
      </c>
      <c r="B592" s="1" t="s">
        <v>29</v>
      </c>
      <c r="C592" s="1">
        <v>3</v>
      </c>
      <c r="D592" s="1">
        <v>40.9</v>
      </c>
      <c r="E592" s="1">
        <v>122.69999999999999</v>
      </c>
      <c r="F592" s="2">
        <v>45683</v>
      </c>
      <c r="G592" s="2">
        <v>45684</v>
      </c>
      <c r="H592" s="1" t="s">
        <v>8</v>
      </c>
      <c r="I592" s="1" t="s">
        <v>3</v>
      </c>
      <c r="J592" s="1">
        <v>4</v>
      </c>
      <c r="K592" s="1" t="s">
        <v>4</v>
      </c>
      <c r="L592" s="1" t="s">
        <v>9</v>
      </c>
      <c r="M592" s="1">
        <f>[1]!orders[[#This Row],[Ship Date]]-[1]!orders[[#This Row],[Order Date]]</f>
        <v>1</v>
      </c>
      <c r="N592" s="1">
        <f>WEEKNUM([1]!orders[[#This Row],[Order Date]])</f>
        <v>5</v>
      </c>
      <c r="O592" t="str" cm="1">
        <f t="array" ref="O592">_xlfn.IFS([1]!orders[[#This Row],[Customer Gender]]="M","Male", [1]!orders[[#This Row],[Customer Gender]]="F","Female", [1]!orders[[#This Row],[Customer Gender]]="O","Other", TRUE,"Unknown")</f>
        <v>Male</v>
      </c>
    </row>
    <row r="593" spans="1:15" x14ac:dyDescent="0.25">
      <c r="A593" t="s">
        <v>669</v>
      </c>
      <c r="B593" t="s">
        <v>11</v>
      </c>
      <c r="C593">
        <v>2</v>
      </c>
      <c r="D593">
        <v>125.7</v>
      </c>
      <c r="E593">
        <v>251.4</v>
      </c>
      <c r="F593" s="3">
        <v>45683</v>
      </c>
      <c r="G593" s="3">
        <v>45684</v>
      </c>
      <c r="H593" t="s">
        <v>12</v>
      </c>
      <c r="I593" t="s">
        <v>36</v>
      </c>
      <c r="J593">
        <v>4</v>
      </c>
      <c r="K593" t="s">
        <v>4</v>
      </c>
      <c r="L593" t="s">
        <v>13</v>
      </c>
      <c r="M593">
        <f>[1]!orders[[#This Row],[Ship Date]]-[1]!orders[[#This Row],[Order Date]]</f>
        <v>1</v>
      </c>
      <c r="N593">
        <f>WEEKNUM([1]!orders[[#This Row],[Order Date]])</f>
        <v>5</v>
      </c>
      <c r="O593" t="str" cm="1">
        <f t="array" ref="O593">_xlfn.IFS([1]!orders[[#This Row],[Customer Gender]]="M","Male", [1]!orders[[#This Row],[Customer Gender]]="F","Female", [1]!orders[[#This Row],[Customer Gender]]="O","Other", TRUE,"Unknown")</f>
        <v>Female</v>
      </c>
    </row>
    <row r="594" spans="1:15" x14ac:dyDescent="0.25">
      <c r="A594" s="1" t="s">
        <v>670</v>
      </c>
      <c r="B594" s="1" t="s">
        <v>15</v>
      </c>
      <c r="C594" s="1">
        <v>2</v>
      </c>
      <c r="D594" s="1">
        <v>30.9</v>
      </c>
      <c r="E594" s="1">
        <v>61.8</v>
      </c>
      <c r="F594" s="2">
        <v>45683</v>
      </c>
      <c r="G594" s="2">
        <v>45683</v>
      </c>
      <c r="H594" s="1" t="s">
        <v>12</v>
      </c>
      <c r="I594" s="1" t="s">
        <v>25</v>
      </c>
      <c r="J594" s="1">
        <v>5</v>
      </c>
      <c r="K594" s="1" t="s">
        <v>4</v>
      </c>
      <c r="L594" s="1" t="s">
        <v>132</v>
      </c>
      <c r="M594" s="1">
        <f>[1]!orders[[#This Row],[Ship Date]]-[1]!orders[[#This Row],[Order Date]]</f>
        <v>0</v>
      </c>
      <c r="N594" s="1">
        <f>WEEKNUM([1]!orders[[#This Row],[Order Date]])</f>
        <v>5</v>
      </c>
      <c r="O594" t="str" cm="1">
        <f t="array" ref="O594">_xlfn.IFS([1]!orders[[#This Row],[Customer Gender]]="M","Male", [1]!orders[[#This Row],[Customer Gender]]="F","Female", [1]!orders[[#This Row],[Customer Gender]]="O","Other", TRUE,"Unknown")</f>
        <v>Female</v>
      </c>
    </row>
    <row r="595" spans="1:15" x14ac:dyDescent="0.25">
      <c r="A595" t="s">
        <v>671</v>
      </c>
      <c r="B595" t="s">
        <v>29</v>
      </c>
      <c r="C595">
        <v>2</v>
      </c>
      <c r="D595">
        <v>18.3</v>
      </c>
      <c r="E595">
        <v>36.6</v>
      </c>
      <c r="F595" s="3">
        <v>45683</v>
      </c>
      <c r="G595" s="3">
        <v>45684</v>
      </c>
      <c r="H595" t="s">
        <v>12</v>
      </c>
      <c r="I595" t="s">
        <v>20</v>
      </c>
      <c r="J595">
        <v>4</v>
      </c>
      <c r="K595" t="s">
        <v>4</v>
      </c>
      <c r="L595" t="s">
        <v>18</v>
      </c>
      <c r="M595">
        <f>[1]!orders[[#This Row],[Ship Date]]-[1]!orders[[#This Row],[Order Date]]</f>
        <v>1</v>
      </c>
      <c r="N595">
        <f>WEEKNUM([1]!orders[[#This Row],[Order Date]])</f>
        <v>5</v>
      </c>
      <c r="O595" t="str" cm="1">
        <f t="array" ref="O595">_xlfn.IFS([1]!orders[[#This Row],[Customer Gender]]="M","Male", [1]!orders[[#This Row],[Customer Gender]]="F","Female", [1]!orders[[#This Row],[Customer Gender]]="O","Other", TRUE,"Unknown")</f>
        <v>Female</v>
      </c>
    </row>
    <row r="596" spans="1:15" x14ac:dyDescent="0.25">
      <c r="A596" s="1" t="s">
        <v>672</v>
      </c>
      <c r="B596" s="1" t="s">
        <v>17</v>
      </c>
      <c r="C596" s="1">
        <v>2</v>
      </c>
      <c r="D596" s="1">
        <v>56.5</v>
      </c>
      <c r="E596" s="1">
        <v>113</v>
      </c>
      <c r="F596" s="2">
        <v>45683</v>
      </c>
      <c r="G596" s="2">
        <v>45687</v>
      </c>
      <c r="H596" s="1" t="s">
        <v>8</v>
      </c>
      <c r="I596" s="1" t="s">
        <v>25</v>
      </c>
      <c r="J596" s="1">
        <v>5</v>
      </c>
      <c r="K596" s="1" t="s">
        <v>4</v>
      </c>
      <c r="L596" s="1" t="s">
        <v>18</v>
      </c>
      <c r="M596" s="1">
        <f>[1]!orders[[#This Row],[Ship Date]]-[1]!orders[[#This Row],[Order Date]]</f>
        <v>4</v>
      </c>
      <c r="N596" s="1">
        <f>WEEKNUM([1]!orders[[#This Row],[Order Date]])</f>
        <v>5</v>
      </c>
      <c r="O596" t="str" cm="1">
        <f t="array" ref="O596">_xlfn.IFS([1]!orders[[#This Row],[Customer Gender]]="M","Male", [1]!orders[[#This Row],[Customer Gender]]="F","Female", [1]!orders[[#This Row],[Customer Gender]]="O","Other", TRUE,"Unknown")</f>
        <v>Male</v>
      </c>
    </row>
    <row r="597" spans="1:15" x14ac:dyDescent="0.25">
      <c r="A597" t="s">
        <v>673</v>
      </c>
      <c r="B597" t="s">
        <v>39</v>
      </c>
      <c r="C597">
        <v>7</v>
      </c>
      <c r="D597">
        <v>29.9</v>
      </c>
      <c r="E597">
        <v>209.29999999999998</v>
      </c>
      <c r="F597" s="3">
        <v>45683</v>
      </c>
      <c r="G597" s="3">
        <v>45685</v>
      </c>
      <c r="H597" t="s">
        <v>8</v>
      </c>
      <c r="I597" t="s">
        <v>55</v>
      </c>
      <c r="J597">
        <v>5</v>
      </c>
      <c r="K597" t="s">
        <v>4</v>
      </c>
      <c r="L597" t="s">
        <v>18</v>
      </c>
      <c r="M597">
        <f>[1]!orders[[#This Row],[Ship Date]]-[1]!orders[[#This Row],[Order Date]]</f>
        <v>2</v>
      </c>
      <c r="N597">
        <f>WEEKNUM([1]!orders[[#This Row],[Order Date]])</f>
        <v>5</v>
      </c>
      <c r="O597" t="str" cm="1">
        <f t="array" ref="O597">_xlfn.IFS([1]!orders[[#This Row],[Customer Gender]]="M","Male", [1]!orders[[#This Row],[Customer Gender]]="F","Female", [1]!orders[[#This Row],[Customer Gender]]="O","Other", TRUE,"Unknown")</f>
        <v>Male</v>
      </c>
    </row>
    <row r="598" spans="1:15" x14ac:dyDescent="0.25">
      <c r="A598" s="1" t="s">
        <v>674</v>
      </c>
      <c r="B598" s="1" t="s">
        <v>22</v>
      </c>
      <c r="C598" s="1">
        <v>2</v>
      </c>
      <c r="D598" s="1">
        <v>50.4</v>
      </c>
      <c r="E598" s="1">
        <v>100.8</v>
      </c>
      <c r="F598" s="2">
        <v>45683</v>
      </c>
      <c r="G598" s="2">
        <v>45684</v>
      </c>
      <c r="H598" s="1" t="s">
        <v>12</v>
      </c>
      <c r="I598" s="1" t="s">
        <v>25</v>
      </c>
      <c r="J598" s="1">
        <v>4</v>
      </c>
      <c r="K598" s="1" t="s">
        <v>4</v>
      </c>
      <c r="L598" s="1" t="s">
        <v>18</v>
      </c>
      <c r="M598" s="1">
        <f>[1]!orders[[#This Row],[Ship Date]]-[1]!orders[[#This Row],[Order Date]]</f>
        <v>1</v>
      </c>
      <c r="N598" s="1">
        <f>WEEKNUM([1]!orders[[#This Row],[Order Date]])</f>
        <v>5</v>
      </c>
      <c r="O598" t="str" cm="1">
        <f t="array" ref="O598">_xlfn.IFS([1]!orders[[#This Row],[Customer Gender]]="M","Male", [1]!orders[[#This Row],[Customer Gender]]="F","Female", [1]!orders[[#This Row],[Customer Gender]]="O","Other", TRUE,"Unknown")</f>
        <v>Female</v>
      </c>
    </row>
    <row r="599" spans="1:15" x14ac:dyDescent="0.25">
      <c r="A599" t="s">
        <v>675</v>
      </c>
      <c r="B599" t="s">
        <v>11</v>
      </c>
      <c r="C599">
        <v>1</v>
      </c>
      <c r="D599">
        <v>85.8</v>
      </c>
      <c r="E599">
        <v>85.8</v>
      </c>
      <c r="F599" s="3">
        <v>45683</v>
      </c>
      <c r="G599" s="3">
        <v>45683</v>
      </c>
      <c r="H599" t="s">
        <v>12</v>
      </c>
      <c r="I599" t="s">
        <v>25</v>
      </c>
      <c r="J599">
        <v>5</v>
      </c>
      <c r="K599" t="s">
        <v>4</v>
      </c>
      <c r="L599" t="s">
        <v>18</v>
      </c>
      <c r="M599">
        <f>[1]!orders[[#This Row],[Ship Date]]-[1]!orders[[#This Row],[Order Date]]</f>
        <v>0</v>
      </c>
      <c r="N599">
        <f>WEEKNUM([1]!orders[[#This Row],[Order Date]])</f>
        <v>5</v>
      </c>
      <c r="O599" t="str" cm="1">
        <f t="array" ref="O599">_xlfn.IFS([1]!orders[[#This Row],[Customer Gender]]="M","Male", [1]!orders[[#This Row],[Customer Gender]]="F","Female", [1]!orders[[#This Row],[Customer Gender]]="O","Other", TRUE,"Unknown")</f>
        <v>Female</v>
      </c>
    </row>
    <row r="600" spans="1:15" x14ac:dyDescent="0.25">
      <c r="A600" s="1" t="s">
        <v>676</v>
      </c>
      <c r="B600" s="1" t="s">
        <v>17</v>
      </c>
      <c r="C600" s="1">
        <v>16</v>
      </c>
      <c r="D600" s="1">
        <v>66.599999999999994</v>
      </c>
      <c r="E600" s="1">
        <v>1065.5999999999999</v>
      </c>
      <c r="F600" s="2">
        <v>45683</v>
      </c>
      <c r="G600" s="2">
        <v>45685</v>
      </c>
      <c r="H600" s="1" t="s">
        <v>8</v>
      </c>
      <c r="I600" s="1" t="s">
        <v>20</v>
      </c>
      <c r="J600" s="1">
        <v>4</v>
      </c>
      <c r="K600" s="1" t="s">
        <v>4</v>
      </c>
      <c r="L600" s="1" t="s">
        <v>18</v>
      </c>
      <c r="M600" s="1">
        <f>[1]!orders[[#This Row],[Ship Date]]-[1]!orders[[#This Row],[Order Date]]</f>
        <v>2</v>
      </c>
      <c r="N600" s="1">
        <f>WEEKNUM([1]!orders[[#This Row],[Order Date]])</f>
        <v>5</v>
      </c>
      <c r="O600" t="str" cm="1">
        <f t="array" ref="O600">_xlfn.IFS([1]!orders[[#This Row],[Customer Gender]]="M","Male", [1]!orders[[#This Row],[Customer Gender]]="F","Female", [1]!orders[[#This Row],[Customer Gender]]="O","Other", TRUE,"Unknown")</f>
        <v>Male</v>
      </c>
    </row>
    <row r="601" spans="1:15" x14ac:dyDescent="0.25">
      <c r="A601" t="s">
        <v>677</v>
      </c>
      <c r="B601" t="s">
        <v>24</v>
      </c>
      <c r="C601">
        <v>4</v>
      </c>
      <c r="D601">
        <v>70.3</v>
      </c>
      <c r="E601">
        <v>281.2</v>
      </c>
      <c r="F601" s="3">
        <v>45683</v>
      </c>
      <c r="G601" s="3">
        <v>45684</v>
      </c>
      <c r="H601" t="s">
        <v>12</v>
      </c>
      <c r="I601" t="s">
        <v>3</v>
      </c>
      <c r="J601">
        <v>3</v>
      </c>
      <c r="K601" t="s">
        <v>4</v>
      </c>
      <c r="L601" t="s">
        <v>18</v>
      </c>
      <c r="M601">
        <f>[1]!orders[[#This Row],[Ship Date]]-[1]!orders[[#This Row],[Order Date]]</f>
        <v>1</v>
      </c>
      <c r="N601">
        <f>WEEKNUM([1]!orders[[#This Row],[Order Date]])</f>
        <v>5</v>
      </c>
      <c r="O601" t="str" cm="1">
        <f t="array" ref="O601">_xlfn.IFS([1]!orders[[#This Row],[Customer Gender]]="M","Male", [1]!orders[[#This Row],[Customer Gender]]="F","Female", [1]!orders[[#This Row],[Customer Gender]]="O","Other", TRUE,"Unknown")</f>
        <v>Female</v>
      </c>
    </row>
    <row r="602" spans="1:15" x14ac:dyDescent="0.25">
      <c r="A602" s="1" t="s">
        <v>678</v>
      </c>
      <c r="B602" s="1" t="s">
        <v>29</v>
      </c>
      <c r="C602" s="1">
        <v>4</v>
      </c>
      <c r="D602" s="1">
        <v>31</v>
      </c>
      <c r="E602" s="1">
        <v>124</v>
      </c>
      <c r="F602" s="2">
        <v>45683</v>
      </c>
      <c r="G602" s="2">
        <v>45686</v>
      </c>
      <c r="H602" s="1" t="s">
        <v>8</v>
      </c>
      <c r="I602" s="1" t="s">
        <v>3</v>
      </c>
      <c r="J602" s="1">
        <v>5</v>
      </c>
      <c r="K602" s="1" t="s">
        <v>4</v>
      </c>
      <c r="L602" s="1" t="s">
        <v>18</v>
      </c>
      <c r="M602" s="1">
        <f>[1]!orders[[#This Row],[Ship Date]]-[1]!orders[[#This Row],[Order Date]]</f>
        <v>3</v>
      </c>
      <c r="N602" s="1">
        <f>WEEKNUM([1]!orders[[#This Row],[Order Date]])</f>
        <v>5</v>
      </c>
      <c r="O602" t="str" cm="1">
        <f t="array" ref="O602">_xlfn.IFS([1]!orders[[#This Row],[Customer Gender]]="M","Male", [1]!orders[[#This Row],[Customer Gender]]="F","Female", [1]!orders[[#This Row],[Customer Gender]]="O","Other", TRUE,"Unknown")</f>
        <v>Male</v>
      </c>
    </row>
    <row r="603" spans="1:15" x14ac:dyDescent="0.25">
      <c r="A603" t="s">
        <v>679</v>
      </c>
      <c r="B603" t="s">
        <v>27</v>
      </c>
      <c r="C603">
        <v>6</v>
      </c>
      <c r="D603">
        <v>81.599999999999994</v>
      </c>
      <c r="E603">
        <v>489.59999999999997</v>
      </c>
      <c r="F603" s="3">
        <v>45683</v>
      </c>
      <c r="G603" s="3">
        <v>45684</v>
      </c>
      <c r="H603" t="s">
        <v>12</v>
      </c>
      <c r="I603" t="s">
        <v>20</v>
      </c>
      <c r="J603">
        <v>3</v>
      </c>
      <c r="K603" t="s">
        <v>4</v>
      </c>
      <c r="L603" t="s">
        <v>349</v>
      </c>
      <c r="M603">
        <f>[1]!orders[[#This Row],[Ship Date]]-[1]!orders[[#This Row],[Order Date]]</f>
        <v>1</v>
      </c>
      <c r="N603">
        <f>WEEKNUM([1]!orders[[#This Row],[Order Date]])</f>
        <v>5</v>
      </c>
      <c r="O603" t="str" cm="1">
        <f t="array" ref="O603">_xlfn.IFS([1]!orders[[#This Row],[Customer Gender]]="M","Male", [1]!orders[[#This Row],[Customer Gender]]="F","Female", [1]!orders[[#This Row],[Customer Gender]]="O","Other", TRUE,"Unknown")</f>
        <v>Female</v>
      </c>
    </row>
    <row r="604" spans="1:15" x14ac:dyDescent="0.25">
      <c r="A604" s="1" t="s">
        <v>680</v>
      </c>
      <c r="B604" s="1" t="s">
        <v>7</v>
      </c>
      <c r="C604" s="1">
        <v>25</v>
      </c>
      <c r="D604" s="1">
        <v>58.3</v>
      </c>
      <c r="E604" s="1">
        <v>1457.5</v>
      </c>
      <c r="F604" s="2">
        <v>45683</v>
      </c>
      <c r="G604" s="2">
        <v>45684</v>
      </c>
      <c r="H604" s="1" t="s">
        <v>12</v>
      </c>
      <c r="I604" s="1" t="s">
        <v>3</v>
      </c>
      <c r="J604" s="1">
        <v>4</v>
      </c>
      <c r="K604" s="1" t="s">
        <v>4</v>
      </c>
      <c r="L604" s="1" t="s">
        <v>83</v>
      </c>
      <c r="M604" s="1">
        <f>[1]!orders[[#This Row],[Ship Date]]-[1]!orders[[#This Row],[Order Date]]</f>
        <v>1</v>
      </c>
      <c r="N604" s="1">
        <f>WEEKNUM([1]!orders[[#This Row],[Order Date]])</f>
        <v>5</v>
      </c>
      <c r="O604" t="str" cm="1">
        <f t="array" ref="O604">_xlfn.IFS([1]!orders[[#This Row],[Customer Gender]]="M","Male", [1]!orders[[#This Row],[Customer Gender]]="F","Female", [1]!orders[[#This Row],[Customer Gender]]="O","Other", TRUE,"Unknown")</f>
        <v>Female</v>
      </c>
    </row>
    <row r="605" spans="1:15" x14ac:dyDescent="0.25">
      <c r="A605" t="s">
        <v>681</v>
      </c>
      <c r="B605" t="s">
        <v>7</v>
      </c>
      <c r="C605">
        <v>4</v>
      </c>
      <c r="D605">
        <v>35.1</v>
      </c>
      <c r="E605">
        <v>140.4</v>
      </c>
      <c r="F605" s="3">
        <v>45683</v>
      </c>
      <c r="G605" s="3">
        <v>45685</v>
      </c>
      <c r="H605" t="s">
        <v>8</v>
      </c>
      <c r="I605" t="s">
        <v>3</v>
      </c>
      <c r="J605">
        <v>5</v>
      </c>
      <c r="K605" t="s">
        <v>4</v>
      </c>
      <c r="L605" t="s">
        <v>47</v>
      </c>
      <c r="M605">
        <f>[1]!orders[[#This Row],[Ship Date]]-[1]!orders[[#This Row],[Order Date]]</f>
        <v>2</v>
      </c>
      <c r="N605">
        <f>WEEKNUM([1]!orders[[#This Row],[Order Date]])</f>
        <v>5</v>
      </c>
      <c r="O605" t="str" cm="1">
        <f t="array" ref="O605">_xlfn.IFS([1]!orders[[#This Row],[Customer Gender]]="M","Male", [1]!orders[[#This Row],[Customer Gender]]="F","Female", [1]!orders[[#This Row],[Customer Gender]]="O","Other", TRUE,"Unknown")</f>
        <v>Male</v>
      </c>
    </row>
    <row r="606" spans="1:15" x14ac:dyDescent="0.25">
      <c r="A606" s="1" t="s">
        <v>682</v>
      </c>
      <c r="B606" s="1" t="s">
        <v>11</v>
      </c>
      <c r="C606" s="1">
        <v>1</v>
      </c>
      <c r="D606" s="1">
        <v>80.2</v>
      </c>
      <c r="E606" s="1">
        <v>80.2</v>
      </c>
      <c r="F606" s="2">
        <v>45683</v>
      </c>
      <c r="G606" s="2">
        <v>45684</v>
      </c>
      <c r="H606" s="1" t="s">
        <v>8</v>
      </c>
      <c r="I606" s="1" t="s">
        <v>36</v>
      </c>
      <c r="J606" s="1">
        <v>5</v>
      </c>
      <c r="K606" s="1" t="s">
        <v>4</v>
      </c>
      <c r="L606" s="1" t="s">
        <v>47</v>
      </c>
      <c r="M606" s="1">
        <f>[1]!orders[[#This Row],[Ship Date]]-[1]!orders[[#This Row],[Order Date]]</f>
        <v>1</v>
      </c>
      <c r="N606" s="1">
        <f>WEEKNUM([1]!orders[[#This Row],[Order Date]])</f>
        <v>5</v>
      </c>
      <c r="O606" t="str" cm="1">
        <f t="array" ref="O606">_xlfn.IFS([1]!orders[[#This Row],[Customer Gender]]="M","Male", [1]!orders[[#This Row],[Customer Gender]]="F","Female", [1]!orders[[#This Row],[Customer Gender]]="O","Other", TRUE,"Unknown")</f>
        <v>Male</v>
      </c>
    </row>
    <row r="607" spans="1:15" x14ac:dyDescent="0.25">
      <c r="A607" t="s">
        <v>683</v>
      </c>
      <c r="B607" t="s">
        <v>66</v>
      </c>
      <c r="C607">
        <v>3</v>
      </c>
      <c r="D607">
        <v>39.200000000000003</v>
      </c>
      <c r="E607">
        <v>117.60000000000001</v>
      </c>
      <c r="F607" s="3">
        <v>45683</v>
      </c>
      <c r="G607" s="3">
        <v>45685</v>
      </c>
      <c r="H607" t="s">
        <v>12</v>
      </c>
      <c r="I607" t="s">
        <v>20</v>
      </c>
      <c r="J607">
        <v>4</v>
      </c>
      <c r="K607" t="s">
        <v>4</v>
      </c>
      <c r="L607" t="s">
        <v>57</v>
      </c>
      <c r="M607">
        <f>[1]!orders[[#This Row],[Ship Date]]-[1]!orders[[#This Row],[Order Date]]</f>
        <v>2</v>
      </c>
      <c r="N607">
        <f>WEEKNUM([1]!orders[[#This Row],[Order Date]])</f>
        <v>5</v>
      </c>
      <c r="O607" t="str" cm="1">
        <f t="array" ref="O607">_xlfn.IFS([1]!orders[[#This Row],[Customer Gender]]="M","Male", [1]!orders[[#This Row],[Customer Gender]]="F","Female", [1]!orders[[#This Row],[Customer Gender]]="O","Other", TRUE,"Unknown")</f>
        <v>Female</v>
      </c>
    </row>
    <row r="608" spans="1:15" x14ac:dyDescent="0.25">
      <c r="A608" s="1" t="s">
        <v>684</v>
      </c>
      <c r="B608" s="1" t="s">
        <v>1</v>
      </c>
      <c r="C608" s="1">
        <v>2</v>
      </c>
      <c r="D608" s="1">
        <v>15.4</v>
      </c>
      <c r="E608" s="1">
        <v>30.8</v>
      </c>
      <c r="F608" s="2">
        <v>45683</v>
      </c>
      <c r="G608" s="2">
        <v>45683</v>
      </c>
      <c r="H608" s="1" t="s">
        <v>12</v>
      </c>
      <c r="I608" s="1" t="s">
        <v>36</v>
      </c>
      <c r="J608" s="1">
        <v>4</v>
      </c>
      <c r="K608" s="1" t="s">
        <v>4</v>
      </c>
      <c r="L608" s="1" t="s">
        <v>685</v>
      </c>
      <c r="M608" s="1">
        <f>[1]!orders[[#This Row],[Ship Date]]-[1]!orders[[#This Row],[Order Date]]</f>
        <v>0</v>
      </c>
      <c r="N608" s="1">
        <f>WEEKNUM([1]!orders[[#This Row],[Order Date]])</f>
        <v>5</v>
      </c>
      <c r="O608" t="str" cm="1">
        <f t="array" ref="O608">_xlfn.IFS([1]!orders[[#This Row],[Customer Gender]]="M","Male", [1]!orders[[#This Row],[Customer Gender]]="F","Female", [1]!orders[[#This Row],[Customer Gender]]="O","Other", TRUE,"Unknown")</f>
        <v>Female</v>
      </c>
    </row>
    <row r="609" spans="1:15" x14ac:dyDescent="0.25">
      <c r="A609" t="s">
        <v>686</v>
      </c>
      <c r="B609" t="s">
        <v>15</v>
      </c>
      <c r="C609">
        <v>3</v>
      </c>
      <c r="D609">
        <v>65.400000000000006</v>
      </c>
      <c r="E609">
        <v>196.20000000000002</v>
      </c>
      <c r="F609" s="3">
        <v>45683</v>
      </c>
      <c r="G609" s="3">
        <v>45686</v>
      </c>
      <c r="H609" t="s">
        <v>8</v>
      </c>
      <c r="I609" t="s">
        <v>36</v>
      </c>
      <c r="J609">
        <v>4</v>
      </c>
      <c r="K609" t="s">
        <v>4</v>
      </c>
      <c r="L609" t="s">
        <v>93</v>
      </c>
      <c r="M609">
        <f>[1]!orders[[#This Row],[Ship Date]]-[1]!orders[[#This Row],[Order Date]]</f>
        <v>3</v>
      </c>
      <c r="N609">
        <f>WEEKNUM([1]!orders[[#This Row],[Order Date]])</f>
        <v>5</v>
      </c>
      <c r="O609" t="str" cm="1">
        <f t="array" ref="O609">_xlfn.IFS([1]!orders[[#This Row],[Customer Gender]]="M","Male", [1]!orders[[#This Row],[Customer Gender]]="F","Female", [1]!orders[[#This Row],[Customer Gender]]="O","Other", TRUE,"Unknown")</f>
        <v>Male</v>
      </c>
    </row>
    <row r="610" spans="1:15" x14ac:dyDescent="0.25">
      <c r="A610" s="1" t="s">
        <v>687</v>
      </c>
      <c r="B610" s="1" t="s">
        <v>7</v>
      </c>
      <c r="C610" s="1">
        <v>8</v>
      </c>
      <c r="D610" s="1">
        <v>63.2</v>
      </c>
      <c r="E610" s="1">
        <v>505.6</v>
      </c>
      <c r="F610" s="2">
        <v>45683</v>
      </c>
      <c r="G610" s="2">
        <v>45685</v>
      </c>
      <c r="H610" s="1" t="s">
        <v>12</v>
      </c>
      <c r="I610" s="1" t="s">
        <v>20</v>
      </c>
      <c r="J610" s="1">
        <v>4</v>
      </c>
      <c r="K610" s="1" t="s">
        <v>4</v>
      </c>
      <c r="L610" s="1" t="s">
        <v>95</v>
      </c>
      <c r="M610" s="1">
        <f>[1]!orders[[#This Row],[Ship Date]]-[1]!orders[[#This Row],[Order Date]]</f>
        <v>2</v>
      </c>
      <c r="N610" s="1">
        <f>WEEKNUM([1]!orders[[#This Row],[Order Date]])</f>
        <v>5</v>
      </c>
      <c r="O610" t="str" cm="1">
        <f t="array" ref="O610">_xlfn.IFS([1]!orders[[#This Row],[Customer Gender]]="M","Male", [1]!orders[[#This Row],[Customer Gender]]="F","Female", [1]!orders[[#This Row],[Customer Gender]]="O","Other", TRUE,"Unknown")</f>
        <v>Female</v>
      </c>
    </row>
    <row r="611" spans="1:15" x14ac:dyDescent="0.25">
      <c r="A611" t="s">
        <v>688</v>
      </c>
      <c r="B611" t="s">
        <v>7</v>
      </c>
      <c r="C611">
        <v>6</v>
      </c>
      <c r="D611">
        <v>35.700000000000003</v>
      </c>
      <c r="E611">
        <v>214.20000000000002</v>
      </c>
      <c r="F611" s="3">
        <v>45683</v>
      </c>
      <c r="G611" s="3">
        <v>45687</v>
      </c>
      <c r="H611" t="s">
        <v>12</v>
      </c>
      <c r="I611" t="s">
        <v>55</v>
      </c>
      <c r="J611">
        <v>3</v>
      </c>
      <c r="K611" t="s">
        <v>4</v>
      </c>
      <c r="L611" t="s">
        <v>95</v>
      </c>
      <c r="M611">
        <f>[1]!orders[[#This Row],[Ship Date]]-[1]!orders[[#This Row],[Order Date]]</f>
        <v>4</v>
      </c>
      <c r="N611">
        <f>WEEKNUM([1]!orders[[#This Row],[Order Date]])</f>
        <v>5</v>
      </c>
      <c r="O611" t="str" cm="1">
        <f t="array" ref="O611">_xlfn.IFS([1]!orders[[#This Row],[Customer Gender]]="M","Male", [1]!orders[[#This Row],[Customer Gender]]="F","Female", [1]!orders[[#This Row],[Customer Gender]]="O","Other", TRUE,"Unknown")</f>
        <v>Female</v>
      </c>
    </row>
    <row r="612" spans="1:15" x14ac:dyDescent="0.25">
      <c r="A612" s="1" t="s">
        <v>689</v>
      </c>
      <c r="B612" s="1" t="s">
        <v>1</v>
      </c>
      <c r="C612" s="1">
        <v>20</v>
      </c>
      <c r="D612" s="1">
        <v>26.2</v>
      </c>
      <c r="E612" s="1">
        <v>524</v>
      </c>
      <c r="F612" s="2">
        <v>45683</v>
      </c>
      <c r="G612" s="2">
        <v>45684</v>
      </c>
      <c r="H612" s="1" t="s">
        <v>12</v>
      </c>
      <c r="I612" s="1" t="s">
        <v>36</v>
      </c>
      <c r="J612" s="1">
        <v>4</v>
      </c>
      <c r="K612" s="1" t="s">
        <v>4</v>
      </c>
      <c r="L612" s="1" t="s">
        <v>100</v>
      </c>
      <c r="M612" s="1">
        <f>[1]!orders[[#This Row],[Ship Date]]-[1]!orders[[#This Row],[Order Date]]</f>
        <v>1</v>
      </c>
      <c r="N612" s="1">
        <f>WEEKNUM([1]!orders[[#This Row],[Order Date]])</f>
        <v>5</v>
      </c>
      <c r="O612" t="str" cm="1">
        <f t="array" ref="O612">_xlfn.IFS([1]!orders[[#This Row],[Customer Gender]]="M","Male", [1]!orders[[#This Row],[Customer Gender]]="F","Female", [1]!orders[[#This Row],[Customer Gender]]="O","Other", TRUE,"Unknown")</f>
        <v>Female</v>
      </c>
    </row>
    <row r="613" spans="1:15" x14ac:dyDescent="0.25">
      <c r="A613" t="s">
        <v>690</v>
      </c>
      <c r="B613" t="s">
        <v>27</v>
      </c>
      <c r="C613">
        <v>2</v>
      </c>
      <c r="D613">
        <v>31</v>
      </c>
      <c r="E613">
        <v>62</v>
      </c>
      <c r="F613" s="3">
        <v>45683</v>
      </c>
      <c r="G613" s="3">
        <v>45684</v>
      </c>
      <c r="H613" t="s">
        <v>12</v>
      </c>
      <c r="I613" t="s">
        <v>3</v>
      </c>
      <c r="J613">
        <v>5</v>
      </c>
      <c r="K613" t="s">
        <v>4</v>
      </c>
      <c r="L613" t="s">
        <v>9</v>
      </c>
      <c r="M613">
        <f>[1]!orders[[#This Row],[Ship Date]]-[1]!orders[[#This Row],[Order Date]]</f>
        <v>1</v>
      </c>
      <c r="N613">
        <f>WEEKNUM([1]!orders[[#This Row],[Order Date]])</f>
        <v>5</v>
      </c>
      <c r="O613" t="str" cm="1">
        <f t="array" ref="O613">_xlfn.IFS([1]!orders[[#This Row],[Customer Gender]]="M","Male", [1]!orders[[#This Row],[Customer Gender]]="F","Female", [1]!orders[[#This Row],[Customer Gender]]="O","Other", TRUE,"Unknown")</f>
        <v>Female</v>
      </c>
    </row>
    <row r="614" spans="1:15" x14ac:dyDescent="0.25">
      <c r="A614" s="1" t="s">
        <v>691</v>
      </c>
      <c r="B614" s="1" t="s">
        <v>29</v>
      </c>
      <c r="C614" s="1">
        <v>4</v>
      </c>
      <c r="D614" s="1">
        <v>37.700000000000003</v>
      </c>
      <c r="E614" s="1">
        <v>150.80000000000001</v>
      </c>
      <c r="F614" s="2">
        <v>45683</v>
      </c>
      <c r="G614" s="2">
        <v>45684</v>
      </c>
      <c r="H614" s="1" t="s">
        <v>12</v>
      </c>
      <c r="I614" s="1" t="s">
        <v>20</v>
      </c>
      <c r="J614" s="1">
        <v>4</v>
      </c>
      <c r="K614" s="1" t="s">
        <v>4</v>
      </c>
      <c r="L614" s="1" t="s">
        <v>132</v>
      </c>
      <c r="M614" s="1">
        <f>[1]!orders[[#This Row],[Ship Date]]-[1]!orders[[#This Row],[Order Date]]</f>
        <v>1</v>
      </c>
      <c r="N614" s="1">
        <f>WEEKNUM([1]!orders[[#This Row],[Order Date]])</f>
        <v>5</v>
      </c>
      <c r="O614" t="str" cm="1">
        <f t="array" ref="O614">_xlfn.IFS([1]!orders[[#This Row],[Customer Gender]]="M","Male", [1]!orders[[#This Row],[Customer Gender]]="F","Female", [1]!orders[[#This Row],[Customer Gender]]="O","Other", TRUE,"Unknown")</f>
        <v>Female</v>
      </c>
    </row>
    <row r="615" spans="1:15" x14ac:dyDescent="0.25">
      <c r="A615" t="s">
        <v>692</v>
      </c>
      <c r="B615" t="s">
        <v>39</v>
      </c>
      <c r="C615">
        <v>34</v>
      </c>
      <c r="D615">
        <v>43.6</v>
      </c>
      <c r="E615">
        <v>1482.4</v>
      </c>
      <c r="F615" s="3">
        <v>45683</v>
      </c>
      <c r="G615" s="3">
        <v>45685</v>
      </c>
      <c r="H615" t="s">
        <v>12</v>
      </c>
      <c r="I615" t="s">
        <v>55</v>
      </c>
      <c r="J615">
        <v>3</v>
      </c>
      <c r="K615" t="s">
        <v>4</v>
      </c>
      <c r="L615" t="s">
        <v>18</v>
      </c>
      <c r="M615">
        <f>[1]!orders[[#This Row],[Ship Date]]-[1]!orders[[#This Row],[Order Date]]</f>
        <v>2</v>
      </c>
      <c r="N615">
        <f>WEEKNUM([1]!orders[[#This Row],[Order Date]])</f>
        <v>5</v>
      </c>
      <c r="O615" t="str" cm="1">
        <f t="array" ref="O615">_xlfn.IFS([1]!orders[[#This Row],[Customer Gender]]="M","Male", [1]!orders[[#This Row],[Customer Gender]]="F","Female", [1]!orders[[#This Row],[Customer Gender]]="O","Other", TRUE,"Unknown")</f>
        <v>Female</v>
      </c>
    </row>
    <row r="616" spans="1:15" x14ac:dyDescent="0.25">
      <c r="A616" s="1" t="s">
        <v>693</v>
      </c>
      <c r="B616" s="1" t="s">
        <v>31</v>
      </c>
      <c r="C616" s="1">
        <v>4</v>
      </c>
      <c r="D616" s="1">
        <v>26.5</v>
      </c>
      <c r="E616" s="1">
        <v>106</v>
      </c>
      <c r="F616" s="2">
        <v>45683</v>
      </c>
      <c r="G616" s="2">
        <v>45685</v>
      </c>
      <c r="H616" s="1" t="s">
        <v>8</v>
      </c>
      <c r="I616" s="1" t="s">
        <v>3</v>
      </c>
      <c r="J616" s="1">
        <v>2</v>
      </c>
      <c r="K616" s="1" t="s">
        <v>4</v>
      </c>
      <c r="L616" s="1" t="s">
        <v>18</v>
      </c>
      <c r="M616" s="1">
        <f>[1]!orders[[#This Row],[Ship Date]]-[1]!orders[[#This Row],[Order Date]]</f>
        <v>2</v>
      </c>
      <c r="N616" s="1">
        <f>WEEKNUM([1]!orders[[#This Row],[Order Date]])</f>
        <v>5</v>
      </c>
      <c r="O616" t="str" cm="1">
        <f t="array" ref="O616">_xlfn.IFS([1]!orders[[#This Row],[Customer Gender]]="M","Male", [1]!orders[[#This Row],[Customer Gender]]="F","Female", [1]!orders[[#This Row],[Customer Gender]]="O","Other", TRUE,"Unknown")</f>
        <v>Male</v>
      </c>
    </row>
    <row r="617" spans="1:15" x14ac:dyDescent="0.25">
      <c r="A617" t="s">
        <v>694</v>
      </c>
      <c r="B617" t="s">
        <v>1</v>
      </c>
      <c r="C617">
        <v>2</v>
      </c>
      <c r="D617">
        <v>34.6</v>
      </c>
      <c r="E617">
        <v>69.2</v>
      </c>
      <c r="F617" s="3">
        <v>45683</v>
      </c>
      <c r="G617" s="3">
        <v>45684</v>
      </c>
      <c r="H617" t="s">
        <v>8</v>
      </c>
      <c r="I617" t="s">
        <v>55</v>
      </c>
      <c r="J617">
        <v>3</v>
      </c>
      <c r="K617" t="s">
        <v>4</v>
      </c>
      <c r="L617" t="s">
        <v>18</v>
      </c>
      <c r="M617">
        <f>[1]!orders[[#This Row],[Ship Date]]-[1]!orders[[#This Row],[Order Date]]</f>
        <v>1</v>
      </c>
      <c r="N617">
        <f>WEEKNUM([1]!orders[[#This Row],[Order Date]])</f>
        <v>5</v>
      </c>
      <c r="O617" t="str" cm="1">
        <f t="array" ref="O617">_xlfn.IFS([1]!orders[[#This Row],[Customer Gender]]="M","Male", [1]!orders[[#This Row],[Customer Gender]]="F","Female", [1]!orders[[#This Row],[Customer Gender]]="O","Other", TRUE,"Unknown")</f>
        <v>Male</v>
      </c>
    </row>
    <row r="618" spans="1:15" x14ac:dyDescent="0.25">
      <c r="A618" s="1" t="s">
        <v>695</v>
      </c>
      <c r="B618" s="1" t="s">
        <v>29</v>
      </c>
      <c r="C618" s="1">
        <v>2</v>
      </c>
      <c r="D618" s="1">
        <v>58.2</v>
      </c>
      <c r="E618" s="1">
        <v>116.4</v>
      </c>
      <c r="F618" s="2">
        <v>45683</v>
      </c>
      <c r="G618" s="2">
        <v>45684</v>
      </c>
      <c r="H618" s="1" t="s">
        <v>8</v>
      </c>
      <c r="I618" s="1" t="s">
        <v>25</v>
      </c>
      <c r="J618" s="1">
        <v>5</v>
      </c>
      <c r="K618" s="1" t="s">
        <v>4</v>
      </c>
      <c r="L618" s="1" t="s">
        <v>18</v>
      </c>
      <c r="M618" s="1">
        <f>[1]!orders[[#This Row],[Ship Date]]-[1]!orders[[#This Row],[Order Date]]</f>
        <v>1</v>
      </c>
      <c r="N618" s="1">
        <f>WEEKNUM([1]!orders[[#This Row],[Order Date]])</f>
        <v>5</v>
      </c>
      <c r="O618" t="str" cm="1">
        <f t="array" ref="O618">_xlfn.IFS([1]!orders[[#This Row],[Customer Gender]]="M","Male", [1]!orders[[#This Row],[Customer Gender]]="F","Female", [1]!orders[[#This Row],[Customer Gender]]="O","Other", TRUE,"Unknown")</f>
        <v>Male</v>
      </c>
    </row>
    <row r="619" spans="1:15" x14ac:dyDescent="0.25">
      <c r="A619" t="s">
        <v>696</v>
      </c>
      <c r="B619" t="s">
        <v>27</v>
      </c>
      <c r="C619">
        <v>1</v>
      </c>
      <c r="D619">
        <v>30.2</v>
      </c>
      <c r="E619">
        <v>30.2</v>
      </c>
      <c r="F619" s="3">
        <v>45684</v>
      </c>
      <c r="G619" s="3">
        <v>45685</v>
      </c>
      <c r="H619" t="s">
        <v>12</v>
      </c>
      <c r="I619" t="s">
        <v>25</v>
      </c>
      <c r="J619">
        <v>3</v>
      </c>
      <c r="K619" t="s">
        <v>4</v>
      </c>
      <c r="L619" t="s">
        <v>18</v>
      </c>
      <c r="M619">
        <f>[1]!orders[[#This Row],[Ship Date]]-[1]!orders[[#This Row],[Order Date]]</f>
        <v>1</v>
      </c>
      <c r="N619">
        <f>WEEKNUM([1]!orders[[#This Row],[Order Date]])</f>
        <v>5</v>
      </c>
      <c r="O619" t="str" cm="1">
        <f t="array" ref="O619">_xlfn.IFS([1]!orders[[#This Row],[Customer Gender]]="M","Male", [1]!orders[[#This Row],[Customer Gender]]="F","Female", [1]!orders[[#This Row],[Customer Gender]]="O","Other", TRUE,"Unknown")</f>
        <v>Female</v>
      </c>
    </row>
    <row r="620" spans="1:15" x14ac:dyDescent="0.25">
      <c r="A620" s="1" t="s">
        <v>697</v>
      </c>
      <c r="B620" s="1" t="s">
        <v>7</v>
      </c>
      <c r="C620" s="1">
        <v>10</v>
      </c>
      <c r="D620" s="1">
        <v>53.2</v>
      </c>
      <c r="E620" s="1">
        <v>532</v>
      </c>
      <c r="F620" s="2">
        <v>45684</v>
      </c>
      <c r="G620" s="2">
        <v>45685</v>
      </c>
      <c r="H620" s="1" t="s">
        <v>8</v>
      </c>
      <c r="I620" s="1" t="s">
        <v>3</v>
      </c>
      <c r="J620" s="1">
        <v>5</v>
      </c>
      <c r="K620" s="1" t="s">
        <v>4</v>
      </c>
      <c r="L620" s="1" t="s">
        <v>37</v>
      </c>
      <c r="M620" s="1">
        <f>[1]!orders[[#This Row],[Ship Date]]-[1]!orders[[#This Row],[Order Date]]</f>
        <v>1</v>
      </c>
      <c r="N620" s="1">
        <f>WEEKNUM([1]!orders[[#This Row],[Order Date]])</f>
        <v>5</v>
      </c>
      <c r="O620" t="str" cm="1">
        <f t="array" ref="O620">_xlfn.IFS([1]!orders[[#This Row],[Customer Gender]]="M","Male", [1]!orders[[#This Row],[Customer Gender]]="F","Female", [1]!orders[[#This Row],[Customer Gender]]="O","Other", TRUE,"Unknown")</f>
        <v>Male</v>
      </c>
    </row>
    <row r="621" spans="1:15" x14ac:dyDescent="0.25">
      <c r="A621" t="s">
        <v>698</v>
      </c>
      <c r="B621" t="s">
        <v>54</v>
      </c>
      <c r="C621">
        <v>6</v>
      </c>
      <c r="D621">
        <v>51.1</v>
      </c>
      <c r="E621">
        <v>306.60000000000002</v>
      </c>
      <c r="F621" s="3">
        <v>45684</v>
      </c>
      <c r="G621" s="3">
        <v>45684</v>
      </c>
      <c r="H621" t="s">
        <v>8</v>
      </c>
      <c r="I621" t="s">
        <v>20</v>
      </c>
      <c r="J621">
        <v>5</v>
      </c>
      <c r="K621" t="s">
        <v>4</v>
      </c>
      <c r="L621" t="s">
        <v>37</v>
      </c>
      <c r="M621">
        <f>[1]!orders[[#This Row],[Ship Date]]-[1]!orders[[#This Row],[Order Date]]</f>
        <v>0</v>
      </c>
      <c r="N621">
        <f>WEEKNUM([1]!orders[[#This Row],[Order Date]])</f>
        <v>5</v>
      </c>
      <c r="O621" t="str" cm="1">
        <f t="array" ref="O621">_xlfn.IFS([1]!orders[[#This Row],[Customer Gender]]="M","Male", [1]!orders[[#This Row],[Customer Gender]]="F","Female", [1]!orders[[#This Row],[Customer Gender]]="O","Other", TRUE,"Unknown")</f>
        <v>Male</v>
      </c>
    </row>
    <row r="622" spans="1:15" x14ac:dyDescent="0.25">
      <c r="A622" s="1" t="s">
        <v>699</v>
      </c>
      <c r="B622" s="1" t="s">
        <v>7</v>
      </c>
      <c r="C622" s="1">
        <v>1</v>
      </c>
      <c r="D622" s="1">
        <v>105.4</v>
      </c>
      <c r="E622" s="1">
        <v>105.4</v>
      </c>
      <c r="F622" s="2">
        <v>45684</v>
      </c>
      <c r="G622" s="2">
        <v>45688</v>
      </c>
      <c r="H622" s="1" t="s">
        <v>12</v>
      </c>
      <c r="I622" s="1" t="s">
        <v>20</v>
      </c>
      <c r="J622" s="1">
        <v>5</v>
      </c>
      <c r="K622" s="1" t="s">
        <v>4</v>
      </c>
      <c r="L622" s="1" t="s">
        <v>143</v>
      </c>
      <c r="M622" s="1">
        <f>[1]!orders[[#This Row],[Ship Date]]-[1]!orders[[#This Row],[Order Date]]</f>
        <v>4</v>
      </c>
      <c r="N622" s="1">
        <f>WEEKNUM([1]!orders[[#This Row],[Order Date]])</f>
        <v>5</v>
      </c>
      <c r="O622" t="str" cm="1">
        <f t="array" ref="O622">_xlfn.IFS([1]!orders[[#This Row],[Customer Gender]]="M","Male", [1]!orders[[#This Row],[Customer Gender]]="F","Female", [1]!orders[[#This Row],[Customer Gender]]="O","Other", TRUE,"Unknown")</f>
        <v>Female</v>
      </c>
    </row>
    <row r="623" spans="1:15" x14ac:dyDescent="0.25">
      <c r="A623" t="s">
        <v>700</v>
      </c>
      <c r="B623" t="s">
        <v>27</v>
      </c>
      <c r="C623">
        <v>1</v>
      </c>
      <c r="D623">
        <v>57.7</v>
      </c>
      <c r="E623">
        <v>57.7</v>
      </c>
      <c r="F623" s="3">
        <v>45684</v>
      </c>
      <c r="G623" s="3">
        <v>45684</v>
      </c>
      <c r="H623" t="s">
        <v>8</v>
      </c>
      <c r="I623" t="s">
        <v>3</v>
      </c>
      <c r="J623">
        <v>2</v>
      </c>
      <c r="K623" t="s">
        <v>4</v>
      </c>
      <c r="L623" t="s">
        <v>47</v>
      </c>
      <c r="M623">
        <f>[1]!orders[[#This Row],[Ship Date]]-[1]!orders[[#This Row],[Order Date]]</f>
        <v>0</v>
      </c>
      <c r="N623">
        <f>WEEKNUM([1]!orders[[#This Row],[Order Date]])</f>
        <v>5</v>
      </c>
      <c r="O623" t="str" cm="1">
        <f t="array" ref="O623">_xlfn.IFS([1]!orders[[#This Row],[Customer Gender]]="M","Male", [1]!orders[[#This Row],[Customer Gender]]="F","Female", [1]!orders[[#This Row],[Customer Gender]]="O","Other", TRUE,"Unknown")</f>
        <v>Male</v>
      </c>
    </row>
    <row r="624" spans="1:15" x14ac:dyDescent="0.25">
      <c r="A624" s="1" t="s">
        <v>701</v>
      </c>
      <c r="B624" s="1" t="s">
        <v>108</v>
      </c>
      <c r="C624" s="1">
        <v>2</v>
      </c>
      <c r="D624" s="1">
        <v>72.400000000000006</v>
      </c>
      <c r="E624" s="1">
        <v>144.80000000000001</v>
      </c>
      <c r="F624" s="2">
        <v>45684</v>
      </c>
      <c r="G624" s="2">
        <v>45689</v>
      </c>
      <c r="H624" s="1" t="s">
        <v>12</v>
      </c>
      <c r="I624" s="1" t="s">
        <v>3</v>
      </c>
      <c r="J624" s="1">
        <v>4</v>
      </c>
      <c r="K624" s="1" t="s">
        <v>4</v>
      </c>
      <c r="L624" s="1" t="s">
        <v>88</v>
      </c>
      <c r="M624" s="1">
        <f>[1]!orders[[#This Row],[Ship Date]]-[1]!orders[[#This Row],[Order Date]]</f>
        <v>5</v>
      </c>
      <c r="N624" s="1">
        <f>WEEKNUM([1]!orders[[#This Row],[Order Date]])</f>
        <v>5</v>
      </c>
      <c r="O624" t="str" cm="1">
        <f t="array" ref="O624">_xlfn.IFS([1]!orders[[#This Row],[Customer Gender]]="M","Male", [1]!orders[[#This Row],[Customer Gender]]="F","Female", [1]!orders[[#This Row],[Customer Gender]]="O","Other", TRUE,"Unknown")</f>
        <v>Female</v>
      </c>
    </row>
    <row r="625" spans="1:15" x14ac:dyDescent="0.25">
      <c r="A625" t="s">
        <v>702</v>
      </c>
      <c r="B625" t="s">
        <v>24</v>
      </c>
      <c r="C625">
        <v>2</v>
      </c>
      <c r="D625">
        <v>62.5</v>
      </c>
      <c r="E625">
        <v>125</v>
      </c>
      <c r="F625" s="3">
        <v>45684</v>
      </c>
      <c r="G625" s="3">
        <v>45685</v>
      </c>
      <c r="H625" t="s">
        <v>2</v>
      </c>
      <c r="I625" t="s">
        <v>3</v>
      </c>
      <c r="J625">
        <v>5</v>
      </c>
      <c r="K625" t="s">
        <v>4</v>
      </c>
      <c r="L625" t="s">
        <v>62</v>
      </c>
      <c r="M625">
        <f>[1]!orders[[#This Row],[Ship Date]]-[1]!orders[[#This Row],[Order Date]]</f>
        <v>1</v>
      </c>
      <c r="N625">
        <f>WEEKNUM([1]!orders[[#This Row],[Order Date]])</f>
        <v>5</v>
      </c>
      <c r="O625" t="str" cm="1">
        <f t="array" ref="O625">_xlfn.IFS([1]!orders[[#This Row],[Customer Gender]]="M","Male", [1]!orders[[#This Row],[Customer Gender]]="F","Female", [1]!orders[[#This Row],[Customer Gender]]="O","Other", TRUE,"Unknown")</f>
        <v>Unknown</v>
      </c>
    </row>
    <row r="626" spans="1:15" x14ac:dyDescent="0.25">
      <c r="A626" s="1" t="s">
        <v>703</v>
      </c>
      <c r="B626" s="1" t="s">
        <v>1</v>
      </c>
      <c r="C626" s="1">
        <v>22</v>
      </c>
      <c r="D626" s="1">
        <v>11.6</v>
      </c>
      <c r="E626" s="1">
        <v>255.2</v>
      </c>
      <c r="F626" s="2">
        <v>45684</v>
      </c>
      <c r="G626" s="2">
        <v>45686</v>
      </c>
      <c r="H626" s="1" t="s">
        <v>12</v>
      </c>
      <c r="I626" s="1" t="s">
        <v>36</v>
      </c>
      <c r="J626" s="1">
        <v>5</v>
      </c>
      <c r="K626" s="1" t="s">
        <v>4</v>
      </c>
      <c r="L626" s="1" t="s">
        <v>93</v>
      </c>
      <c r="M626" s="1">
        <f>[1]!orders[[#This Row],[Ship Date]]-[1]!orders[[#This Row],[Order Date]]</f>
        <v>2</v>
      </c>
      <c r="N626" s="1">
        <f>WEEKNUM([1]!orders[[#This Row],[Order Date]])</f>
        <v>5</v>
      </c>
      <c r="O626" t="str" cm="1">
        <f t="array" ref="O626">_xlfn.IFS([1]!orders[[#This Row],[Customer Gender]]="M","Male", [1]!orders[[#This Row],[Customer Gender]]="F","Female", [1]!orders[[#This Row],[Customer Gender]]="O","Other", TRUE,"Unknown")</f>
        <v>Female</v>
      </c>
    </row>
    <row r="627" spans="1:15" x14ac:dyDescent="0.25">
      <c r="A627" t="s">
        <v>704</v>
      </c>
      <c r="B627" t="s">
        <v>39</v>
      </c>
      <c r="C627">
        <v>10</v>
      </c>
      <c r="D627">
        <v>39.6</v>
      </c>
      <c r="E627">
        <v>396</v>
      </c>
      <c r="F627" s="3">
        <v>45684</v>
      </c>
      <c r="G627" s="3">
        <v>45686</v>
      </c>
      <c r="H627" t="s">
        <v>12</v>
      </c>
      <c r="I627" t="s">
        <v>25</v>
      </c>
      <c r="J627">
        <v>5</v>
      </c>
      <c r="K627" t="s">
        <v>4</v>
      </c>
      <c r="L627" t="s">
        <v>93</v>
      </c>
      <c r="M627">
        <f>[1]!orders[[#This Row],[Ship Date]]-[1]!orders[[#This Row],[Order Date]]</f>
        <v>2</v>
      </c>
      <c r="N627">
        <f>WEEKNUM([1]!orders[[#This Row],[Order Date]])</f>
        <v>5</v>
      </c>
      <c r="O627" t="str" cm="1">
        <f t="array" ref="O627">_xlfn.IFS([1]!orders[[#This Row],[Customer Gender]]="M","Male", [1]!orders[[#This Row],[Customer Gender]]="F","Female", [1]!orders[[#This Row],[Customer Gender]]="O","Other", TRUE,"Unknown")</f>
        <v>Female</v>
      </c>
    </row>
    <row r="628" spans="1:15" x14ac:dyDescent="0.25">
      <c r="A628" s="1" t="s">
        <v>705</v>
      </c>
      <c r="B628" s="1" t="s">
        <v>29</v>
      </c>
      <c r="C628" s="1">
        <v>2</v>
      </c>
      <c r="D628" s="1">
        <v>40.1</v>
      </c>
      <c r="E628" s="1">
        <v>80.2</v>
      </c>
      <c r="F628" s="2">
        <v>45684</v>
      </c>
      <c r="G628" s="2">
        <v>45685</v>
      </c>
      <c r="H628" s="1" t="s">
        <v>12</v>
      </c>
      <c r="I628" s="1" t="s">
        <v>25</v>
      </c>
      <c r="J628" s="1">
        <v>4</v>
      </c>
      <c r="K628" s="1" t="s">
        <v>4</v>
      </c>
      <c r="L628" s="1" t="s">
        <v>93</v>
      </c>
      <c r="M628" s="1">
        <f>[1]!orders[[#This Row],[Ship Date]]-[1]!orders[[#This Row],[Order Date]]</f>
        <v>1</v>
      </c>
      <c r="N628" s="1">
        <f>WEEKNUM([1]!orders[[#This Row],[Order Date]])</f>
        <v>5</v>
      </c>
      <c r="O628" t="str" cm="1">
        <f t="array" ref="O628">_xlfn.IFS([1]!orders[[#This Row],[Customer Gender]]="M","Male", [1]!orders[[#This Row],[Customer Gender]]="F","Female", [1]!orders[[#This Row],[Customer Gender]]="O","Other", TRUE,"Unknown")</f>
        <v>Female</v>
      </c>
    </row>
    <row r="629" spans="1:15" x14ac:dyDescent="0.25">
      <c r="A629" t="s">
        <v>706</v>
      </c>
      <c r="B629" t="s">
        <v>29</v>
      </c>
      <c r="C629">
        <v>3</v>
      </c>
      <c r="D629">
        <v>18.600000000000001</v>
      </c>
      <c r="E629">
        <v>55.800000000000004</v>
      </c>
      <c r="F629" s="3">
        <v>45684</v>
      </c>
      <c r="G629" s="3">
        <v>45685</v>
      </c>
      <c r="H629" t="s">
        <v>12</v>
      </c>
      <c r="I629" t="s">
        <v>25</v>
      </c>
      <c r="J629">
        <v>4</v>
      </c>
      <c r="K629" t="s">
        <v>4</v>
      </c>
      <c r="L629" t="s">
        <v>100</v>
      </c>
      <c r="M629">
        <f>[1]!orders[[#This Row],[Ship Date]]-[1]!orders[[#This Row],[Order Date]]</f>
        <v>1</v>
      </c>
      <c r="N629">
        <f>WEEKNUM([1]!orders[[#This Row],[Order Date]])</f>
        <v>5</v>
      </c>
      <c r="O629" t="str" cm="1">
        <f t="array" ref="O629">_xlfn.IFS([1]!orders[[#This Row],[Customer Gender]]="M","Male", [1]!orders[[#This Row],[Customer Gender]]="F","Female", [1]!orders[[#This Row],[Customer Gender]]="O","Other", TRUE,"Unknown")</f>
        <v>Female</v>
      </c>
    </row>
    <row r="630" spans="1:15" x14ac:dyDescent="0.25">
      <c r="A630" s="1" t="s">
        <v>707</v>
      </c>
      <c r="B630" s="1" t="s">
        <v>17</v>
      </c>
      <c r="C630" s="1">
        <v>1</v>
      </c>
      <c r="D630" s="1">
        <v>58.8</v>
      </c>
      <c r="E630" s="1">
        <v>58.8</v>
      </c>
      <c r="F630" s="2">
        <v>45684</v>
      </c>
      <c r="G630" s="2">
        <v>45686</v>
      </c>
      <c r="H630" s="1" t="s">
        <v>12</v>
      </c>
      <c r="I630" s="1" t="s">
        <v>3</v>
      </c>
      <c r="J630" s="1">
        <v>3</v>
      </c>
      <c r="K630" s="1" t="s">
        <v>4</v>
      </c>
      <c r="L630" s="1" t="s">
        <v>100</v>
      </c>
      <c r="M630" s="1">
        <f>[1]!orders[[#This Row],[Ship Date]]-[1]!orders[[#This Row],[Order Date]]</f>
        <v>2</v>
      </c>
      <c r="N630" s="1">
        <f>WEEKNUM([1]!orders[[#This Row],[Order Date]])</f>
        <v>5</v>
      </c>
      <c r="O630" t="str" cm="1">
        <f t="array" ref="O630">_xlfn.IFS([1]!orders[[#This Row],[Customer Gender]]="M","Male", [1]!orders[[#This Row],[Customer Gender]]="F","Female", [1]!orders[[#This Row],[Customer Gender]]="O","Other", TRUE,"Unknown")</f>
        <v>Female</v>
      </c>
    </row>
    <row r="631" spans="1:15" x14ac:dyDescent="0.25">
      <c r="A631" t="s">
        <v>708</v>
      </c>
      <c r="B631" t="s">
        <v>29</v>
      </c>
      <c r="C631">
        <v>2</v>
      </c>
      <c r="D631">
        <v>22.1</v>
      </c>
      <c r="E631">
        <v>44.2</v>
      </c>
      <c r="F631" s="3">
        <v>45684</v>
      </c>
      <c r="G631" s="3">
        <v>45687</v>
      </c>
      <c r="H631" t="s">
        <v>8</v>
      </c>
      <c r="I631" t="s">
        <v>20</v>
      </c>
      <c r="J631">
        <v>5</v>
      </c>
      <c r="K631" t="s">
        <v>4</v>
      </c>
      <c r="L631" t="s">
        <v>100</v>
      </c>
      <c r="M631">
        <f>[1]!orders[[#This Row],[Ship Date]]-[1]!orders[[#This Row],[Order Date]]</f>
        <v>3</v>
      </c>
      <c r="N631">
        <f>WEEKNUM([1]!orders[[#This Row],[Order Date]])</f>
        <v>5</v>
      </c>
      <c r="O631" t="str" cm="1">
        <f t="array" ref="O631">_xlfn.IFS([1]!orders[[#This Row],[Customer Gender]]="M","Male", [1]!orders[[#This Row],[Customer Gender]]="F","Female", [1]!orders[[#This Row],[Customer Gender]]="O","Other", TRUE,"Unknown")</f>
        <v>Male</v>
      </c>
    </row>
    <row r="632" spans="1:15" x14ac:dyDescent="0.25">
      <c r="A632" s="1" t="s">
        <v>709</v>
      </c>
      <c r="B632" s="1" t="s">
        <v>11</v>
      </c>
      <c r="C632" s="1">
        <v>1</v>
      </c>
      <c r="D632" s="1">
        <v>114.9</v>
      </c>
      <c r="E632" s="1">
        <v>114.9</v>
      </c>
      <c r="F632" s="2">
        <v>45685</v>
      </c>
      <c r="G632" s="2">
        <v>45686</v>
      </c>
      <c r="H632" s="1" t="s">
        <v>12</v>
      </c>
      <c r="I632" s="1" t="s">
        <v>20</v>
      </c>
      <c r="J632" s="1">
        <v>3</v>
      </c>
      <c r="K632" s="1" t="s">
        <v>4</v>
      </c>
      <c r="L632" s="1" t="s">
        <v>132</v>
      </c>
      <c r="M632" s="1">
        <f>[1]!orders[[#This Row],[Ship Date]]-[1]!orders[[#This Row],[Order Date]]</f>
        <v>1</v>
      </c>
      <c r="N632" s="1">
        <f>WEEKNUM([1]!orders[[#This Row],[Order Date]])</f>
        <v>5</v>
      </c>
      <c r="O632" t="str" cm="1">
        <f t="array" ref="O632">_xlfn.IFS([1]!orders[[#This Row],[Customer Gender]]="M","Male", [1]!orders[[#This Row],[Customer Gender]]="F","Female", [1]!orders[[#This Row],[Customer Gender]]="O","Other", TRUE,"Unknown")</f>
        <v>Female</v>
      </c>
    </row>
    <row r="633" spans="1:15" x14ac:dyDescent="0.25">
      <c r="A633" t="s">
        <v>710</v>
      </c>
      <c r="B633" t="s">
        <v>31</v>
      </c>
      <c r="C633">
        <v>5</v>
      </c>
      <c r="D633">
        <v>75.8</v>
      </c>
      <c r="E633">
        <v>379</v>
      </c>
      <c r="F633" s="3">
        <v>45685</v>
      </c>
      <c r="G633" s="3">
        <v>45686</v>
      </c>
      <c r="H633" t="s">
        <v>8</v>
      </c>
      <c r="I633" t="s">
        <v>3</v>
      </c>
      <c r="J633">
        <v>5</v>
      </c>
      <c r="K633" t="s">
        <v>4</v>
      </c>
      <c r="L633" t="s">
        <v>18</v>
      </c>
      <c r="M633">
        <f>[1]!orders[[#This Row],[Ship Date]]-[1]!orders[[#This Row],[Order Date]]</f>
        <v>1</v>
      </c>
      <c r="N633">
        <f>WEEKNUM([1]!orders[[#This Row],[Order Date]])</f>
        <v>5</v>
      </c>
      <c r="O633" t="str" cm="1">
        <f t="array" ref="O633">_xlfn.IFS([1]!orders[[#This Row],[Customer Gender]]="M","Male", [1]!orders[[#This Row],[Customer Gender]]="F","Female", [1]!orders[[#This Row],[Customer Gender]]="O","Other", TRUE,"Unknown")</f>
        <v>Male</v>
      </c>
    </row>
    <row r="634" spans="1:15" x14ac:dyDescent="0.25">
      <c r="A634" s="1" t="s">
        <v>711</v>
      </c>
      <c r="B634" s="1" t="s">
        <v>66</v>
      </c>
      <c r="C634" s="1">
        <v>5</v>
      </c>
      <c r="D634" s="1">
        <v>20.6</v>
      </c>
      <c r="E634" s="1">
        <v>103</v>
      </c>
      <c r="F634" s="2">
        <v>45685</v>
      </c>
      <c r="G634" s="2">
        <v>45686</v>
      </c>
      <c r="H634" s="1" t="s">
        <v>8</v>
      </c>
      <c r="I634" s="1" t="s">
        <v>25</v>
      </c>
      <c r="J634" s="1">
        <v>5</v>
      </c>
      <c r="K634" s="1" t="s">
        <v>4</v>
      </c>
      <c r="L634" s="1" t="s">
        <v>18</v>
      </c>
      <c r="M634" s="1">
        <f>[1]!orders[[#This Row],[Ship Date]]-[1]!orders[[#This Row],[Order Date]]</f>
        <v>1</v>
      </c>
      <c r="N634" s="1">
        <f>WEEKNUM([1]!orders[[#This Row],[Order Date]])</f>
        <v>5</v>
      </c>
      <c r="O634" t="str" cm="1">
        <f t="array" ref="O634">_xlfn.IFS([1]!orders[[#This Row],[Customer Gender]]="M","Male", [1]!orders[[#This Row],[Customer Gender]]="F","Female", [1]!orders[[#This Row],[Customer Gender]]="O","Other", TRUE,"Unknown")</f>
        <v>Male</v>
      </c>
    </row>
    <row r="635" spans="1:15" x14ac:dyDescent="0.25">
      <c r="A635" t="s">
        <v>712</v>
      </c>
      <c r="B635" t="s">
        <v>120</v>
      </c>
      <c r="C635">
        <v>3</v>
      </c>
      <c r="D635">
        <v>67.900000000000006</v>
      </c>
      <c r="E635">
        <v>203.70000000000002</v>
      </c>
      <c r="F635" s="3">
        <v>45685</v>
      </c>
      <c r="G635" s="3">
        <v>45686</v>
      </c>
      <c r="H635" t="s">
        <v>12</v>
      </c>
      <c r="I635" t="s">
        <v>20</v>
      </c>
      <c r="J635">
        <v>3</v>
      </c>
      <c r="K635" t="s">
        <v>4</v>
      </c>
      <c r="L635" t="s">
        <v>18</v>
      </c>
      <c r="M635">
        <f>[1]!orders[[#This Row],[Ship Date]]-[1]!orders[[#This Row],[Order Date]]</f>
        <v>1</v>
      </c>
      <c r="N635">
        <f>WEEKNUM([1]!orders[[#This Row],[Order Date]])</f>
        <v>5</v>
      </c>
      <c r="O635" t="str" cm="1">
        <f t="array" ref="O635">_xlfn.IFS([1]!orders[[#This Row],[Customer Gender]]="M","Male", [1]!orders[[#This Row],[Customer Gender]]="F","Female", [1]!orders[[#This Row],[Customer Gender]]="O","Other", TRUE,"Unknown")</f>
        <v>Female</v>
      </c>
    </row>
    <row r="636" spans="1:15" x14ac:dyDescent="0.25">
      <c r="A636" s="1" t="s">
        <v>713</v>
      </c>
      <c r="B636" s="1" t="s">
        <v>1</v>
      </c>
      <c r="C636" s="1">
        <v>5</v>
      </c>
      <c r="D636" s="1">
        <v>27</v>
      </c>
      <c r="E636" s="1">
        <v>135</v>
      </c>
      <c r="F636" s="2">
        <v>45685</v>
      </c>
      <c r="G636" s="2">
        <v>45692</v>
      </c>
      <c r="H636" s="1" t="s">
        <v>12</v>
      </c>
      <c r="I636" s="1" t="s">
        <v>3</v>
      </c>
      <c r="J636" s="1">
        <v>5</v>
      </c>
      <c r="K636" s="1" t="s">
        <v>4</v>
      </c>
      <c r="L636" s="1" t="s">
        <v>18</v>
      </c>
      <c r="M636" s="1">
        <f>[1]!orders[[#This Row],[Ship Date]]-[1]!orders[[#This Row],[Order Date]]</f>
        <v>7</v>
      </c>
      <c r="N636" s="1">
        <f>WEEKNUM([1]!orders[[#This Row],[Order Date]])</f>
        <v>5</v>
      </c>
      <c r="O636" t="str" cm="1">
        <f t="array" ref="O636">_xlfn.IFS([1]!orders[[#This Row],[Customer Gender]]="M","Male", [1]!orders[[#This Row],[Customer Gender]]="F","Female", [1]!orders[[#This Row],[Customer Gender]]="O","Other", TRUE,"Unknown")</f>
        <v>Female</v>
      </c>
    </row>
    <row r="637" spans="1:15" x14ac:dyDescent="0.25">
      <c r="A637" t="s">
        <v>714</v>
      </c>
      <c r="B637" t="s">
        <v>61</v>
      </c>
      <c r="C637">
        <v>1</v>
      </c>
      <c r="D637">
        <v>50.6</v>
      </c>
      <c r="E637">
        <v>50.6</v>
      </c>
      <c r="F637" s="3">
        <v>45685</v>
      </c>
      <c r="G637" s="3">
        <v>45685</v>
      </c>
      <c r="H637" t="s">
        <v>8</v>
      </c>
      <c r="I637" t="s">
        <v>3</v>
      </c>
      <c r="J637">
        <v>3</v>
      </c>
      <c r="K637" t="s">
        <v>4</v>
      </c>
      <c r="L637" t="s">
        <v>18</v>
      </c>
      <c r="M637">
        <f>[1]!orders[[#This Row],[Ship Date]]-[1]!orders[[#This Row],[Order Date]]</f>
        <v>0</v>
      </c>
      <c r="N637">
        <f>WEEKNUM([1]!orders[[#This Row],[Order Date]])</f>
        <v>5</v>
      </c>
      <c r="O637" t="str" cm="1">
        <f t="array" ref="O637">_xlfn.IFS([1]!orders[[#This Row],[Customer Gender]]="M","Male", [1]!orders[[#This Row],[Customer Gender]]="F","Female", [1]!orders[[#This Row],[Customer Gender]]="O","Other", TRUE,"Unknown")</f>
        <v>Male</v>
      </c>
    </row>
    <row r="638" spans="1:15" x14ac:dyDescent="0.25">
      <c r="A638" s="1" t="s">
        <v>715</v>
      </c>
      <c r="B638" s="1" t="s">
        <v>17</v>
      </c>
      <c r="C638" s="1">
        <v>5</v>
      </c>
      <c r="D638" s="1">
        <v>22.1</v>
      </c>
      <c r="E638" s="1">
        <v>110.5</v>
      </c>
      <c r="F638" s="2">
        <v>45685</v>
      </c>
      <c r="G638" s="2">
        <v>45690</v>
      </c>
      <c r="H638" s="1" t="s">
        <v>8</v>
      </c>
      <c r="I638" s="1" t="s">
        <v>3</v>
      </c>
      <c r="J638" s="1">
        <v>4</v>
      </c>
      <c r="K638" s="1" t="s">
        <v>4</v>
      </c>
      <c r="L638" s="1" t="s">
        <v>18</v>
      </c>
      <c r="M638" s="1">
        <f>[1]!orders[[#This Row],[Ship Date]]-[1]!orders[[#This Row],[Order Date]]</f>
        <v>5</v>
      </c>
      <c r="N638" s="1">
        <f>WEEKNUM([1]!orders[[#This Row],[Order Date]])</f>
        <v>5</v>
      </c>
      <c r="O638" t="str" cm="1">
        <f t="array" ref="O638">_xlfn.IFS([1]!orders[[#This Row],[Customer Gender]]="M","Male", [1]!orders[[#This Row],[Customer Gender]]="F","Female", [1]!orders[[#This Row],[Customer Gender]]="O","Other", TRUE,"Unknown")</f>
        <v>Male</v>
      </c>
    </row>
    <row r="639" spans="1:15" x14ac:dyDescent="0.25">
      <c r="A639" t="s">
        <v>716</v>
      </c>
      <c r="B639" t="s">
        <v>29</v>
      </c>
      <c r="C639">
        <v>3</v>
      </c>
      <c r="D639">
        <v>42.9</v>
      </c>
      <c r="E639">
        <v>128.69999999999999</v>
      </c>
      <c r="F639" s="3">
        <v>45685</v>
      </c>
      <c r="G639" s="3">
        <v>45687</v>
      </c>
      <c r="H639" t="s">
        <v>12</v>
      </c>
      <c r="I639" t="s">
        <v>3</v>
      </c>
      <c r="J639">
        <v>4</v>
      </c>
      <c r="K639" t="s">
        <v>4</v>
      </c>
      <c r="L639" t="s">
        <v>18</v>
      </c>
      <c r="M639">
        <f>[1]!orders[[#This Row],[Ship Date]]-[1]!orders[[#This Row],[Order Date]]</f>
        <v>2</v>
      </c>
      <c r="N639">
        <f>WEEKNUM([1]!orders[[#This Row],[Order Date]])</f>
        <v>5</v>
      </c>
      <c r="O639" t="str" cm="1">
        <f t="array" ref="O639">_xlfn.IFS([1]!orders[[#This Row],[Customer Gender]]="M","Male", [1]!orders[[#This Row],[Customer Gender]]="F","Female", [1]!orders[[#This Row],[Customer Gender]]="O","Other", TRUE,"Unknown")</f>
        <v>Female</v>
      </c>
    </row>
    <row r="640" spans="1:15" x14ac:dyDescent="0.25">
      <c r="A640" s="1" t="s">
        <v>717</v>
      </c>
      <c r="B640" s="1" t="s">
        <v>7</v>
      </c>
      <c r="C640" s="1">
        <v>11</v>
      </c>
      <c r="D640" s="1">
        <v>62.4</v>
      </c>
      <c r="E640" s="1">
        <v>686.4</v>
      </c>
      <c r="F640" s="2">
        <v>45685</v>
      </c>
      <c r="G640" s="2">
        <v>45687</v>
      </c>
      <c r="H640" s="1" t="s">
        <v>12</v>
      </c>
      <c r="I640" s="1" t="s">
        <v>25</v>
      </c>
      <c r="J640" s="1">
        <v>4</v>
      </c>
      <c r="K640" s="1" t="s">
        <v>4</v>
      </c>
      <c r="L640" s="1" t="s">
        <v>18</v>
      </c>
      <c r="M640" s="1">
        <f>[1]!orders[[#This Row],[Ship Date]]-[1]!orders[[#This Row],[Order Date]]</f>
        <v>2</v>
      </c>
      <c r="N640" s="1">
        <f>WEEKNUM([1]!orders[[#This Row],[Order Date]])</f>
        <v>5</v>
      </c>
      <c r="O640" t="str" cm="1">
        <f t="array" ref="O640">_xlfn.IFS([1]!orders[[#This Row],[Customer Gender]]="M","Male", [1]!orders[[#This Row],[Customer Gender]]="F","Female", [1]!orders[[#This Row],[Customer Gender]]="O","Other", TRUE,"Unknown")</f>
        <v>Female</v>
      </c>
    </row>
    <row r="641" spans="1:15" x14ac:dyDescent="0.25">
      <c r="A641" t="s">
        <v>718</v>
      </c>
      <c r="B641" t="s">
        <v>61</v>
      </c>
      <c r="C641">
        <v>9</v>
      </c>
      <c r="D641">
        <v>36.4</v>
      </c>
      <c r="E641">
        <v>327.59999999999997</v>
      </c>
      <c r="F641" s="3">
        <v>45685</v>
      </c>
      <c r="G641" s="3">
        <v>45687</v>
      </c>
      <c r="H641" t="s">
        <v>12</v>
      </c>
      <c r="I641" t="s">
        <v>3</v>
      </c>
      <c r="J641">
        <v>5</v>
      </c>
      <c r="K641" t="s">
        <v>4</v>
      </c>
      <c r="L641" t="s">
        <v>18</v>
      </c>
      <c r="M641">
        <f>[1]!orders[[#This Row],[Ship Date]]-[1]!orders[[#This Row],[Order Date]]</f>
        <v>2</v>
      </c>
      <c r="N641">
        <f>WEEKNUM([1]!orders[[#This Row],[Order Date]])</f>
        <v>5</v>
      </c>
      <c r="O641" t="str" cm="1">
        <f t="array" ref="O641">_xlfn.IFS([1]!orders[[#This Row],[Customer Gender]]="M","Male", [1]!orders[[#This Row],[Customer Gender]]="F","Female", [1]!orders[[#This Row],[Customer Gender]]="O","Other", TRUE,"Unknown")</f>
        <v>Female</v>
      </c>
    </row>
    <row r="642" spans="1:15" x14ac:dyDescent="0.25">
      <c r="A642" s="1" t="s">
        <v>719</v>
      </c>
      <c r="B642" s="1" t="s">
        <v>1</v>
      </c>
      <c r="C642" s="1">
        <v>2</v>
      </c>
      <c r="D642" s="1">
        <v>22.5</v>
      </c>
      <c r="E642" s="1">
        <v>45</v>
      </c>
      <c r="F642" s="2">
        <v>45685</v>
      </c>
      <c r="G642" s="2">
        <v>45688</v>
      </c>
      <c r="H642" s="1" t="s">
        <v>8</v>
      </c>
      <c r="I642" s="1" t="s">
        <v>3</v>
      </c>
      <c r="J642" s="1">
        <v>4</v>
      </c>
      <c r="K642" s="1" t="s">
        <v>4</v>
      </c>
      <c r="L642" s="1" t="s">
        <v>18</v>
      </c>
      <c r="M642" s="1">
        <f>[1]!orders[[#This Row],[Ship Date]]-[1]!orders[[#This Row],[Order Date]]</f>
        <v>3</v>
      </c>
      <c r="N642" s="1">
        <f>WEEKNUM([1]!orders[[#This Row],[Order Date]])</f>
        <v>5</v>
      </c>
      <c r="O642" t="str" cm="1">
        <f t="array" ref="O642">_xlfn.IFS([1]!orders[[#This Row],[Customer Gender]]="M","Male", [1]!orders[[#This Row],[Customer Gender]]="F","Female", [1]!orders[[#This Row],[Customer Gender]]="O","Other", TRUE,"Unknown")</f>
        <v>Male</v>
      </c>
    </row>
    <row r="643" spans="1:15" x14ac:dyDescent="0.25">
      <c r="A643" t="s">
        <v>720</v>
      </c>
      <c r="B643" t="s">
        <v>24</v>
      </c>
      <c r="C643">
        <v>4</v>
      </c>
      <c r="D643">
        <v>70.8</v>
      </c>
      <c r="E643">
        <v>283.2</v>
      </c>
      <c r="F643" s="3">
        <v>45685</v>
      </c>
      <c r="G643" s="3">
        <v>45687</v>
      </c>
      <c r="H643" t="s">
        <v>12</v>
      </c>
      <c r="I643" t="s">
        <v>55</v>
      </c>
      <c r="J643">
        <v>4</v>
      </c>
      <c r="K643" t="s">
        <v>4</v>
      </c>
      <c r="L643" t="s">
        <v>18</v>
      </c>
      <c r="M643">
        <f>[1]!orders[[#This Row],[Ship Date]]-[1]!orders[[#This Row],[Order Date]]</f>
        <v>2</v>
      </c>
      <c r="N643">
        <f>WEEKNUM([1]!orders[[#This Row],[Order Date]])</f>
        <v>5</v>
      </c>
      <c r="O643" t="str" cm="1">
        <f t="array" ref="O643">_xlfn.IFS([1]!orders[[#This Row],[Customer Gender]]="M","Male", [1]!orders[[#This Row],[Customer Gender]]="F","Female", [1]!orders[[#This Row],[Customer Gender]]="O","Other", TRUE,"Unknown")</f>
        <v>Female</v>
      </c>
    </row>
    <row r="644" spans="1:15" x14ac:dyDescent="0.25">
      <c r="A644" s="1" t="s">
        <v>721</v>
      </c>
      <c r="B644" s="1" t="s">
        <v>24</v>
      </c>
      <c r="C644" s="1">
        <v>5</v>
      </c>
      <c r="D644" s="1">
        <v>56.6</v>
      </c>
      <c r="E644" s="1">
        <v>283</v>
      </c>
      <c r="F644" s="2">
        <v>45685</v>
      </c>
      <c r="G644" s="2">
        <v>45687</v>
      </c>
      <c r="H644" s="1" t="s">
        <v>8</v>
      </c>
      <c r="I644" s="1" t="s">
        <v>3</v>
      </c>
      <c r="J644" s="1">
        <v>3</v>
      </c>
      <c r="K644" s="1" t="s">
        <v>4</v>
      </c>
      <c r="L644" s="1" t="s">
        <v>34</v>
      </c>
      <c r="M644" s="1">
        <f>[1]!orders[[#This Row],[Ship Date]]-[1]!orders[[#This Row],[Order Date]]</f>
        <v>2</v>
      </c>
      <c r="N644" s="1">
        <f>WEEKNUM([1]!orders[[#This Row],[Order Date]])</f>
        <v>5</v>
      </c>
      <c r="O644" t="str" cm="1">
        <f t="array" ref="O644">_xlfn.IFS([1]!orders[[#This Row],[Customer Gender]]="M","Male", [1]!orders[[#This Row],[Customer Gender]]="F","Female", [1]!orders[[#This Row],[Customer Gender]]="O","Other", TRUE,"Unknown")</f>
        <v>Male</v>
      </c>
    </row>
    <row r="645" spans="1:15" x14ac:dyDescent="0.25">
      <c r="A645" t="s">
        <v>722</v>
      </c>
      <c r="B645" t="s">
        <v>24</v>
      </c>
      <c r="C645">
        <v>2</v>
      </c>
      <c r="D645">
        <v>47.9</v>
      </c>
      <c r="E645">
        <v>95.8</v>
      </c>
      <c r="F645" s="3">
        <v>45685</v>
      </c>
      <c r="G645" s="3">
        <v>45686</v>
      </c>
      <c r="H645" t="s">
        <v>12</v>
      </c>
      <c r="I645" t="s">
        <v>3</v>
      </c>
      <c r="J645">
        <v>4</v>
      </c>
      <c r="K645" t="s">
        <v>4</v>
      </c>
      <c r="L645" t="s">
        <v>40</v>
      </c>
      <c r="M645">
        <f>[1]!orders[[#This Row],[Ship Date]]-[1]!orders[[#This Row],[Order Date]]</f>
        <v>1</v>
      </c>
      <c r="N645">
        <f>WEEKNUM([1]!orders[[#This Row],[Order Date]])</f>
        <v>5</v>
      </c>
      <c r="O645" t="str" cm="1">
        <f t="array" ref="O645">_xlfn.IFS([1]!orders[[#This Row],[Customer Gender]]="M","Male", [1]!orders[[#This Row],[Customer Gender]]="F","Female", [1]!orders[[#This Row],[Customer Gender]]="O","Other", TRUE,"Unknown")</f>
        <v>Female</v>
      </c>
    </row>
    <row r="646" spans="1:15" x14ac:dyDescent="0.25">
      <c r="A646" s="1" t="s">
        <v>723</v>
      </c>
      <c r="B646" s="1" t="s">
        <v>24</v>
      </c>
      <c r="C646" s="1">
        <v>8</v>
      </c>
      <c r="D646" s="1">
        <v>78.400000000000006</v>
      </c>
      <c r="E646" s="1">
        <v>627.20000000000005</v>
      </c>
      <c r="F646" s="2">
        <v>45685</v>
      </c>
      <c r="G646" s="2">
        <v>45687</v>
      </c>
      <c r="H646" s="1" t="s">
        <v>12</v>
      </c>
      <c r="I646" s="1" t="s">
        <v>20</v>
      </c>
      <c r="J646" s="1">
        <v>4</v>
      </c>
      <c r="K646" s="1" t="s">
        <v>4</v>
      </c>
      <c r="L646" s="1" t="s">
        <v>40</v>
      </c>
      <c r="M646" s="1">
        <f>[1]!orders[[#This Row],[Ship Date]]-[1]!orders[[#This Row],[Order Date]]</f>
        <v>2</v>
      </c>
      <c r="N646" s="1">
        <f>WEEKNUM([1]!orders[[#This Row],[Order Date]])</f>
        <v>5</v>
      </c>
      <c r="O646" t="str" cm="1">
        <f t="array" ref="O646">_xlfn.IFS([1]!orders[[#This Row],[Customer Gender]]="M","Male", [1]!orders[[#This Row],[Customer Gender]]="F","Female", [1]!orders[[#This Row],[Customer Gender]]="O","Other", TRUE,"Unknown")</f>
        <v>Female</v>
      </c>
    </row>
    <row r="647" spans="1:15" x14ac:dyDescent="0.25">
      <c r="A647" t="s">
        <v>724</v>
      </c>
      <c r="B647" t="s">
        <v>11</v>
      </c>
      <c r="C647">
        <v>14</v>
      </c>
      <c r="D647">
        <v>122.1</v>
      </c>
      <c r="E647">
        <v>1709.3999999999999</v>
      </c>
      <c r="F647" s="3">
        <v>45685</v>
      </c>
      <c r="G647" s="3">
        <v>45690</v>
      </c>
      <c r="H647" t="s">
        <v>12</v>
      </c>
      <c r="I647" t="s">
        <v>3</v>
      </c>
      <c r="J647">
        <v>5</v>
      </c>
      <c r="K647" t="s">
        <v>4</v>
      </c>
      <c r="L647" t="s">
        <v>40</v>
      </c>
      <c r="M647">
        <f>[1]!orders[[#This Row],[Ship Date]]-[1]!orders[[#This Row],[Order Date]]</f>
        <v>5</v>
      </c>
      <c r="N647">
        <f>WEEKNUM([1]!orders[[#This Row],[Order Date]])</f>
        <v>5</v>
      </c>
      <c r="O647" t="str" cm="1">
        <f t="array" ref="O647">_xlfn.IFS([1]!orders[[#This Row],[Customer Gender]]="M","Male", [1]!orders[[#This Row],[Customer Gender]]="F","Female", [1]!orders[[#This Row],[Customer Gender]]="O","Other", TRUE,"Unknown")</f>
        <v>Female</v>
      </c>
    </row>
    <row r="648" spans="1:15" x14ac:dyDescent="0.25">
      <c r="A648" s="1" t="s">
        <v>725</v>
      </c>
      <c r="B648" s="1" t="s">
        <v>11</v>
      </c>
      <c r="C648" s="1">
        <v>2</v>
      </c>
      <c r="D648" s="1">
        <v>83.7</v>
      </c>
      <c r="E648" s="1">
        <v>167.4</v>
      </c>
      <c r="F648" s="2">
        <v>45686</v>
      </c>
      <c r="G648" s="2">
        <v>45686</v>
      </c>
      <c r="H648" s="1" t="s">
        <v>2</v>
      </c>
      <c r="I648" s="1" t="s">
        <v>20</v>
      </c>
      <c r="J648" s="1">
        <v>5</v>
      </c>
      <c r="K648" s="1" t="s">
        <v>4</v>
      </c>
      <c r="L648" s="1" t="s">
        <v>44</v>
      </c>
      <c r="M648" s="1">
        <f>[1]!orders[[#This Row],[Ship Date]]-[1]!orders[[#This Row],[Order Date]]</f>
        <v>0</v>
      </c>
      <c r="N648" s="1">
        <f>WEEKNUM([1]!orders[[#This Row],[Order Date]])</f>
        <v>5</v>
      </c>
      <c r="O648" t="str" cm="1">
        <f t="array" ref="O648">_xlfn.IFS([1]!orders[[#This Row],[Customer Gender]]="M","Male", [1]!orders[[#This Row],[Customer Gender]]="F","Female", [1]!orders[[#This Row],[Customer Gender]]="O","Other", TRUE,"Unknown")</f>
        <v>Unknown</v>
      </c>
    </row>
    <row r="649" spans="1:15" x14ac:dyDescent="0.25">
      <c r="A649" t="s">
        <v>726</v>
      </c>
      <c r="B649" t="s">
        <v>15</v>
      </c>
      <c r="C649">
        <v>4</v>
      </c>
      <c r="D649">
        <v>97.9</v>
      </c>
      <c r="E649">
        <v>391.6</v>
      </c>
      <c r="F649" s="3">
        <v>45686</v>
      </c>
      <c r="G649" s="3">
        <v>45690</v>
      </c>
      <c r="H649" t="s">
        <v>12</v>
      </c>
      <c r="I649" t="s">
        <v>36</v>
      </c>
      <c r="J649">
        <v>5</v>
      </c>
      <c r="K649" t="s">
        <v>4</v>
      </c>
      <c r="L649" t="s">
        <v>44</v>
      </c>
      <c r="M649">
        <f>[1]!orders[[#This Row],[Ship Date]]-[1]!orders[[#This Row],[Order Date]]</f>
        <v>4</v>
      </c>
      <c r="N649">
        <f>WEEKNUM([1]!orders[[#This Row],[Order Date]])</f>
        <v>5</v>
      </c>
      <c r="O649" t="str" cm="1">
        <f t="array" ref="O649">_xlfn.IFS([1]!orders[[#This Row],[Customer Gender]]="M","Male", [1]!orders[[#This Row],[Customer Gender]]="F","Female", [1]!orders[[#This Row],[Customer Gender]]="O","Other", TRUE,"Unknown")</f>
        <v>Female</v>
      </c>
    </row>
    <row r="650" spans="1:15" x14ac:dyDescent="0.25">
      <c r="A650" s="1" t="s">
        <v>727</v>
      </c>
      <c r="B650" s="1" t="s">
        <v>66</v>
      </c>
      <c r="C650" s="1">
        <v>1</v>
      </c>
      <c r="D650" s="1">
        <v>15</v>
      </c>
      <c r="E650" s="1">
        <v>15</v>
      </c>
      <c r="F650" s="2">
        <v>45686</v>
      </c>
      <c r="G650" s="2">
        <v>45691</v>
      </c>
      <c r="H650" s="1" t="s">
        <v>12</v>
      </c>
      <c r="I650" s="1" t="s">
        <v>36</v>
      </c>
      <c r="J650" s="1">
        <v>4</v>
      </c>
      <c r="K650" s="1" t="s">
        <v>4</v>
      </c>
      <c r="L650" s="1" t="s">
        <v>47</v>
      </c>
      <c r="M650" s="1">
        <f>[1]!orders[[#This Row],[Ship Date]]-[1]!orders[[#This Row],[Order Date]]</f>
        <v>5</v>
      </c>
      <c r="N650" s="1">
        <f>WEEKNUM([1]!orders[[#This Row],[Order Date]])</f>
        <v>5</v>
      </c>
      <c r="O650" t="str" cm="1">
        <f t="array" ref="O650">_xlfn.IFS([1]!orders[[#This Row],[Customer Gender]]="M","Male", [1]!orders[[#This Row],[Customer Gender]]="F","Female", [1]!orders[[#This Row],[Customer Gender]]="O","Other", TRUE,"Unknown")</f>
        <v>Female</v>
      </c>
    </row>
    <row r="651" spans="1:15" x14ac:dyDescent="0.25">
      <c r="A651" t="s">
        <v>728</v>
      </c>
      <c r="B651" t="s">
        <v>54</v>
      </c>
      <c r="C651">
        <v>3</v>
      </c>
      <c r="D651">
        <v>94.6</v>
      </c>
      <c r="E651">
        <v>283.79999999999995</v>
      </c>
      <c r="F651" s="3">
        <v>45686</v>
      </c>
      <c r="G651" s="3">
        <v>45687</v>
      </c>
      <c r="H651" t="s">
        <v>8</v>
      </c>
      <c r="I651" t="s">
        <v>25</v>
      </c>
      <c r="J651">
        <v>3</v>
      </c>
      <c r="K651" t="s">
        <v>4</v>
      </c>
      <c r="L651" t="s">
        <v>47</v>
      </c>
      <c r="M651">
        <f>[1]!orders[[#This Row],[Ship Date]]-[1]!orders[[#This Row],[Order Date]]</f>
        <v>1</v>
      </c>
      <c r="N651">
        <f>WEEKNUM([1]!orders[[#This Row],[Order Date]])</f>
        <v>5</v>
      </c>
      <c r="O651" t="str" cm="1">
        <f t="array" ref="O651">_xlfn.IFS([1]!orders[[#This Row],[Customer Gender]]="M","Male", [1]!orders[[#This Row],[Customer Gender]]="F","Female", [1]!orders[[#This Row],[Customer Gender]]="O","Other", TRUE,"Unknown")</f>
        <v>Male</v>
      </c>
    </row>
    <row r="652" spans="1:15" x14ac:dyDescent="0.25">
      <c r="A652" s="1" t="s">
        <v>729</v>
      </c>
      <c r="B652" s="1" t="s">
        <v>1</v>
      </c>
      <c r="C652" s="1">
        <v>6</v>
      </c>
      <c r="D652" s="1">
        <v>19.7</v>
      </c>
      <c r="E652" s="1">
        <v>118.19999999999999</v>
      </c>
      <c r="F652" s="2">
        <v>45686</v>
      </c>
      <c r="G652" s="2">
        <v>45697</v>
      </c>
      <c r="H652" s="1" t="s">
        <v>12</v>
      </c>
      <c r="I652" s="1" t="s">
        <v>3</v>
      </c>
      <c r="J652" s="1">
        <v>5</v>
      </c>
      <c r="K652" s="1" t="s">
        <v>4</v>
      </c>
      <c r="L652" s="1" t="s">
        <v>47</v>
      </c>
      <c r="M652" s="1">
        <f>[1]!orders[[#This Row],[Ship Date]]-[1]!orders[[#This Row],[Order Date]]</f>
        <v>11</v>
      </c>
      <c r="N652" s="1">
        <f>WEEKNUM([1]!orders[[#This Row],[Order Date]])</f>
        <v>5</v>
      </c>
      <c r="O652" t="str" cm="1">
        <f t="array" ref="O652">_xlfn.IFS([1]!orders[[#This Row],[Customer Gender]]="M","Male", [1]!orders[[#This Row],[Customer Gender]]="F","Female", [1]!orders[[#This Row],[Customer Gender]]="O","Other", TRUE,"Unknown")</f>
        <v>Female</v>
      </c>
    </row>
    <row r="653" spans="1:15" x14ac:dyDescent="0.25">
      <c r="A653" t="s">
        <v>730</v>
      </c>
      <c r="B653" t="s">
        <v>27</v>
      </c>
      <c r="C653">
        <v>1</v>
      </c>
      <c r="D653">
        <v>46.7</v>
      </c>
      <c r="E653">
        <v>46.7</v>
      </c>
      <c r="F653" s="3">
        <v>45686</v>
      </c>
      <c r="G653" s="3">
        <v>45689</v>
      </c>
      <c r="H653" t="s">
        <v>12</v>
      </c>
      <c r="I653" t="s">
        <v>25</v>
      </c>
      <c r="J653">
        <v>4</v>
      </c>
      <c r="K653" t="s">
        <v>4</v>
      </c>
      <c r="L653" t="s">
        <v>88</v>
      </c>
      <c r="M653">
        <f>[1]!orders[[#This Row],[Ship Date]]-[1]!orders[[#This Row],[Order Date]]</f>
        <v>3</v>
      </c>
      <c r="N653">
        <f>WEEKNUM([1]!orders[[#This Row],[Order Date]])</f>
        <v>5</v>
      </c>
      <c r="O653" t="str" cm="1">
        <f t="array" ref="O653">_xlfn.IFS([1]!orders[[#This Row],[Customer Gender]]="M","Male", [1]!orders[[#This Row],[Customer Gender]]="F","Female", [1]!orders[[#This Row],[Customer Gender]]="O","Other", TRUE,"Unknown")</f>
        <v>Female</v>
      </c>
    </row>
    <row r="654" spans="1:15" x14ac:dyDescent="0.25">
      <c r="A654" s="1" t="s">
        <v>731</v>
      </c>
      <c r="B654" s="1" t="s">
        <v>7</v>
      </c>
      <c r="C654" s="1">
        <v>4</v>
      </c>
      <c r="D654" s="1">
        <v>43</v>
      </c>
      <c r="E654" s="1">
        <v>172</v>
      </c>
      <c r="F654" s="2">
        <v>45686</v>
      </c>
      <c r="G654" s="2">
        <v>45687</v>
      </c>
      <c r="H654" s="1" t="s">
        <v>8</v>
      </c>
      <c r="I654" s="1" t="s">
        <v>25</v>
      </c>
      <c r="J654" s="1">
        <v>5</v>
      </c>
      <c r="K654" s="1" t="s">
        <v>4</v>
      </c>
      <c r="L654" s="1" t="s">
        <v>88</v>
      </c>
      <c r="M654" s="1">
        <f>[1]!orders[[#This Row],[Ship Date]]-[1]!orders[[#This Row],[Order Date]]</f>
        <v>1</v>
      </c>
      <c r="N654" s="1">
        <f>WEEKNUM([1]!orders[[#This Row],[Order Date]])</f>
        <v>5</v>
      </c>
      <c r="O654" t="str" cm="1">
        <f t="array" ref="O654">_xlfn.IFS([1]!orders[[#This Row],[Customer Gender]]="M","Male", [1]!orders[[#This Row],[Customer Gender]]="F","Female", [1]!orders[[#This Row],[Customer Gender]]="O","Other", TRUE,"Unknown")</f>
        <v>Male</v>
      </c>
    </row>
    <row r="655" spans="1:15" x14ac:dyDescent="0.25">
      <c r="A655" t="s">
        <v>732</v>
      </c>
      <c r="B655" t="s">
        <v>24</v>
      </c>
      <c r="C655">
        <v>3</v>
      </c>
      <c r="D655">
        <v>68.2</v>
      </c>
      <c r="E655">
        <v>204.60000000000002</v>
      </c>
      <c r="F655" s="3">
        <v>45686</v>
      </c>
      <c r="G655" s="3">
        <v>45692</v>
      </c>
      <c r="H655" t="s">
        <v>12</v>
      </c>
      <c r="I655" t="s">
        <v>3</v>
      </c>
      <c r="J655">
        <v>4</v>
      </c>
      <c r="K655" t="s">
        <v>4</v>
      </c>
      <c r="L655" t="s">
        <v>57</v>
      </c>
      <c r="M655">
        <f>[1]!orders[[#This Row],[Ship Date]]-[1]!orders[[#This Row],[Order Date]]</f>
        <v>6</v>
      </c>
      <c r="N655">
        <f>WEEKNUM([1]!orders[[#This Row],[Order Date]])</f>
        <v>5</v>
      </c>
      <c r="O655" t="str" cm="1">
        <f t="array" ref="O655">_xlfn.IFS([1]!orders[[#This Row],[Customer Gender]]="M","Male", [1]!orders[[#This Row],[Customer Gender]]="F","Female", [1]!orders[[#This Row],[Customer Gender]]="O","Other", TRUE,"Unknown")</f>
        <v>Female</v>
      </c>
    </row>
    <row r="656" spans="1:15" x14ac:dyDescent="0.25">
      <c r="A656" s="1" t="s">
        <v>733</v>
      </c>
      <c r="B656" s="1" t="s">
        <v>39</v>
      </c>
      <c r="C656" s="1">
        <v>10</v>
      </c>
      <c r="D656" s="1">
        <v>24.3</v>
      </c>
      <c r="E656" s="1">
        <v>243</v>
      </c>
      <c r="F656" s="2">
        <v>45686</v>
      </c>
      <c r="G656" s="2">
        <v>45687</v>
      </c>
      <c r="H656" s="1" t="s">
        <v>8</v>
      </c>
      <c r="I656" s="1" t="s">
        <v>3</v>
      </c>
      <c r="J656" s="1">
        <v>5</v>
      </c>
      <c r="K656" s="1" t="s">
        <v>4</v>
      </c>
      <c r="L656" s="1" t="s">
        <v>59</v>
      </c>
      <c r="M656" s="1">
        <f>[1]!orders[[#This Row],[Ship Date]]-[1]!orders[[#This Row],[Order Date]]</f>
        <v>1</v>
      </c>
      <c r="N656" s="1">
        <f>WEEKNUM([1]!orders[[#This Row],[Order Date]])</f>
        <v>5</v>
      </c>
      <c r="O656" t="str" cm="1">
        <f t="array" ref="O656">_xlfn.IFS([1]!orders[[#This Row],[Customer Gender]]="M","Male", [1]!orders[[#This Row],[Customer Gender]]="F","Female", [1]!orders[[#This Row],[Customer Gender]]="O","Other", TRUE,"Unknown")</f>
        <v>Male</v>
      </c>
    </row>
    <row r="657" spans="1:15" x14ac:dyDescent="0.25">
      <c r="A657" t="s">
        <v>734</v>
      </c>
      <c r="B657" t="s">
        <v>27</v>
      </c>
      <c r="C657">
        <v>2</v>
      </c>
      <c r="D657">
        <v>86.8</v>
      </c>
      <c r="E657">
        <v>173.6</v>
      </c>
      <c r="F657" s="3">
        <v>45686</v>
      </c>
      <c r="G657" s="3">
        <v>45690</v>
      </c>
      <c r="H657" t="s">
        <v>12</v>
      </c>
      <c r="I657" t="s">
        <v>55</v>
      </c>
      <c r="J657">
        <v>5</v>
      </c>
      <c r="K657" t="s">
        <v>4</v>
      </c>
      <c r="L657" t="s">
        <v>62</v>
      </c>
      <c r="M657">
        <f>[1]!orders[[#This Row],[Ship Date]]-[1]!orders[[#This Row],[Order Date]]</f>
        <v>4</v>
      </c>
      <c r="N657">
        <f>WEEKNUM([1]!orders[[#This Row],[Order Date]])</f>
        <v>5</v>
      </c>
      <c r="O657" t="str" cm="1">
        <f t="array" ref="O657">_xlfn.IFS([1]!orders[[#This Row],[Customer Gender]]="M","Male", [1]!orders[[#This Row],[Customer Gender]]="F","Female", [1]!orders[[#This Row],[Customer Gender]]="O","Other", TRUE,"Unknown")</f>
        <v>Female</v>
      </c>
    </row>
    <row r="658" spans="1:15" x14ac:dyDescent="0.25">
      <c r="A658" s="1" t="s">
        <v>735</v>
      </c>
      <c r="B658" s="1" t="s">
        <v>1</v>
      </c>
      <c r="C658" s="1">
        <v>2</v>
      </c>
      <c r="D658" s="1">
        <v>15.8</v>
      </c>
      <c r="E658" s="1">
        <v>31.6</v>
      </c>
      <c r="F658" s="2">
        <v>45686</v>
      </c>
      <c r="G658" s="2">
        <v>45688</v>
      </c>
      <c r="H658" s="1" t="s">
        <v>8</v>
      </c>
      <c r="I658" s="1" t="s">
        <v>20</v>
      </c>
      <c r="J658" s="1">
        <v>4</v>
      </c>
      <c r="K658" s="1" t="s">
        <v>4</v>
      </c>
      <c r="L658" s="1" t="s">
        <v>62</v>
      </c>
      <c r="M658" s="1">
        <f>[1]!orders[[#This Row],[Ship Date]]-[1]!orders[[#This Row],[Order Date]]</f>
        <v>2</v>
      </c>
      <c r="N658" s="1">
        <f>WEEKNUM([1]!orders[[#This Row],[Order Date]])</f>
        <v>5</v>
      </c>
      <c r="O658" t="str" cm="1">
        <f t="array" ref="O658">_xlfn.IFS([1]!orders[[#This Row],[Customer Gender]]="M","Male", [1]!orders[[#This Row],[Customer Gender]]="F","Female", [1]!orders[[#This Row],[Customer Gender]]="O","Other", TRUE,"Unknown")</f>
        <v>Male</v>
      </c>
    </row>
    <row r="659" spans="1:15" x14ac:dyDescent="0.25">
      <c r="A659" t="s">
        <v>736</v>
      </c>
      <c r="B659" t="s">
        <v>11</v>
      </c>
      <c r="C659">
        <v>4</v>
      </c>
      <c r="D659">
        <v>61.6</v>
      </c>
      <c r="E659">
        <v>246.4</v>
      </c>
      <c r="F659" s="3">
        <v>45686</v>
      </c>
      <c r="G659" s="3">
        <v>45687</v>
      </c>
      <c r="H659" t="s">
        <v>8</v>
      </c>
      <c r="I659" t="s">
        <v>25</v>
      </c>
      <c r="J659">
        <v>4</v>
      </c>
      <c r="K659" t="s">
        <v>4</v>
      </c>
      <c r="L659" t="s">
        <v>62</v>
      </c>
      <c r="M659">
        <f>[1]!orders[[#This Row],[Ship Date]]-[1]!orders[[#This Row],[Order Date]]</f>
        <v>1</v>
      </c>
      <c r="N659">
        <f>WEEKNUM([1]!orders[[#This Row],[Order Date]])</f>
        <v>5</v>
      </c>
      <c r="O659" t="str" cm="1">
        <f t="array" ref="O659">_xlfn.IFS([1]!orders[[#This Row],[Customer Gender]]="M","Male", [1]!orders[[#This Row],[Customer Gender]]="F","Female", [1]!orders[[#This Row],[Customer Gender]]="O","Other", TRUE,"Unknown")</f>
        <v>Male</v>
      </c>
    </row>
    <row r="660" spans="1:15" x14ac:dyDescent="0.25">
      <c r="A660" s="1" t="s">
        <v>737</v>
      </c>
      <c r="B660" s="1" t="s">
        <v>24</v>
      </c>
      <c r="C660" s="1">
        <v>3</v>
      </c>
      <c r="D660" s="1">
        <v>48.7</v>
      </c>
      <c r="E660" s="1">
        <v>146.10000000000002</v>
      </c>
      <c r="F660" s="2">
        <v>45686</v>
      </c>
      <c r="G660" s="2">
        <v>45692</v>
      </c>
      <c r="H660" s="1" t="s">
        <v>12</v>
      </c>
      <c r="I660" s="1" t="s">
        <v>20</v>
      </c>
      <c r="J660" s="1">
        <v>5</v>
      </c>
      <c r="K660" s="1" t="s">
        <v>4</v>
      </c>
      <c r="L660" s="1" t="s">
        <v>593</v>
      </c>
      <c r="M660" s="1">
        <f>[1]!orders[[#This Row],[Ship Date]]-[1]!orders[[#This Row],[Order Date]]</f>
        <v>6</v>
      </c>
      <c r="N660" s="1">
        <f>WEEKNUM([1]!orders[[#This Row],[Order Date]])</f>
        <v>5</v>
      </c>
      <c r="O660" t="str" cm="1">
        <f t="array" ref="O660">_xlfn.IFS([1]!orders[[#This Row],[Customer Gender]]="M","Male", [1]!orders[[#This Row],[Customer Gender]]="F","Female", [1]!orders[[#This Row],[Customer Gender]]="O","Other", TRUE,"Unknown")</f>
        <v>Female</v>
      </c>
    </row>
    <row r="661" spans="1:15" x14ac:dyDescent="0.25">
      <c r="A661" t="s">
        <v>738</v>
      </c>
      <c r="B661" t="s">
        <v>29</v>
      </c>
      <c r="C661">
        <v>4</v>
      </c>
      <c r="D661">
        <v>24.3</v>
      </c>
      <c r="E661">
        <v>97.2</v>
      </c>
      <c r="F661" s="3">
        <v>45686</v>
      </c>
      <c r="G661" s="3">
        <v>45688</v>
      </c>
      <c r="H661" t="s">
        <v>12</v>
      </c>
      <c r="I661" t="s">
        <v>20</v>
      </c>
      <c r="J661">
        <v>5</v>
      </c>
      <c r="K661" t="s">
        <v>4</v>
      </c>
      <c r="L661" t="s">
        <v>100</v>
      </c>
      <c r="M661">
        <f>[1]!orders[[#This Row],[Ship Date]]-[1]!orders[[#This Row],[Order Date]]</f>
        <v>2</v>
      </c>
      <c r="N661">
        <f>WEEKNUM([1]!orders[[#This Row],[Order Date]])</f>
        <v>5</v>
      </c>
      <c r="O661" t="str" cm="1">
        <f t="array" ref="O661">_xlfn.IFS([1]!orders[[#This Row],[Customer Gender]]="M","Male", [1]!orders[[#This Row],[Customer Gender]]="F","Female", [1]!orders[[#This Row],[Customer Gender]]="O","Other", TRUE,"Unknown")</f>
        <v>Female</v>
      </c>
    </row>
    <row r="662" spans="1:15" x14ac:dyDescent="0.25">
      <c r="A662" s="1" t="s">
        <v>739</v>
      </c>
      <c r="B662" s="1" t="s">
        <v>11</v>
      </c>
      <c r="C662" s="1">
        <v>2</v>
      </c>
      <c r="D662" s="1">
        <v>130.69999999999999</v>
      </c>
      <c r="E662" s="1">
        <v>261.39999999999998</v>
      </c>
      <c r="F662" s="2">
        <v>45686</v>
      </c>
      <c r="G662" s="2">
        <v>45687</v>
      </c>
      <c r="H662" s="1" t="s">
        <v>12</v>
      </c>
      <c r="I662" s="1" t="s">
        <v>25</v>
      </c>
      <c r="J662" s="1">
        <v>4</v>
      </c>
      <c r="K662" s="1" t="s">
        <v>4</v>
      </c>
      <c r="L662" s="1" t="s">
        <v>572</v>
      </c>
      <c r="M662" s="1">
        <f>[1]!orders[[#This Row],[Ship Date]]-[1]!orders[[#This Row],[Order Date]]</f>
        <v>1</v>
      </c>
      <c r="N662" s="1">
        <f>WEEKNUM([1]!orders[[#This Row],[Order Date]])</f>
        <v>5</v>
      </c>
      <c r="O662" t="str" cm="1">
        <f t="array" ref="O662">_xlfn.IFS([1]!orders[[#This Row],[Customer Gender]]="M","Male", [1]!orders[[#This Row],[Customer Gender]]="F","Female", [1]!orders[[#This Row],[Customer Gender]]="O","Other", TRUE,"Unknown")</f>
        <v>Female</v>
      </c>
    </row>
    <row r="663" spans="1:15" x14ac:dyDescent="0.25">
      <c r="A663" t="s">
        <v>740</v>
      </c>
      <c r="B663" t="s">
        <v>39</v>
      </c>
      <c r="C663">
        <v>1</v>
      </c>
      <c r="D663">
        <v>26</v>
      </c>
      <c r="E663">
        <v>26</v>
      </c>
      <c r="F663" s="3">
        <v>45686</v>
      </c>
      <c r="G663" s="3">
        <v>45688</v>
      </c>
      <c r="H663" t="s">
        <v>8</v>
      </c>
      <c r="I663" t="s">
        <v>3</v>
      </c>
      <c r="J663">
        <v>4</v>
      </c>
      <c r="K663" t="s">
        <v>4</v>
      </c>
      <c r="L663" t="s">
        <v>18</v>
      </c>
      <c r="M663">
        <f>[1]!orders[[#This Row],[Ship Date]]-[1]!orders[[#This Row],[Order Date]]</f>
        <v>2</v>
      </c>
      <c r="N663">
        <f>WEEKNUM([1]!orders[[#This Row],[Order Date]])</f>
        <v>5</v>
      </c>
      <c r="O663" t="str" cm="1">
        <f t="array" ref="O663">_xlfn.IFS([1]!orders[[#This Row],[Customer Gender]]="M","Male", [1]!orders[[#This Row],[Customer Gender]]="F","Female", [1]!orders[[#This Row],[Customer Gender]]="O","Other", TRUE,"Unknown")</f>
        <v>Male</v>
      </c>
    </row>
    <row r="664" spans="1:15" x14ac:dyDescent="0.25">
      <c r="A664" s="1" t="s">
        <v>741</v>
      </c>
      <c r="B664" s="1" t="s">
        <v>11</v>
      </c>
      <c r="C664" s="1">
        <v>5</v>
      </c>
      <c r="D664" s="1">
        <v>94.4</v>
      </c>
      <c r="E664" s="1">
        <v>472</v>
      </c>
      <c r="F664" s="2">
        <v>45686</v>
      </c>
      <c r="G664" s="2">
        <v>45687</v>
      </c>
      <c r="H664" s="1" t="s">
        <v>12</v>
      </c>
      <c r="I664" s="1" t="s">
        <v>3</v>
      </c>
      <c r="J664" s="1">
        <v>4</v>
      </c>
      <c r="K664" s="1" t="s">
        <v>4</v>
      </c>
      <c r="L664" s="1" t="s">
        <v>18</v>
      </c>
      <c r="M664" s="1">
        <f>[1]!orders[[#This Row],[Ship Date]]-[1]!orders[[#This Row],[Order Date]]</f>
        <v>1</v>
      </c>
      <c r="N664" s="1">
        <f>WEEKNUM([1]!orders[[#This Row],[Order Date]])</f>
        <v>5</v>
      </c>
      <c r="O664" t="str" cm="1">
        <f t="array" ref="O664">_xlfn.IFS([1]!orders[[#This Row],[Customer Gender]]="M","Male", [1]!orders[[#This Row],[Customer Gender]]="F","Female", [1]!orders[[#This Row],[Customer Gender]]="O","Other", TRUE,"Unknown")</f>
        <v>Female</v>
      </c>
    </row>
    <row r="665" spans="1:15" x14ac:dyDescent="0.25">
      <c r="A665" t="s">
        <v>742</v>
      </c>
      <c r="B665" t="s">
        <v>1</v>
      </c>
      <c r="C665">
        <v>6</v>
      </c>
      <c r="D665">
        <v>23.7</v>
      </c>
      <c r="E665">
        <v>142.19999999999999</v>
      </c>
      <c r="F665" s="3">
        <v>45686</v>
      </c>
      <c r="G665" s="3">
        <v>45688</v>
      </c>
      <c r="H665" t="s">
        <v>8</v>
      </c>
      <c r="I665" t="s">
        <v>25</v>
      </c>
      <c r="J665">
        <v>5</v>
      </c>
      <c r="K665" t="s">
        <v>4</v>
      </c>
      <c r="L665" t="s">
        <v>18</v>
      </c>
      <c r="M665">
        <f>[1]!orders[[#This Row],[Ship Date]]-[1]!orders[[#This Row],[Order Date]]</f>
        <v>2</v>
      </c>
      <c r="N665">
        <f>WEEKNUM([1]!orders[[#This Row],[Order Date]])</f>
        <v>5</v>
      </c>
      <c r="O665" t="str" cm="1">
        <f t="array" ref="O665">_xlfn.IFS([1]!orders[[#This Row],[Customer Gender]]="M","Male", [1]!orders[[#This Row],[Customer Gender]]="F","Female", [1]!orders[[#This Row],[Customer Gender]]="O","Other", TRUE,"Unknown")</f>
        <v>Male</v>
      </c>
    </row>
    <row r="666" spans="1:15" x14ac:dyDescent="0.25">
      <c r="A666" s="1" t="s">
        <v>743</v>
      </c>
      <c r="B666" s="1" t="s">
        <v>31</v>
      </c>
      <c r="C666" s="1">
        <v>12</v>
      </c>
      <c r="D666" s="1">
        <v>37.4</v>
      </c>
      <c r="E666" s="1">
        <v>448.79999999999995</v>
      </c>
      <c r="F666" s="2">
        <v>45686</v>
      </c>
      <c r="G666" s="2">
        <v>45688</v>
      </c>
      <c r="H666" s="1" t="s">
        <v>8</v>
      </c>
      <c r="I666" s="1" t="s">
        <v>25</v>
      </c>
      <c r="J666" s="1">
        <v>4</v>
      </c>
      <c r="K666" s="1" t="s">
        <v>4</v>
      </c>
      <c r="L666" s="1" t="s">
        <v>18</v>
      </c>
      <c r="M666" s="1">
        <f>[1]!orders[[#This Row],[Ship Date]]-[1]!orders[[#This Row],[Order Date]]</f>
        <v>2</v>
      </c>
      <c r="N666" s="1">
        <f>WEEKNUM([1]!orders[[#This Row],[Order Date]])</f>
        <v>5</v>
      </c>
      <c r="O666" t="str" cm="1">
        <f t="array" ref="O666">_xlfn.IFS([1]!orders[[#This Row],[Customer Gender]]="M","Male", [1]!orders[[#This Row],[Customer Gender]]="F","Female", [1]!orders[[#This Row],[Customer Gender]]="O","Other", TRUE,"Unknown")</f>
        <v>Male</v>
      </c>
    </row>
    <row r="667" spans="1:15" x14ac:dyDescent="0.25">
      <c r="A667" t="s">
        <v>744</v>
      </c>
      <c r="B667" t="s">
        <v>7</v>
      </c>
      <c r="C667">
        <v>36</v>
      </c>
      <c r="D667">
        <v>55.2</v>
      </c>
      <c r="E667">
        <v>1987.2</v>
      </c>
      <c r="F667" s="3">
        <v>45686</v>
      </c>
      <c r="G667" s="3">
        <v>45686</v>
      </c>
      <c r="H667" t="s">
        <v>12</v>
      </c>
      <c r="I667" t="s">
        <v>36</v>
      </c>
      <c r="J667">
        <v>3</v>
      </c>
      <c r="K667" t="s">
        <v>4</v>
      </c>
      <c r="L667" t="s">
        <v>18</v>
      </c>
      <c r="M667">
        <f>[1]!orders[[#This Row],[Ship Date]]-[1]!orders[[#This Row],[Order Date]]</f>
        <v>0</v>
      </c>
      <c r="N667">
        <f>WEEKNUM([1]!orders[[#This Row],[Order Date]])</f>
        <v>5</v>
      </c>
      <c r="O667" t="str" cm="1">
        <f t="array" ref="O667">_xlfn.IFS([1]!orders[[#This Row],[Customer Gender]]="M","Male", [1]!orders[[#This Row],[Customer Gender]]="F","Female", [1]!orders[[#This Row],[Customer Gender]]="O","Other", TRUE,"Unknown")</f>
        <v>Female</v>
      </c>
    </row>
    <row r="668" spans="1:15" x14ac:dyDescent="0.25">
      <c r="A668" s="1" t="s">
        <v>745</v>
      </c>
      <c r="B668" s="1" t="s">
        <v>11</v>
      </c>
      <c r="C668" s="1">
        <v>9</v>
      </c>
      <c r="D668" s="1">
        <v>57.1</v>
      </c>
      <c r="E668" s="1">
        <v>513.9</v>
      </c>
      <c r="F668" s="2">
        <v>45686</v>
      </c>
      <c r="G668" s="2">
        <v>45688</v>
      </c>
      <c r="H668" s="1" t="s">
        <v>8</v>
      </c>
      <c r="I668" s="1" t="s">
        <v>3</v>
      </c>
      <c r="J668" s="1">
        <v>5</v>
      </c>
      <c r="K668" s="1" t="s">
        <v>4</v>
      </c>
      <c r="L668" s="1" t="s">
        <v>18</v>
      </c>
      <c r="M668" s="1">
        <f>[1]!orders[[#This Row],[Ship Date]]-[1]!orders[[#This Row],[Order Date]]</f>
        <v>2</v>
      </c>
      <c r="N668" s="1">
        <f>WEEKNUM([1]!orders[[#This Row],[Order Date]])</f>
        <v>5</v>
      </c>
      <c r="O668" t="str" cm="1">
        <f t="array" ref="O668">_xlfn.IFS([1]!orders[[#This Row],[Customer Gender]]="M","Male", [1]!orders[[#This Row],[Customer Gender]]="F","Female", [1]!orders[[#This Row],[Customer Gender]]="O","Other", TRUE,"Unknown")</f>
        <v>Male</v>
      </c>
    </row>
    <row r="669" spans="1:15" x14ac:dyDescent="0.25">
      <c r="A669" t="s">
        <v>746</v>
      </c>
      <c r="B669" t="s">
        <v>54</v>
      </c>
      <c r="C669">
        <v>1</v>
      </c>
      <c r="D669">
        <v>55.3</v>
      </c>
      <c r="E669">
        <v>55.3</v>
      </c>
      <c r="F669" s="3">
        <v>45686</v>
      </c>
      <c r="G669" s="3">
        <v>45687</v>
      </c>
      <c r="H669" t="s">
        <v>12</v>
      </c>
      <c r="I669" t="s">
        <v>25</v>
      </c>
      <c r="J669">
        <v>5</v>
      </c>
      <c r="K669" t="s">
        <v>4</v>
      </c>
      <c r="L669" t="s">
        <v>18</v>
      </c>
      <c r="M669">
        <f>[1]!orders[[#This Row],[Ship Date]]-[1]!orders[[#This Row],[Order Date]]</f>
        <v>1</v>
      </c>
      <c r="N669">
        <f>WEEKNUM([1]!orders[[#This Row],[Order Date]])</f>
        <v>5</v>
      </c>
      <c r="O669" t="str" cm="1">
        <f t="array" ref="O669">_xlfn.IFS([1]!orders[[#This Row],[Customer Gender]]="M","Male", [1]!orders[[#This Row],[Customer Gender]]="F","Female", [1]!orders[[#This Row],[Customer Gender]]="O","Other", TRUE,"Unknown")</f>
        <v>Female</v>
      </c>
    </row>
    <row r="670" spans="1:15" x14ac:dyDescent="0.25">
      <c r="A670" s="1" t="s">
        <v>747</v>
      </c>
      <c r="B670" s="1" t="s">
        <v>108</v>
      </c>
      <c r="C670" s="1">
        <v>7</v>
      </c>
      <c r="D670" s="1">
        <v>23.9</v>
      </c>
      <c r="E670" s="1">
        <v>167.29999999999998</v>
      </c>
      <c r="F670" s="2">
        <v>45686</v>
      </c>
      <c r="G670" s="2">
        <v>45687</v>
      </c>
      <c r="H670" s="1" t="s">
        <v>12</v>
      </c>
      <c r="I670" s="1" t="s">
        <v>55</v>
      </c>
      <c r="J670" s="1">
        <v>3</v>
      </c>
      <c r="K670" s="1" t="s">
        <v>4</v>
      </c>
      <c r="L670" s="1" t="s">
        <v>18</v>
      </c>
      <c r="M670" s="1">
        <f>[1]!orders[[#This Row],[Ship Date]]-[1]!orders[[#This Row],[Order Date]]</f>
        <v>1</v>
      </c>
      <c r="N670" s="1">
        <f>WEEKNUM([1]!orders[[#This Row],[Order Date]])</f>
        <v>5</v>
      </c>
      <c r="O670" t="str" cm="1">
        <f t="array" ref="O670">_xlfn.IFS([1]!orders[[#This Row],[Customer Gender]]="M","Male", [1]!orders[[#This Row],[Customer Gender]]="F","Female", [1]!orders[[#This Row],[Customer Gender]]="O","Other", TRUE,"Unknown")</f>
        <v>Female</v>
      </c>
    </row>
    <row r="671" spans="1:15" x14ac:dyDescent="0.25">
      <c r="A671" t="s">
        <v>748</v>
      </c>
      <c r="B671" t="s">
        <v>1</v>
      </c>
      <c r="C671">
        <v>1</v>
      </c>
      <c r="D671">
        <v>34.1</v>
      </c>
      <c r="E671">
        <v>34.1</v>
      </c>
      <c r="F671" s="3">
        <v>45686</v>
      </c>
      <c r="G671" s="3">
        <v>45693</v>
      </c>
      <c r="H671" t="s">
        <v>12</v>
      </c>
      <c r="I671" t="s">
        <v>25</v>
      </c>
      <c r="J671">
        <v>4</v>
      </c>
      <c r="K671" t="s">
        <v>4</v>
      </c>
      <c r="L671" t="s">
        <v>18</v>
      </c>
      <c r="M671">
        <f>[1]!orders[[#This Row],[Ship Date]]-[1]!orders[[#This Row],[Order Date]]</f>
        <v>7</v>
      </c>
      <c r="N671">
        <f>WEEKNUM([1]!orders[[#This Row],[Order Date]])</f>
        <v>5</v>
      </c>
      <c r="O671" t="str" cm="1">
        <f t="array" ref="O671">_xlfn.IFS([1]!orders[[#This Row],[Customer Gender]]="M","Male", [1]!orders[[#This Row],[Customer Gender]]="F","Female", [1]!orders[[#This Row],[Customer Gender]]="O","Other", TRUE,"Unknown")</f>
        <v>Female</v>
      </c>
    </row>
    <row r="672" spans="1:15" x14ac:dyDescent="0.25">
      <c r="A672" s="1" t="s">
        <v>749</v>
      </c>
      <c r="B672" s="1" t="s">
        <v>54</v>
      </c>
      <c r="C672" s="1">
        <v>4</v>
      </c>
      <c r="D672" s="1">
        <v>38.5</v>
      </c>
      <c r="E672" s="1">
        <v>154</v>
      </c>
      <c r="F672" s="2">
        <v>45686</v>
      </c>
      <c r="G672" s="2">
        <v>45697</v>
      </c>
      <c r="H672" s="1" t="s">
        <v>12</v>
      </c>
      <c r="I672" s="1" t="s">
        <v>3</v>
      </c>
      <c r="J672" s="1">
        <v>4</v>
      </c>
      <c r="K672" s="1" t="s">
        <v>4</v>
      </c>
      <c r="L672" s="1" t="s">
        <v>18</v>
      </c>
      <c r="M672" s="1">
        <f>[1]!orders[[#This Row],[Ship Date]]-[1]!orders[[#This Row],[Order Date]]</f>
        <v>11</v>
      </c>
      <c r="N672" s="1">
        <f>WEEKNUM([1]!orders[[#This Row],[Order Date]])</f>
        <v>5</v>
      </c>
      <c r="O672" t="str" cm="1">
        <f t="array" ref="O672">_xlfn.IFS([1]!orders[[#This Row],[Customer Gender]]="M","Male", [1]!orders[[#This Row],[Customer Gender]]="F","Female", [1]!orders[[#This Row],[Customer Gender]]="O","Other", TRUE,"Unknown")</f>
        <v>Female</v>
      </c>
    </row>
    <row r="673" spans="1:15" x14ac:dyDescent="0.25">
      <c r="A673" t="s">
        <v>750</v>
      </c>
      <c r="B673" t="s">
        <v>27</v>
      </c>
      <c r="C673">
        <v>2</v>
      </c>
      <c r="D673">
        <v>105</v>
      </c>
      <c r="E673">
        <v>210</v>
      </c>
      <c r="F673" s="3">
        <v>45686</v>
      </c>
      <c r="G673" s="3">
        <v>45692</v>
      </c>
      <c r="H673" t="s">
        <v>12</v>
      </c>
      <c r="I673" t="s">
        <v>3</v>
      </c>
      <c r="J673">
        <v>5</v>
      </c>
      <c r="K673" t="s">
        <v>4</v>
      </c>
      <c r="L673" t="s">
        <v>18</v>
      </c>
      <c r="M673">
        <f>[1]!orders[[#This Row],[Ship Date]]-[1]!orders[[#This Row],[Order Date]]</f>
        <v>6</v>
      </c>
      <c r="N673">
        <f>WEEKNUM([1]!orders[[#This Row],[Order Date]])</f>
        <v>5</v>
      </c>
      <c r="O673" t="str" cm="1">
        <f t="array" ref="O673">_xlfn.IFS([1]!orders[[#This Row],[Customer Gender]]="M","Male", [1]!orders[[#This Row],[Customer Gender]]="F","Female", [1]!orders[[#This Row],[Customer Gender]]="O","Other", TRUE,"Unknown")</f>
        <v>Female</v>
      </c>
    </row>
    <row r="674" spans="1:15" x14ac:dyDescent="0.25">
      <c r="A674" s="1" t="s">
        <v>751</v>
      </c>
      <c r="B674" s="1" t="s">
        <v>29</v>
      </c>
      <c r="C674" s="1">
        <v>5</v>
      </c>
      <c r="D674" s="1">
        <v>45.2</v>
      </c>
      <c r="E674" s="1">
        <v>226</v>
      </c>
      <c r="F674" s="2">
        <v>45686</v>
      </c>
      <c r="G674" s="2">
        <v>45688</v>
      </c>
      <c r="H674" s="1" t="s">
        <v>12</v>
      </c>
      <c r="I674" s="1" t="s">
        <v>3</v>
      </c>
      <c r="J674" s="1">
        <v>5</v>
      </c>
      <c r="K674" s="1" t="s">
        <v>4</v>
      </c>
      <c r="L674" s="1" t="s">
        <v>18</v>
      </c>
      <c r="M674" s="1">
        <f>[1]!orders[[#This Row],[Ship Date]]-[1]!orders[[#This Row],[Order Date]]</f>
        <v>2</v>
      </c>
      <c r="N674" s="1">
        <f>WEEKNUM([1]!orders[[#This Row],[Order Date]])</f>
        <v>5</v>
      </c>
      <c r="O674" t="str" cm="1">
        <f t="array" ref="O674">_xlfn.IFS([1]!orders[[#This Row],[Customer Gender]]="M","Male", [1]!orders[[#This Row],[Customer Gender]]="F","Female", [1]!orders[[#This Row],[Customer Gender]]="O","Other", TRUE,"Unknown")</f>
        <v>Female</v>
      </c>
    </row>
    <row r="675" spans="1:15" x14ac:dyDescent="0.25">
      <c r="A675" t="s">
        <v>752</v>
      </c>
      <c r="B675" t="s">
        <v>120</v>
      </c>
      <c r="C675">
        <v>3</v>
      </c>
      <c r="D675">
        <v>24.8</v>
      </c>
      <c r="E675">
        <v>74.400000000000006</v>
      </c>
      <c r="F675" s="3">
        <v>45686</v>
      </c>
      <c r="G675" s="3">
        <v>45686</v>
      </c>
      <c r="H675" t="s">
        <v>2</v>
      </c>
      <c r="I675" t="s">
        <v>3</v>
      </c>
      <c r="J675">
        <v>3</v>
      </c>
      <c r="K675" t="s">
        <v>4</v>
      </c>
      <c r="L675" t="s">
        <v>18</v>
      </c>
      <c r="M675">
        <f>[1]!orders[[#This Row],[Ship Date]]-[1]!orders[[#This Row],[Order Date]]</f>
        <v>0</v>
      </c>
      <c r="N675">
        <f>WEEKNUM([1]!orders[[#This Row],[Order Date]])</f>
        <v>5</v>
      </c>
      <c r="O675" t="str" cm="1">
        <f t="array" ref="O675">_xlfn.IFS([1]!orders[[#This Row],[Customer Gender]]="M","Male", [1]!orders[[#This Row],[Customer Gender]]="F","Female", [1]!orders[[#This Row],[Customer Gender]]="O","Other", TRUE,"Unknown")</f>
        <v>Unknown</v>
      </c>
    </row>
    <row r="676" spans="1:15" x14ac:dyDescent="0.25">
      <c r="A676" s="1" t="s">
        <v>753</v>
      </c>
      <c r="B676" s="1" t="s">
        <v>52</v>
      </c>
      <c r="C676" s="1">
        <v>4</v>
      </c>
      <c r="D676" s="1">
        <v>43.8</v>
      </c>
      <c r="E676" s="1">
        <v>175.2</v>
      </c>
      <c r="F676" s="2">
        <v>45686</v>
      </c>
      <c r="G676" s="2">
        <v>45693</v>
      </c>
      <c r="H676" s="1" t="s">
        <v>12</v>
      </c>
      <c r="I676" s="1" t="s">
        <v>20</v>
      </c>
      <c r="J676" s="1">
        <v>5</v>
      </c>
      <c r="K676" s="1" t="s">
        <v>4</v>
      </c>
      <c r="L676" s="1" t="s">
        <v>40</v>
      </c>
      <c r="M676" s="1">
        <f>[1]!orders[[#This Row],[Ship Date]]-[1]!orders[[#This Row],[Order Date]]</f>
        <v>7</v>
      </c>
      <c r="N676" s="1">
        <f>WEEKNUM([1]!orders[[#This Row],[Order Date]])</f>
        <v>5</v>
      </c>
      <c r="O676" t="str" cm="1">
        <f t="array" ref="O676">_xlfn.IFS([1]!orders[[#This Row],[Customer Gender]]="M","Male", [1]!orders[[#This Row],[Customer Gender]]="F","Female", [1]!orders[[#This Row],[Customer Gender]]="O","Other", TRUE,"Unknown")</f>
        <v>Female</v>
      </c>
    </row>
    <row r="677" spans="1:15" x14ac:dyDescent="0.25">
      <c r="A677" t="s">
        <v>754</v>
      </c>
      <c r="B677" t="s">
        <v>7</v>
      </c>
      <c r="C677">
        <v>1</v>
      </c>
      <c r="D677">
        <v>75</v>
      </c>
      <c r="E677">
        <v>75</v>
      </c>
      <c r="F677" s="3">
        <v>45686</v>
      </c>
      <c r="G677" s="3">
        <v>45688</v>
      </c>
      <c r="H677" t="s">
        <v>12</v>
      </c>
      <c r="I677" t="s">
        <v>55</v>
      </c>
      <c r="J677">
        <v>3</v>
      </c>
      <c r="K677" t="s">
        <v>4</v>
      </c>
      <c r="L677" t="s">
        <v>40</v>
      </c>
      <c r="M677">
        <f>[1]!orders[[#This Row],[Ship Date]]-[1]!orders[[#This Row],[Order Date]]</f>
        <v>2</v>
      </c>
      <c r="N677">
        <f>WEEKNUM([1]!orders[[#This Row],[Order Date]])</f>
        <v>5</v>
      </c>
      <c r="O677" t="str" cm="1">
        <f t="array" ref="O677">_xlfn.IFS([1]!orders[[#This Row],[Customer Gender]]="M","Male", [1]!orders[[#This Row],[Customer Gender]]="F","Female", [1]!orders[[#This Row],[Customer Gender]]="O","Other", TRUE,"Unknown")</f>
        <v>Female</v>
      </c>
    </row>
    <row r="678" spans="1:15" x14ac:dyDescent="0.25">
      <c r="A678" s="1" t="s">
        <v>755</v>
      </c>
      <c r="B678" s="1" t="s">
        <v>11</v>
      </c>
      <c r="C678" s="1">
        <v>1</v>
      </c>
      <c r="D678" s="1">
        <v>169.9</v>
      </c>
      <c r="E678" s="1">
        <v>169.9</v>
      </c>
      <c r="F678" s="2">
        <v>45686</v>
      </c>
      <c r="G678" s="2">
        <v>45687</v>
      </c>
      <c r="H678" s="1" t="s">
        <v>8</v>
      </c>
      <c r="I678" s="1" t="s">
        <v>25</v>
      </c>
      <c r="J678" s="1">
        <v>4</v>
      </c>
      <c r="K678" s="1" t="s">
        <v>4</v>
      </c>
      <c r="L678" s="1" t="s">
        <v>40</v>
      </c>
      <c r="M678" s="1">
        <f>[1]!orders[[#This Row],[Ship Date]]-[1]!orders[[#This Row],[Order Date]]</f>
        <v>1</v>
      </c>
      <c r="N678" s="1">
        <f>WEEKNUM([1]!orders[[#This Row],[Order Date]])</f>
        <v>5</v>
      </c>
      <c r="O678" t="str" cm="1">
        <f t="array" ref="O678">_xlfn.IFS([1]!orders[[#This Row],[Customer Gender]]="M","Male", [1]!orders[[#This Row],[Customer Gender]]="F","Female", [1]!orders[[#This Row],[Customer Gender]]="O","Other", TRUE,"Unknown")</f>
        <v>Male</v>
      </c>
    </row>
    <row r="679" spans="1:15" x14ac:dyDescent="0.25">
      <c r="A679" t="s">
        <v>756</v>
      </c>
      <c r="B679" t="s">
        <v>31</v>
      </c>
      <c r="C679">
        <v>2</v>
      </c>
      <c r="D679">
        <v>72.2</v>
      </c>
      <c r="E679">
        <v>144.4</v>
      </c>
      <c r="F679" s="3">
        <v>45686</v>
      </c>
      <c r="G679" s="3">
        <v>45688</v>
      </c>
      <c r="H679" t="s">
        <v>12</v>
      </c>
      <c r="I679" t="s">
        <v>55</v>
      </c>
      <c r="J679">
        <v>3</v>
      </c>
      <c r="K679" t="s">
        <v>4</v>
      </c>
      <c r="L679" t="s">
        <v>40</v>
      </c>
      <c r="M679">
        <f>[1]!orders[[#This Row],[Ship Date]]-[1]!orders[[#This Row],[Order Date]]</f>
        <v>2</v>
      </c>
      <c r="N679">
        <f>WEEKNUM([1]!orders[[#This Row],[Order Date]])</f>
        <v>5</v>
      </c>
      <c r="O679" t="str" cm="1">
        <f t="array" ref="O679">_xlfn.IFS([1]!orders[[#This Row],[Customer Gender]]="M","Male", [1]!orders[[#This Row],[Customer Gender]]="F","Female", [1]!orders[[#This Row],[Customer Gender]]="O","Other", TRUE,"Unknown")</f>
        <v>Female</v>
      </c>
    </row>
    <row r="680" spans="1:15" x14ac:dyDescent="0.25">
      <c r="A680" s="1" t="s">
        <v>757</v>
      </c>
      <c r="B680" s="1" t="s">
        <v>1</v>
      </c>
      <c r="C680" s="1">
        <v>1</v>
      </c>
      <c r="D680" s="1">
        <v>20</v>
      </c>
      <c r="E680" s="1">
        <v>20</v>
      </c>
      <c r="F680" s="2">
        <v>45687</v>
      </c>
      <c r="G680" s="2">
        <v>45690</v>
      </c>
      <c r="H680" s="1" t="s">
        <v>12</v>
      </c>
      <c r="I680" s="1" t="s">
        <v>25</v>
      </c>
      <c r="J680" s="1">
        <v>3</v>
      </c>
      <c r="K680" s="1" t="s">
        <v>4</v>
      </c>
      <c r="L680" s="1" t="s">
        <v>44</v>
      </c>
      <c r="M680" s="1">
        <f>[1]!orders[[#This Row],[Ship Date]]-[1]!orders[[#This Row],[Order Date]]</f>
        <v>3</v>
      </c>
      <c r="N680" s="1">
        <f>WEEKNUM([1]!orders[[#This Row],[Order Date]])</f>
        <v>5</v>
      </c>
      <c r="O680" t="str" cm="1">
        <f t="array" ref="O680">_xlfn.IFS([1]!orders[[#This Row],[Customer Gender]]="M","Male", [1]!orders[[#This Row],[Customer Gender]]="F","Female", [1]!orders[[#This Row],[Customer Gender]]="O","Other", TRUE,"Unknown")</f>
        <v>Female</v>
      </c>
    </row>
    <row r="681" spans="1:15" x14ac:dyDescent="0.25">
      <c r="A681" t="s">
        <v>758</v>
      </c>
      <c r="B681" t="s">
        <v>31</v>
      </c>
      <c r="C681">
        <v>2</v>
      </c>
      <c r="D681">
        <v>40.799999999999997</v>
      </c>
      <c r="E681">
        <v>81.599999999999994</v>
      </c>
      <c r="F681" s="3">
        <v>45687</v>
      </c>
      <c r="G681" s="3">
        <v>45689</v>
      </c>
      <c r="H681" t="s">
        <v>12</v>
      </c>
      <c r="I681" t="s">
        <v>36</v>
      </c>
      <c r="J681">
        <v>5</v>
      </c>
      <c r="K681" t="s">
        <v>4</v>
      </c>
      <c r="L681" t="s">
        <v>47</v>
      </c>
      <c r="M681">
        <f>[1]!orders[[#This Row],[Ship Date]]-[1]!orders[[#This Row],[Order Date]]</f>
        <v>2</v>
      </c>
      <c r="N681">
        <f>WEEKNUM([1]!orders[[#This Row],[Order Date]])</f>
        <v>5</v>
      </c>
      <c r="O681" t="str" cm="1">
        <f t="array" ref="O681">_xlfn.IFS([1]!orders[[#This Row],[Customer Gender]]="M","Male", [1]!orders[[#This Row],[Customer Gender]]="F","Female", [1]!orders[[#This Row],[Customer Gender]]="O","Other", TRUE,"Unknown")</f>
        <v>Female</v>
      </c>
    </row>
    <row r="682" spans="1:15" x14ac:dyDescent="0.25">
      <c r="A682" s="1" t="s">
        <v>759</v>
      </c>
      <c r="B682" s="1" t="s">
        <v>39</v>
      </c>
      <c r="C682" s="1">
        <v>4</v>
      </c>
      <c r="D682" s="1">
        <v>58</v>
      </c>
      <c r="E682" s="1">
        <v>232</v>
      </c>
      <c r="F682" s="2">
        <v>45687</v>
      </c>
      <c r="G682" s="2">
        <v>45691</v>
      </c>
      <c r="H682" s="1" t="s">
        <v>12</v>
      </c>
      <c r="I682" s="1" t="s">
        <v>3</v>
      </c>
      <c r="J682" s="1">
        <v>4</v>
      </c>
      <c r="K682" s="1" t="s">
        <v>4</v>
      </c>
      <c r="L682" s="1" t="s">
        <v>47</v>
      </c>
      <c r="M682" s="1">
        <f>[1]!orders[[#This Row],[Ship Date]]-[1]!orders[[#This Row],[Order Date]]</f>
        <v>4</v>
      </c>
      <c r="N682" s="1">
        <f>WEEKNUM([1]!orders[[#This Row],[Order Date]])</f>
        <v>5</v>
      </c>
      <c r="O682" t="str" cm="1">
        <f t="array" ref="O682">_xlfn.IFS([1]!orders[[#This Row],[Customer Gender]]="M","Male", [1]!orders[[#This Row],[Customer Gender]]="F","Female", [1]!orders[[#This Row],[Customer Gender]]="O","Other", TRUE,"Unknown")</f>
        <v>Female</v>
      </c>
    </row>
    <row r="683" spans="1:15" x14ac:dyDescent="0.25">
      <c r="A683" t="s">
        <v>760</v>
      </c>
      <c r="B683" t="s">
        <v>54</v>
      </c>
      <c r="C683">
        <v>2</v>
      </c>
      <c r="D683">
        <v>43.1</v>
      </c>
      <c r="E683">
        <v>86.2</v>
      </c>
      <c r="F683" s="3">
        <v>45687</v>
      </c>
      <c r="G683" s="3">
        <v>45688</v>
      </c>
      <c r="H683" t="s">
        <v>12</v>
      </c>
      <c r="I683" t="s">
        <v>20</v>
      </c>
      <c r="J683">
        <v>5</v>
      </c>
      <c r="K683" t="s">
        <v>4</v>
      </c>
      <c r="L683" t="s">
        <v>47</v>
      </c>
      <c r="M683">
        <f>[1]!orders[[#This Row],[Ship Date]]-[1]!orders[[#This Row],[Order Date]]</f>
        <v>1</v>
      </c>
      <c r="N683">
        <f>WEEKNUM([1]!orders[[#This Row],[Order Date]])</f>
        <v>5</v>
      </c>
      <c r="O683" t="str" cm="1">
        <f t="array" ref="O683">_xlfn.IFS([1]!orders[[#This Row],[Customer Gender]]="M","Male", [1]!orders[[#This Row],[Customer Gender]]="F","Female", [1]!orders[[#This Row],[Customer Gender]]="O","Other", TRUE,"Unknown")</f>
        <v>Female</v>
      </c>
    </row>
    <row r="684" spans="1:15" x14ac:dyDescent="0.25">
      <c r="A684" s="1" t="s">
        <v>761</v>
      </c>
      <c r="B684" s="1" t="s">
        <v>24</v>
      </c>
      <c r="C684" s="1">
        <v>9</v>
      </c>
      <c r="D684" s="1">
        <v>74.7</v>
      </c>
      <c r="E684" s="1">
        <v>672.30000000000007</v>
      </c>
      <c r="F684" s="2">
        <v>45687</v>
      </c>
      <c r="G684" s="2">
        <v>45689</v>
      </c>
      <c r="H684" s="1" t="s">
        <v>8</v>
      </c>
      <c r="I684" s="1" t="s">
        <v>3</v>
      </c>
      <c r="J684" s="1">
        <v>5</v>
      </c>
      <c r="K684" s="1" t="s">
        <v>4</v>
      </c>
      <c r="L684" s="1" t="s">
        <v>47</v>
      </c>
      <c r="M684" s="1">
        <f>[1]!orders[[#This Row],[Ship Date]]-[1]!orders[[#This Row],[Order Date]]</f>
        <v>2</v>
      </c>
      <c r="N684" s="1">
        <f>WEEKNUM([1]!orders[[#This Row],[Order Date]])</f>
        <v>5</v>
      </c>
      <c r="O684" t="str" cm="1">
        <f t="array" ref="O684">_xlfn.IFS([1]!orders[[#This Row],[Customer Gender]]="M","Male", [1]!orders[[#This Row],[Customer Gender]]="F","Female", [1]!orders[[#This Row],[Customer Gender]]="O","Other", TRUE,"Unknown")</f>
        <v>Male</v>
      </c>
    </row>
    <row r="685" spans="1:15" x14ac:dyDescent="0.25">
      <c r="A685" t="s">
        <v>762</v>
      </c>
      <c r="B685" t="s">
        <v>24</v>
      </c>
      <c r="C685">
        <v>1</v>
      </c>
      <c r="D685">
        <v>128.19999999999999</v>
      </c>
      <c r="E685">
        <v>128.19999999999999</v>
      </c>
      <c r="F685" s="3">
        <v>45687</v>
      </c>
      <c r="G685" s="3">
        <v>45687</v>
      </c>
      <c r="H685" t="s">
        <v>8</v>
      </c>
      <c r="I685" t="s">
        <v>20</v>
      </c>
      <c r="J685">
        <v>4</v>
      </c>
      <c r="K685" t="s">
        <v>4</v>
      </c>
      <c r="L685" t="s">
        <v>47</v>
      </c>
      <c r="M685">
        <f>[1]!orders[[#This Row],[Ship Date]]-[1]!orders[[#This Row],[Order Date]]</f>
        <v>0</v>
      </c>
      <c r="N685">
        <f>WEEKNUM([1]!orders[[#This Row],[Order Date]])</f>
        <v>5</v>
      </c>
      <c r="O685" t="str" cm="1">
        <f t="array" ref="O685">_xlfn.IFS([1]!orders[[#This Row],[Customer Gender]]="M","Male", [1]!orders[[#This Row],[Customer Gender]]="F","Female", [1]!orders[[#This Row],[Customer Gender]]="O","Other", TRUE,"Unknown")</f>
        <v>Male</v>
      </c>
    </row>
    <row r="686" spans="1:15" x14ac:dyDescent="0.25">
      <c r="A686" s="1" t="s">
        <v>763</v>
      </c>
      <c r="B686" s="1" t="s">
        <v>66</v>
      </c>
      <c r="C686" s="1">
        <v>4</v>
      </c>
      <c r="D686" s="1">
        <v>26.7</v>
      </c>
      <c r="E686" s="1">
        <v>106.8</v>
      </c>
      <c r="F686" s="2">
        <v>45687</v>
      </c>
      <c r="G686" s="2">
        <v>45688</v>
      </c>
      <c r="H686" s="1" t="s">
        <v>8</v>
      </c>
      <c r="I686" s="1" t="s">
        <v>20</v>
      </c>
      <c r="J686" s="1">
        <v>4</v>
      </c>
      <c r="K686" s="1" t="s">
        <v>4</v>
      </c>
      <c r="L686" s="1" t="s">
        <v>47</v>
      </c>
      <c r="M686" s="1">
        <f>[1]!orders[[#This Row],[Ship Date]]-[1]!orders[[#This Row],[Order Date]]</f>
        <v>1</v>
      </c>
      <c r="N686" s="1">
        <f>WEEKNUM([1]!orders[[#This Row],[Order Date]])</f>
        <v>5</v>
      </c>
      <c r="O686" t="str" cm="1">
        <f t="array" ref="O686">_xlfn.IFS([1]!orders[[#This Row],[Customer Gender]]="M","Male", [1]!orders[[#This Row],[Customer Gender]]="F","Female", [1]!orders[[#This Row],[Customer Gender]]="O","Other", TRUE,"Unknown")</f>
        <v>Male</v>
      </c>
    </row>
    <row r="687" spans="1:15" x14ac:dyDescent="0.25">
      <c r="A687" t="s">
        <v>764</v>
      </c>
      <c r="B687" t="s">
        <v>120</v>
      </c>
      <c r="C687">
        <v>6</v>
      </c>
      <c r="D687">
        <v>31.5</v>
      </c>
      <c r="E687">
        <v>189</v>
      </c>
      <c r="F687" s="3">
        <v>45687</v>
      </c>
      <c r="G687" s="3">
        <v>45688</v>
      </c>
      <c r="H687" t="s">
        <v>12</v>
      </c>
      <c r="I687" t="s">
        <v>25</v>
      </c>
      <c r="J687">
        <v>4</v>
      </c>
      <c r="K687" t="s">
        <v>4</v>
      </c>
      <c r="L687" t="s">
        <v>88</v>
      </c>
      <c r="M687">
        <f>[1]!orders[[#This Row],[Ship Date]]-[1]!orders[[#This Row],[Order Date]]</f>
        <v>1</v>
      </c>
      <c r="N687">
        <f>WEEKNUM([1]!orders[[#This Row],[Order Date]])</f>
        <v>5</v>
      </c>
      <c r="O687" t="str" cm="1">
        <f t="array" ref="O687">_xlfn.IFS([1]!orders[[#This Row],[Customer Gender]]="M","Male", [1]!orders[[#This Row],[Customer Gender]]="F","Female", [1]!orders[[#This Row],[Customer Gender]]="O","Other", TRUE,"Unknown")</f>
        <v>Female</v>
      </c>
    </row>
    <row r="688" spans="1:15" x14ac:dyDescent="0.25">
      <c r="A688" s="1" t="s">
        <v>765</v>
      </c>
      <c r="B688" s="1" t="s">
        <v>15</v>
      </c>
      <c r="C688" s="1">
        <v>7</v>
      </c>
      <c r="D688" s="1">
        <v>64.7</v>
      </c>
      <c r="E688" s="1">
        <v>452.90000000000003</v>
      </c>
      <c r="F688" s="2">
        <v>45687</v>
      </c>
      <c r="G688" s="2">
        <v>45688</v>
      </c>
      <c r="H688" s="1" t="s">
        <v>12</v>
      </c>
      <c r="I688" s="1" t="s">
        <v>3</v>
      </c>
      <c r="J688" s="1">
        <v>5</v>
      </c>
      <c r="K688" s="1" t="s">
        <v>4</v>
      </c>
      <c r="L688" s="1" t="s">
        <v>57</v>
      </c>
      <c r="M688" s="1">
        <f>[1]!orders[[#This Row],[Ship Date]]-[1]!orders[[#This Row],[Order Date]]</f>
        <v>1</v>
      </c>
      <c r="N688" s="1">
        <f>WEEKNUM([1]!orders[[#This Row],[Order Date]])</f>
        <v>5</v>
      </c>
      <c r="O688" t="str" cm="1">
        <f t="array" ref="O688">_xlfn.IFS([1]!orders[[#This Row],[Customer Gender]]="M","Male", [1]!orders[[#This Row],[Customer Gender]]="F","Female", [1]!orders[[#This Row],[Customer Gender]]="O","Other", TRUE,"Unknown")</f>
        <v>Female</v>
      </c>
    </row>
    <row r="689" spans="1:15" x14ac:dyDescent="0.25">
      <c r="A689" t="s">
        <v>766</v>
      </c>
      <c r="B689" t="s">
        <v>22</v>
      </c>
      <c r="C689">
        <v>2</v>
      </c>
      <c r="D689">
        <v>55.6</v>
      </c>
      <c r="E689">
        <v>111.2</v>
      </c>
      <c r="F689" s="3">
        <v>45687</v>
      </c>
      <c r="G689" s="3">
        <v>45690</v>
      </c>
      <c r="H689" t="s">
        <v>12</v>
      </c>
      <c r="I689" t="s">
        <v>36</v>
      </c>
      <c r="J689">
        <v>4</v>
      </c>
      <c r="K689" t="s">
        <v>4</v>
      </c>
      <c r="L689" t="s">
        <v>62</v>
      </c>
      <c r="M689">
        <f>[1]!orders[[#This Row],[Ship Date]]-[1]!orders[[#This Row],[Order Date]]</f>
        <v>3</v>
      </c>
      <c r="N689">
        <f>WEEKNUM([1]!orders[[#This Row],[Order Date]])</f>
        <v>5</v>
      </c>
      <c r="O689" t="str" cm="1">
        <f t="array" ref="O689">_xlfn.IFS([1]!orders[[#This Row],[Customer Gender]]="M","Male", [1]!orders[[#This Row],[Customer Gender]]="F","Female", [1]!orders[[#This Row],[Customer Gender]]="O","Other", TRUE,"Unknown")</f>
        <v>Female</v>
      </c>
    </row>
    <row r="690" spans="1:15" x14ac:dyDescent="0.25">
      <c r="A690" s="1" t="s">
        <v>767</v>
      </c>
      <c r="B690" s="1" t="s">
        <v>15</v>
      </c>
      <c r="C690" s="1">
        <v>2</v>
      </c>
      <c r="D690" s="1">
        <v>36.200000000000003</v>
      </c>
      <c r="E690" s="1">
        <v>72.400000000000006</v>
      </c>
      <c r="F690" s="2">
        <v>45687</v>
      </c>
      <c r="G690" s="2">
        <v>45688</v>
      </c>
      <c r="H690" s="1" t="s">
        <v>12</v>
      </c>
      <c r="I690" s="1" t="s">
        <v>36</v>
      </c>
      <c r="J690" s="1">
        <v>4</v>
      </c>
      <c r="K690" s="1" t="s">
        <v>4</v>
      </c>
      <c r="L690" s="1" t="s">
        <v>62</v>
      </c>
      <c r="M690" s="1">
        <f>[1]!orders[[#This Row],[Ship Date]]-[1]!orders[[#This Row],[Order Date]]</f>
        <v>1</v>
      </c>
      <c r="N690" s="1">
        <f>WEEKNUM([1]!orders[[#This Row],[Order Date]])</f>
        <v>5</v>
      </c>
      <c r="O690" t="str" cm="1">
        <f t="array" ref="O690">_xlfn.IFS([1]!orders[[#This Row],[Customer Gender]]="M","Male", [1]!orders[[#This Row],[Customer Gender]]="F","Female", [1]!orders[[#This Row],[Customer Gender]]="O","Other", TRUE,"Unknown")</f>
        <v>Female</v>
      </c>
    </row>
    <row r="691" spans="1:15" x14ac:dyDescent="0.25">
      <c r="A691" t="s">
        <v>768</v>
      </c>
      <c r="B691" t="s">
        <v>1</v>
      </c>
      <c r="C691">
        <v>1</v>
      </c>
      <c r="D691">
        <v>26.6</v>
      </c>
      <c r="E691">
        <v>26.6</v>
      </c>
      <c r="F691" s="3">
        <v>45687</v>
      </c>
      <c r="G691" s="3">
        <v>45688</v>
      </c>
      <c r="H691" t="s">
        <v>2</v>
      </c>
      <c r="I691" t="s">
        <v>20</v>
      </c>
      <c r="J691">
        <v>3</v>
      </c>
      <c r="K691" t="s">
        <v>4</v>
      </c>
      <c r="L691" t="s">
        <v>95</v>
      </c>
      <c r="M691">
        <f>[1]!orders[[#This Row],[Ship Date]]-[1]!orders[[#This Row],[Order Date]]</f>
        <v>1</v>
      </c>
      <c r="N691">
        <f>WEEKNUM([1]!orders[[#This Row],[Order Date]])</f>
        <v>5</v>
      </c>
      <c r="O691" t="str" cm="1">
        <f t="array" ref="O691">_xlfn.IFS([1]!orders[[#This Row],[Customer Gender]]="M","Male", [1]!orders[[#This Row],[Customer Gender]]="F","Female", [1]!orders[[#This Row],[Customer Gender]]="O","Other", TRUE,"Unknown")</f>
        <v>Unknown</v>
      </c>
    </row>
    <row r="692" spans="1:15" x14ac:dyDescent="0.25">
      <c r="A692" s="1" t="s">
        <v>769</v>
      </c>
      <c r="B692" s="1" t="s">
        <v>39</v>
      </c>
      <c r="C692" s="1">
        <v>4</v>
      </c>
      <c r="D692" s="1">
        <v>31.5</v>
      </c>
      <c r="E692" s="1">
        <v>126</v>
      </c>
      <c r="F692" s="2">
        <v>45687</v>
      </c>
      <c r="G692" s="2">
        <v>45689</v>
      </c>
      <c r="H692" s="1" t="s">
        <v>8</v>
      </c>
      <c r="I692" s="1" t="s">
        <v>3</v>
      </c>
      <c r="J692" s="1">
        <v>4</v>
      </c>
      <c r="K692" s="1" t="s">
        <v>4</v>
      </c>
      <c r="L692" s="1" t="s">
        <v>277</v>
      </c>
      <c r="M692" s="1">
        <f>[1]!orders[[#This Row],[Ship Date]]-[1]!orders[[#This Row],[Order Date]]</f>
        <v>2</v>
      </c>
      <c r="N692" s="1">
        <f>WEEKNUM([1]!orders[[#This Row],[Order Date]])</f>
        <v>5</v>
      </c>
      <c r="O692" t="str" cm="1">
        <f t="array" ref="O692">_xlfn.IFS([1]!orders[[#This Row],[Customer Gender]]="M","Male", [1]!orders[[#This Row],[Customer Gender]]="F","Female", [1]!orders[[#This Row],[Customer Gender]]="O","Other", TRUE,"Unknown")</f>
        <v>Male</v>
      </c>
    </row>
    <row r="693" spans="1:15" x14ac:dyDescent="0.25">
      <c r="A693" t="s">
        <v>770</v>
      </c>
      <c r="B693" t="s">
        <v>39</v>
      </c>
      <c r="C693">
        <v>1</v>
      </c>
      <c r="D693">
        <v>27</v>
      </c>
      <c r="E693">
        <v>27</v>
      </c>
      <c r="F693" s="3">
        <v>45687</v>
      </c>
      <c r="G693" s="3">
        <v>45689</v>
      </c>
      <c r="H693" t="s">
        <v>12</v>
      </c>
      <c r="I693" t="s">
        <v>20</v>
      </c>
      <c r="J693">
        <v>5</v>
      </c>
      <c r="K693" t="s">
        <v>4</v>
      </c>
      <c r="L693" t="s">
        <v>67</v>
      </c>
      <c r="M693">
        <f>[1]!orders[[#This Row],[Ship Date]]-[1]!orders[[#This Row],[Order Date]]</f>
        <v>2</v>
      </c>
      <c r="N693">
        <f>WEEKNUM([1]!orders[[#This Row],[Order Date]])</f>
        <v>5</v>
      </c>
      <c r="O693" t="str" cm="1">
        <f t="array" ref="O693">_xlfn.IFS([1]!orders[[#This Row],[Customer Gender]]="M","Male", [1]!orders[[#This Row],[Customer Gender]]="F","Female", [1]!orders[[#This Row],[Customer Gender]]="O","Other", TRUE,"Unknown")</f>
        <v>Female</v>
      </c>
    </row>
    <row r="694" spans="1:15" x14ac:dyDescent="0.25">
      <c r="A694" s="1" t="s">
        <v>771</v>
      </c>
      <c r="B694" s="1" t="s">
        <v>17</v>
      </c>
      <c r="C694" s="1">
        <v>1</v>
      </c>
      <c r="D694" s="1">
        <v>32</v>
      </c>
      <c r="E694" s="1">
        <v>32</v>
      </c>
      <c r="F694" s="2">
        <v>45687</v>
      </c>
      <c r="G694" s="2">
        <v>45690</v>
      </c>
      <c r="H694" s="1" t="s">
        <v>8</v>
      </c>
      <c r="I694" s="1" t="s">
        <v>36</v>
      </c>
      <c r="J694" s="1">
        <v>4</v>
      </c>
      <c r="K694" s="1" t="s">
        <v>4</v>
      </c>
      <c r="L694" s="1" t="s">
        <v>100</v>
      </c>
      <c r="M694" s="1">
        <f>[1]!orders[[#This Row],[Ship Date]]-[1]!orders[[#This Row],[Order Date]]</f>
        <v>3</v>
      </c>
      <c r="N694" s="1">
        <f>WEEKNUM([1]!orders[[#This Row],[Order Date]])</f>
        <v>5</v>
      </c>
      <c r="O694" t="str" cm="1">
        <f t="array" ref="O694">_xlfn.IFS([1]!orders[[#This Row],[Customer Gender]]="M","Male", [1]!orders[[#This Row],[Customer Gender]]="F","Female", [1]!orders[[#This Row],[Customer Gender]]="O","Other", TRUE,"Unknown")</f>
        <v>Male</v>
      </c>
    </row>
    <row r="695" spans="1:15" x14ac:dyDescent="0.25">
      <c r="A695" t="s">
        <v>772</v>
      </c>
      <c r="B695" t="s">
        <v>7</v>
      </c>
      <c r="C695">
        <v>3</v>
      </c>
      <c r="D695">
        <v>48.1</v>
      </c>
      <c r="E695">
        <v>144.30000000000001</v>
      </c>
      <c r="F695" s="3">
        <v>45687</v>
      </c>
      <c r="G695" s="3">
        <v>45689</v>
      </c>
      <c r="H695" t="s">
        <v>8</v>
      </c>
      <c r="I695" t="s">
        <v>25</v>
      </c>
      <c r="J695">
        <v>3</v>
      </c>
      <c r="K695" t="s">
        <v>4</v>
      </c>
      <c r="L695" t="s">
        <v>9</v>
      </c>
      <c r="M695">
        <f>[1]!orders[[#This Row],[Ship Date]]-[1]!orders[[#This Row],[Order Date]]</f>
        <v>2</v>
      </c>
      <c r="N695">
        <f>WEEKNUM([1]!orders[[#This Row],[Order Date]])</f>
        <v>5</v>
      </c>
      <c r="O695" t="str" cm="1">
        <f t="array" ref="O695">_xlfn.IFS([1]!orders[[#This Row],[Customer Gender]]="M","Male", [1]!orders[[#This Row],[Customer Gender]]="F","Female", [1]!orders[[#This Row],[Customer Gender]]="O","Other", TRUE,"Unknown")</f>
        <v>Male</v>
      </c>
    </row>
    <row r="696" spans="1:15" x14ac:dyDescent="0.25">
      <c r="A696" s="1" t="s">
        <v>773</v>
      </c>
      <c r="B696" s="1" t="s">
        <v>31</v>
      </c>
      <c r="C696" s="1">
        <v>2</v>
      </c>
      <c r="D696" s="1">
        <v>43.4</v>
      </c>
      <c r="E696" s="1">
        <v>86.8</v>
      </c>
      <c r="F696" s="2">
        <v>45687</v>
      </c>
      <c r="G696" s="2">
        <v>45688</v>
      </c>
      <c r="H696" s="1" t="s">
        <v>8</v>
      </c>
      <c r="I696" s="1" t="s">
        <v>20</v>
      </c>
      <c r="J696" s="1">
        <v>3</v>
      </c>
      <c r="K696" s="1" t="s">
        <v>4</v>
      </c>
      <c r="L696" s="1" t="s">
        <v>132</v>
      </c>
      <c r="M696" s="1">
        <f>[1]!orders[[#This Row],[Ship Date]]-[1]!orders[[#This Row],[Order Date]]</f>
        <v>1</v>
      </c>
      <c r="N696" s="1">
        <f>WEEKNUM([1]!orders[[#This Row],[Order Date]])</f>
        <v>5</v>
      </c>
      <c r="O696" t="str" cm="1">
        <f t="array" ref="O696">_xlfn.IFS([1]!orders[[#This Row],[Customer Gender]]="M","Male", [1]!orders[[#This Row],[Customer Gender]]="F","Female", [1]!orders[[#This Row],[Customer Gender]]="O","Other", TRUE,"Unknown")</f>
        <v>Male</v>
      </c>
    </row>
    <row r="697" spans="1:15" x14ac:dyDescent="0.25">
      <c r="A697" t="s">
        <v>774</v>
      </c>
      <c r="B697" t="s">
        <v>24</v>
      </c>
      <c r="C697">
        <v>2</v>
      </c>
      <c r="D697">
        <v>42.6</v>
      </c>
      <c r="E697">
        <v>85.2</v>
      </c>
      <c r="F697" s="3">
        <v>45687</v>
      </c>
      <c r="G697" s="3">
        <v>45690</v>
      </c>
      <c r="H697" t="s">
        <v>12</v>
      </c>
      <c r="I697" t="s">
        <v>36</v>
      </c>
      <c r="J697">
        <v>4</v>
      </c>
      <c r="K697" t="s">
        <v>4</v>
      </c>
      <c r="L697" t="s">
        <v>132</v>
      </c>
      <c r="M697">
        <f>[1]!orders[[#This Row],[Ship Date]]-[1]!orders[[#This Row],[Order Date]]</f>
        <v>3</v>
      </c>
      <c r="N697">
        <f>WEEKNUM([1]!orders[[#This Row],[Order Date]])</f>
        <v>5</v>
      </c>
      <c r="O697" t="str" cm="1">
        <f t="array" ref="O697">_xlfn.IFS([1]!orders[[#This Row],[Customer Gender]]="M","Male", [1]!orders[[#This Row],[Customer Gender]]="F","Female", [1]!orders[[#This Row],[Customer Gender]]="O","Other", TRUE,"Unknown")</f>
        <v>Female</v>
      </c>
    </row>
    <row r="698" spans="1:15" x14ac:dyDescent="0.25">
      <c r="A698" s="1" t="s">
        <v>775</v>
      </c>
      <c r="B698" s="1" t="s">
        <v>29</v>
      </c>
      <c r="C698" s="1">
        <v>2</v>
      </c>
      <c r="D698" s="1">
        <v>15.9</v>
      </c>
      <c r="E698" s="1">
        <v>31.8</v>
      </c>
      <c r="F698" s="2">
        <v>45687</v>
      </c>
      <c r="G698" s="2">
        <v>45688</v>
      </c>
      <c r="H698" s="1" t="s">
        <v>12</v>
      </c>
      <c r="I698" s="1" t="s">
        <v>3</v>
      </c>
      <c r="J698" s="1">
        <v>4</v>
      </c>
      <c r="K698" s="1" t="s">
        <v>4</v>
      </c>
      <c r="L698" s="1" t="s">
        <v>319</v>
      </c>
      <c r="M698" s="1">
        <f>[1]!orders[[#This Row],[Ship Date]]-[1]!orders[[#This Row],[Order Date]]</f>
        <v>1</v>
      </c>
      <c r="N698" s="1">
        <f>WEEKNUM([1]!orders[[#This Row],[Order Date]])</f>
        <v>5</v>
      </c>
      <c r="O698" t="str" cm="1">
        <f t="array" ref="O698">_xlfn.IFS([1]!orders[[#This Row],[Customer Gender]]="M","Male", [1]!orders[[#This Row],[Customer Gender]]="F","Female", [1]!orders[[#This Row],[Customer Gender]]="O","Other", TRUE,"Unknown")</f>
        <v>Female</v>
      </c>
    </row>
    <row r="699" spans="1:15" x14ac:dyDescent="0.25">
      <c r="A699" t="s">
        <v>776</v>
      </c>
      <c r="B699" t="s">
        <v>31</v>
      </c>
      <c r="C699">
        <v>2</v>
      </c>
      <c r="D699">
        <v>63.2</v>
      </c>
      <c r="E699">
        <v>126.4</v>
      </c>
      <c r="F699" s="3">
        <v>45687</v>
      </c>
      <c r="G699" s="3">
        <v>45688</v>
      </c>
      <c r="H699" t="s">
        <v>8</v>
      </c>
      <c r="I699" t="s">
        <v>20</v>
      </c>
      <c r="J699">
        <v>4</v>
      </c>
      <c r="K699" t="s">
        <v>4</v>
      </c>
      <c r="L699" t="s">
        <v>18</v>
      </c>
      <c r="M699">
        <f>[1]!orders[[#This Row],[Ship Date]]-[1]!orders[[#This Row],[Order Date]]</f>
        <v>1</v>
      </c>
      <c r="N699">
        <f>WEEKNUM([1]!orders[[#This Row],[Order Date]])</f>
        <v>5</v>
      </c>
      <c r="O699" t="str" cm="1">
        <f t="array" ref="O699">_xlfn.IFS([1]!orders[[#This Row],[Customer Gender]]="M","Male", [1]!orders[[#This Row],[Customer Gender]]="F","Female", [1]!orders[[#This Row],[Customer Gender]]="O","Other", TRUE,"Unknown")</f>
        <v>Male</v>
      </c>
    </row>
    <row r="700" spans="1:15" x14ac:dyDescent="0.25">
      <c r="A700" s="1" t="s">
        <v>777</v>
      </c>
      <c r="B700" s="1" t="s">
        <v>27</v>
      </c>
      <c r="C700" s="1">
        <v>4</v>
      </c>
      <c r="D700" s="1">
        <v>64.8</v>
      </c>
      <c r="E700" s="1">
        <v>259.2</v>
      </c>
      <c r="F700" s="2">
        <v>45687</v>
      </c>
      <c r="G700" s="2">
        <v>45689</v>
      </c>
      <c r="H700" s="1" t="s">
        <v>2</v>
      </c>
      <c r="I700" s="1" t="s">
        <v>55</v>
      </c>
      <c r="J700" s="1">
        <v>3</v>
      </c>
      <c r="K700" s="1" t="s">
        <v>4</v>
      </c>
      <c r="L700" s="1" t="s">
        <v>18</v>
      </c>
      <c r="M700" s="1">
        <f>[1]!orders[[#This Row],[Ship Date]]-[1]!orders[[#This Row],[Order Date]]</f>
        <v>2</v>
      </c>
      <c r="N700" s="1">
        <f>WEEKNUM([1]!orders[[#This Row],[Order Date]])</f>
        <v>5</v>
      </c>
      <c r="O700" t="str" cm="1">
        <f t="array" ref="O700">_xlfn.IFS([1]!orders[[#This Row],[Customer Gender]]="M","Male", [1]!orders[[#This Row],[Customer Gender]]="F","Female", [1]!orders[[#This Row],[Customer Gender]]="O","Other", TRUE,"Unknown")</f>
        <v>Unknown</v>
      </c>
    </row>
    <row r="701" spans="1:15" x14ac:dyDescent="0.25">
      <c r="A701" t="s">
        <v>778</v>
      </c>
      <c r="B701" t="s">
        <v>27</v>
      </c>
      <c r="C701">
        <v>3</v>
      </c>
      <c r="D701">
        <v>79.8</v>
      </c>
      <c r="E701">
        <v>239.39999999999998</v>
      </c>
      <c r="F701" s="3">
        <v>45687</v>
      </c>
      <c r="G701" s="3">
        <v>45688</v>
      </c>
      <c r="H701" t="s">
        <v>8</v>
      </c>
      <c r="I701" t="s">
        <v>3</v>
      </c>
      <c r="J701">
        <v>4</v>
      </c>
      <c r="K701" t="s">
        <v>4</v>
      </c>
      <c r="L701" t="s">
        <v>18</v>
      </c>
      <c r="M701">
        <f>[1]!orders[[#This Row],[Ship Date]]-[1]!orders[[#This Row],[Order Date]]</f>
        <v>1</v>
      </c>
      <c r="N701">
        <f>WEEKNUM([1]!orders[[#This Row],[Order Date]])</f>
        <v>5</v>
      </c>
      <c r="O701" t="str" cm="1">
        <f t="array" ref="O701">_xlfn.IFS([1]!orders[[#This Row],[Customer Gender]]="M","Male", [1]!orders[[#This Row],[Customer Gender]]="F","Female", [1]!orders[[#This Row],[Customer Gender]]="O","Other", TRUE,"Unknown")</f>
        <v>Male</v>
      </c>
    </row>
    <row r="702" spans="1:15" x14ac:dyDescent="0.25">
      <c r="A702" s="1" t="s">
        <v>779</v>
      </c>
      <c r="B702" s="1" t="s">
        <v>31</v>
      </c>
      <c r="C702" s="1">
        <v>1</v>
      </c>
      <c r="D702" s="1">
        <v>54.4</v>
      </c>
      <c r="E702" s="1">
        <v>54.4</v>
      </c>
      <c r="F702" s="2">
        <v>45687</v>
      </c>
      <c r="G702" s="2">
        <v>45689</v>
      </c>
      <c r="H702" s="1" t="s">
        <v>12</v>
      </c>
      <c r="I702" s="1" t="s">
        <v>55</v>
      </c>
      <c r="J702" s="1">
        <v>5</v>
      </c>
      <c r="K702" s="1" t="s">
        <v>4</v>
      </c>
      <c r="L702" s="1" t="s">
        <v>18</v>
      </c>
      <c r="M702" s="1">
        <f>[1]!orders[[#This Row],[Ship Date]]-[1]!orders[[#This Row],[Order Date]]</f>
        <v>2</v>
      </c>
      <c r="N702" s="1">
        <f>WEEKNUM([1]!orders[[#This Row],[Order Date]])</f>
        <v>5</v>
      </c>
      <c r="O702" t="str" cm="1">
        <f t="array" ref="O702">_xlfn.IFS([1]!orders[[#This Row],[Customer Gender]]="M","Male", [1]!orders[[#This Row],[Customer Gender]]="F","Female", [1]!orders[[#This Row],[Customer Gender]]="O","Other", TRUE,"Unknown")</f>
        <v>Female</v>
      </c>
    </row>
    <row r="703" spans="1:15" x14ac:dyDescent="0.25">
      <c r="A703" t="s">
        <v>780</v>
      </c>
      <c r="B703" t="s">
        <v>24</v>
      </c>
      <c r="C703">
        <v>1</v>
      </c>
      <c r="D703">
        <v>87.3</v>
      </c>
      <c r="E703">
        <v>87.3</v>
      </c>
      <c r="F703" s="3">
        <v>45687</v>
      </c>
      <c r="G703" s="3">
        <v>45688</v>
      </c>
      <c r="H703" t="s">
        <v>8</v>
      </c>
      <c r="I703" t="s">
        <v>20</v>
      </c>
      <c r="J703">
        <v>4</v>
      </c>
      <c r="K703" t="s">
        <v>4</v>
      </c>
      <c r="L703" t="s">
        <v>18</v>
      </c>
      <c r="M703">
        <f>[1]!orders[[#This Row],[Ship Date]]-[1]!orders[[#This Row],[Order Date]]</f>
        <v>1</v>
      </c>
      <c r="N703">
        <f>WEEKNUM([1]!orders[[#This Row],[Order Date]])</f>
        <v>5</v>
      </c>
      <c r="O703" t="str" cm="1">
        <f t="array" ref="O703">_xlfn.IFS([1]!orders[[#This Row],[Customer Gender]]="M","Male", [1]!orders[[#This Row],[Customer Gender]]="F","Female", [1]!orders[[#This Row],[Customer Gender]]="O","Other", TRUE,"Unknown")</f>
        <v>Male</v>
      </c>
    </row>
    <row r="704" spans="1:15" x14ac:dyDescent="0.25">
      <c r="A704" s="1" t="s">
        <v>781</v>
      </c>
      <c r="B704" s="1" t="s">
        <v>29</v>
      </c>
      <c r="C704" s="1">
        <v>4</v>
      </c>
      <c r="D704" s="1">
        <v>32.4</v>
      </c>
      <c r="E704" s="1">
        <v>129.6</v>
      </c>
      <c r="F704" s="2">
        <v>45687</v>
      </c>
      <c r="G704" s="2">
        <v>45687</v>
      </c>
      <c r="H704" s="1" t="s">
        <v>8</v>
      </c>
      <c r="I704" s="1" t="s">
        <v>20</v>
      </c>
      <c r="J704" s="1">
        <v>4</v>
      </c>
      <c r="K704" s="1" t="s">
        <v>4</v>
      </c>
      <c r="L704" s="1" t="s">
        <v>18</v>
      </c>
      <c r="M704" s="1">
        <f>[1]!orders[[#This Row],[Ship Date]]-[1]!orders[[#This Row],[Order Date]]</f>
        <v>0</v>
      </c>
      <c r="N704" s="1">
        <f>WEEKNUM([1]!orders[[#This Row],[Order Date]])</f>
        <v>5</v>
      </c>
      <c r="O704" t="str" cm="1">
        <f t="array" ref="O704">_xlfn.IFS([1]!orders[[#This Row],[Customer Gender]]="M","Male", [1]!orders[[#This Row],[Customer Gender]]="F","Female", [1]!orders[[#This Row],[Customer Gender]]="O","Other", TRUE,"Unknown")</f>
        <v>Male</v>
      </c>
    </row>
    <row r="705" spans="1:15" x14ac:dyDescent="0.25">
      <c r="A705" t="s">
        <v>782</v>
      </c>
      <c r="B705" t="s">
        <v>11</v>
      </c>
      <c r="C705">
        <v>1</v>
      </c>
      <c r="D705">
        <v>177.4</v>
      </c>
      <c r="E705">
        <v>177.4</v>
      </c>
      <c r="F705" s="3">
        <v>45687</v>
      </c>
      <c r="G705" s="3">
        <v>45691</v>
      </c>
      <c r="H705" t="s">
        <v>8</v>
      </c>
      <c r="I705" t="s">
        <v>3</v>
      </c>
      <c r="J705">
        <v>5</v>
      </c>
      <c r="K705" t="s">
        <v>4</v>
      </c>
      <c r="L705" t="s">
        <v>18</v>
      </c>
      <c r="M705">
        <f>[1]!orders[[#This Row],[Ship Date]]-[1]!orders[[#This Row],[Order Date]]</f>
        <v>4</v>
      </c>
      <c r="N705">
        <f>WEEKNUM([1]!orders[[#This Row],[Order Date]])</f>
        <v>5</v>
      </c>
      <c r="O705" t="str" cm="1">
        <f t="array" ref="O705">_xlfn.IFS([1]!orders[[#This Row],[Customer Gender]]="M","Male", [1]!orders[[#This Row],[Customer Gender]]="F","Female", [1]!orders[[#This Row],[Customer Gender]]="O","Other", TRUE,"Unknown")</f>
        <v>Male</v>
      </c>
    </row>
    <row r="706" spans="1:15" x14ac:dyDescent="0.25">
      <c r="A706" s="1" t="s">
        <v>783</v>
      </c>
      <c r="B706" s="1" t="s">
        <v>27</v>
      </c>
      <c r="C706" s="1">
        <v>2</v>
      </c>
      <c r="D706" s="1">
        <v>70.099999999999994</v>
      </c>
      <c r="E706" s="1">
        <v>140.19999999999999</v>
      </c>
      <c r="F706" s="2">
        <v>45687</v>
      </c>
      <c r="G706" s="2">
        <v>45688</v>
      </c>
      <c r="H706" s="1" t="s">
        <v>8</v>
      </c>
      <c r="I706" s="1" t="s">
        <v>36</v>
      </c>
      <c r="J706" s="1">
        <v>3</v>
      </c>
      <c r="K706" s="1" t="s">
        <v>4</v>
      </c>
      <c r="L706" s="1" t="s">
        <v>18</v>
      </c>
      <c r="M706" s="1">
        <f>[1]!orders[[#This Row],[Ship Date]]-[1]!orders[[#This Row],[Order Date]]</f>
        <v>1</v>
      </c>
      <c r="N706" s="1">
        <f>WEEKNUM([1]!orders[[#This Row],[Order Date]])</f>
        <v>5</v>
      </c>
      <c r="O706" t="str" cm="1">
        <f t="array" ref="O706">_xlfn.IFS([1]!orders[[#This Row],[Customer Gender]]="M","Male", [1]!orders[[#This Row],[Customer Gender]]="F","Female", [1]!orders[[#This Row],[Customer Gender]]="O","Other", TRUE,"Unknown")</f>
        <v>Male</v>
      </c>
    </row>
    <row r="707" spans="1:15" x14ac:dyDescent="0.25">
      <c r="A707" t="s">
        <v>784</v>
      </c>
      <c r="B707" t="s">
        <v>31</v>
      </c>
      <c r="C707">
        <v>6</v>
      </c>
      <c r="D707">
        <v>51.1</v>
      </c>
      <c r="E707">
        <v>306.60000000000002</v>
      </c>
      <c r="F707" s="3">
        <v>45687</v>
      </c>
      <c r="G707" s="3">
        <v>45688</v>
      </c>
      <c r="H707" t="s">
        <v>12</v>
      </c>
      <c r="I707" t="s">
        <v>3</v>
      </c>
      <c r="J707">
        <v>4</v>
      </c>
      <c r="K707" t="s">
        <v>4</v>
      </c>
      <c r="L707" t="s">
        <v>18</v>
      </c>
      <c r="M707">
        <f>[1]!orders[[#This Row],[Ship Date]]-[1]!orders[[#This Row],[Order Date]]</f>
        <v>1</v>
      </c>
      <c r="N707">
        <f>WEEKNUM([1]!orders[[#This Row],[Order Date]])</f>
        <v>5</v>
      </c>
      <c r="O707" t="str" cm="1">
        <f t="array" ref="O707">_xlfn.IFS([1]!orders[[#This Row],[Customer Gender]]="M","Male", [1]!orders[[#This Row],[Customer Gender]]="F","Female", [1]!orders[[#This Row],[Customer Gender]]="O","Other", TRUE,"Unknown")</f>
        <v>Female</v>
      </c>
    </row>
    <row r="708" spans="1:15" x14ac:dyDescent="0.25">
      <c r="A708" s="1" t="s">
        <v>785</v>
      </c>
      <c r="B708" s="1" t="s">
        <v>11</v>
      </c>
      <c r="C708" s="1">
        <v>5</v>
      </c>
      <c r="D708" s="1">
        <v>79.900000000000006</v>
      </c>
      <c r="E708" s="1">
        <v>399.5</v>
      </c>
      <c r="F708" s="2">
        <v>45687</v>
      </c>
      <c r="G708" s="2">
        <v>45689</v>
      </c>
      <c r="H708" s="1" t="s">
        <v>8</v>
      </c>
      <c r="I708" s="1" t="s">
        <v>36</v>
      </c>
      <c r="J708" s="1">
        <v>5</v>
      </c>
      <c r="K708" s="1" t="s">
        <v>4</v>
      </c>
      <c r="L708" s="1" t="s">
        <v>171</v>
      </c>
      <c r="M708" s="1">
        <f>[1]!orders[[#This Row],[Ship Date]]-[1]!orders[[#This Row],[Order Date]]</f>
        <v>2</v>
      </c>
      <c r="N708" s="1">
        <f>WEEKNUM([1]!orders[[#This Row],[Order Date]])</f>
        <v>5</v>
      </c>
      <c r="O708" t="str" cm="1">
        <f t="array" ref="O708">_xlfn.IFS([1]!orders[[#This Row],[Customer Gender]]="M","Male", [1]!orders[[#This Row],[Customer Gender]]="F","Female", [1]!orders[[#This Row],[Customer Gender]]="O","Other", TRUE,"Unknown")</f>
        <v>Male</v>
      </c>
    </row>
    <row r="709" spans="1:15" x14ac:dyDescent="0.25">
      <c r="A709" t="s">
        <v>786</v>
      </c>
      <c r="B709" t="s">
        <v>24</v>
      </c>
      <c r="C709">
        <v>1</v>
      </c>
      <c r="D709">
        <v>57.6</v>
      </c>
      <c r="E709">
        <v>57.6</v>
      </c>
      <c r="F709" s="3">
        <v>45688</v>
      </c>
      <c r="G709" s="3">
        <v>45693</v>
      </c>
      <c r="H709" t="s">
        <v>8</v>
      </c>
      <c r="I709" t="s">
        <v>3</v>
      </c>
      <c r="J709">
        <v>5</v>
      </c>
      <c r="K709" t="s">
        <v>4</v>
      </c>
      <c r="L709" t="s">
        <v>787</v>
      </c>
      <c r="M709">
        <f>[1]!orders[[#This Row],[Ship Date]]-[1]!orders[[#This Row],[Order Date]]</f>
        <v>5</v>
      </c>
      <c r="N709">
        <f>WEEKNUM([1]!orders[[#This Row],[Order Date]])</f>
        <v>5</v>
      </c>
      <c r="O709" t="str" cm="1">
        <f t="array" ref="O709">_xlfn.IFS([1]!orders[[#This Row],[Customer Gender]]="M","Male", [1]!orders[[#This Row],[Customer Gender]]="F","Female", [1]!orders[[#This Row],[Customer Gender]]="O","Other", TRUE,"Unknown")</f>
        <v>Male</v>
      </c>
    </row>
    <row r="710" spans="1:15" x14ac:dyDescent="0.25">
      <c r="A710" s="1" t="s">
        <v>788</v>
      </c>
      <c r="B710" s="1" t="s">
        <v>29</v>
      </c>
      <c r="C710" s="1">
        <v>10</v>
      </c>
      <c r="D710" s="1">
        <v>59.7</v>
      </c>
      <c r="E710" s="1">
        <v>597</v>
      </c>
      <c r="F710" s="2">
        <v>45688</v>
      </c>
      <c r="G710" s="2">
        <v>45692</v>
      </c>
      <c r="H710" s="1" t="s">
        <v>8</v>
      </c>
      <c r="I710" s="1" t="s">
        <v>25</v>
      </c>
      <c r="J710" s="1">
        <v>4</v>
      </c>
      <c r="K710" s="1" t="s">
        <v>4</v>
      </c>
      <c r="L710" s="1" t="s">
        <v>173</v>
      </c>
      <c r="M710" s="1">
        <f>[1]!orders[[#This Row],[Ship Date]]-[1]!orders[[#This Row],[Order Date]]</f>
        <v>4</v>
      </c>
      <c r="N710" s="1">
        <f>WEEKNUM([1]!orders[[#This Row],[Order Date]])</f>
        <v>5</v>
      </c>
      <c r="O710" t="str" cm="1">
        <f t="array" ref="O710">_xlfn.IFS([1]!orders[[#This Row],[Customer Gender]]="M","Male", [1]!orders[[#This Row],[Customer Gender]]="F","Female", [1]!orders[[#This Row],[Customer Gender]]="O","Other", TRUE,"Unknown")</f>
        <v>Male</v>
      </c>
    </row>
    <row r="711" spans="1:15" x14ac:dyDescent="0.25">
      <c r="A711" t="s">
        <v>789</v>
      </c>
      <c r="B711" t="s">
        <v>29</v>
      </c>
      <c r="C711">
        <v>5</v>
      </c>
      <c r="D711">
        <v>30</v>
      </c>
      <c r="E711">
        <v>150</v>
      </c>
      <c r="F711" s="3">
        <v>45688</v>
      </c>
      <c r="G711" s="3">
        <v>45690</v>
      </c>
      <c r="H711" t="s">
        <v>8</v>
      </c>
      <c r="I711" t="s">
        <v>20</v>
      </c>
      <c r="J711">
        <v>4</v>
      </c>
      <c r="K711" t="s">
        <v>4</v>
      </c>
      <c r="L711" t="s">
        <v>40</v>
      </c>
      <c r="M711">
        <f>[1]!orders[[#This Row],[Ship Date]]-[1]!orders[[#This Row],[Order Date]]</f>
        <v>2</v>
      </c>
      <c r="N711">
        <f>WEEKNUM([1]!orders[[#This Row],[Order Date]])</f>
        <v>5</v>
      </c>
      <c r="O711" t="str" cm="1">
        <f t="array" ref="O711">_xlfn.IFS([1]!orders[[#This Row],[Customer Gender]]="M","Male", [1]!orders[[#This Row],[Customer Gender]]="F","Female", [1]!orders[[#This Row],[Customer Gender]]="O","Other", TRUE,"Unknown")</f>
        <v>Male</v>
      </c>
    </row>
    <row r="712" spans="1:15" x14ac:dyDescent="0.25">
      <c r="A712" s="1" t="s">
        <v>790</v>
      </c>
      <c r="B712" s="1" t="s">
        <v>39</v>
      </c>
      <c r="C712" s="1">
        <v>2</v>
      </c>
      <c r="D712" s="1">
        <v>69.2</v>
      </c>
      <c r="E712" s="1">
        <v>138.4</v>
      </c>
      <c r="F712" s="2">
        <v>45688</v>
      </c>
      <c r="G712" s="2">
        <v>45690</v>
      </c>
      <c r="H712" s="1" t="s">
        <v>2</v>
      </c>
      <c r="I712" s="1" t="s">
        <v>25</v>
      </c>
      <c r="J712" s="1">
        <v>3</v>
      </c>
      <c r="K712" s="1" t="s">
        <v>4</v>
      </c>
      <c r="L712" s="1" t="s">
        <v>40</v>
      </c>
      <c r="M712" s="1">
        <f>[1]!orders[[#This Row],[Ship Date]]-[1]!orders[[#This Row],[Order Date]]</f>
        <v>2</v>
      </c>
      <c r="N712" s="1">
        <f>WEEKNUM([1]!orders[[#This Row],[Order Date]])</f>
        <v>5</v>
      </c>
      <c r="O712" t="str" cm="1">
        <f t="array" ref="O712">_xlfn.IFS([1]!orders[[#This Row],[Customer Gender]]="M","Male", [1]!orders[[#This Row],[Customer Gender]]="F","Female", [1]!orders[[#This Row],[Customer Gender]]="O","Other", TRUE,"Unknown")</f>
        <v>Unknown</v>
      </c>
    </row>
    <row r="713" spans="1:15" x14ac:dyDescent="0.25">
      <c r="A713" t="s">
        <v>791</v>
      </c>
      <c r="B713" t="s">
        <v>1</v>
      </c>
      <c r="C713">
        <v>8</v>
      </c>
      <c r="D713">
        <v>10.9</v>
      </c>
      <c r="E713">
        <v>87.2</v>
      </c>
      <c r="F713" s="3">
        <v>45688</v>
      </c>
      <c r="G713" s="3">
        <v>45689</v>
      </c>
      <c r="H713" t="s">
        <v>12</v>
      </c>
      <c r="I713" t="s">
        <v>3</v>
      </c>
      <c r="J713">
        <v>5</v>
      </c>
      <c r="K713" t="s">
        <v>4</v>
      </c>
      <c r="L713" t="s">
        <v>40</v>
      </c>
      <c r="M713">
        <f>[1]!orders[[#This Row],[Ship Date]]-[1]!orders[[#This Row],[Order Date]]</f>
        <v>1</v>
      </c>
      <c r="N713">
        <f>WEEKNUM([1]!orders[[#This Row],[Order Date]])</f>
        <v>5</v>
      </c>
      <c r="O713" t="str" cm="1">
        <f t="array" ref="O713">_xlfn.IFS([1]!orders[[#This Row],[Customer Gender]]="M","Male", [1]!orders[[#This Row],[Customer Gender]]="F","Female", [1]!orders[[#This Row],[Customer Gender]]="O","Other", TRUE,"Unknown")</f>
        <v>Female</v>
      </c>
    </row>
    <row r="714" spans="1:15" x14ac:dyDescent="0.25">
      <c r="A714" s="1" t="s">
        <v>792</v>
      </c>
      <c r="B714" s="1" t="s">
        <v>113</v>
      </c>
      <c r="C714" s="1">
        <v>2</v>
      </c>
      <c r="D714" s="1">
        <v>48.6</v>
      </c>
      <c r="E714" s="1">
        <v>97.2</v>
      </c>
      <c r="F714" s="2">
        <v>45688</v>
      </c>
      <c r="G714" s="2">
        <v>45692</v>
      </c>
      <c r="H714" s="1" t="s">
        <v>8</v>
      </c>
      <c r="I714" s="1" t="s">
        <v>20</v>
      </c>
      <c r="J714" s="1">
        <v>5</v>
      </c>
      <c r="K714" s="1" t="s">
        <v>4</v>
      </c>
      <c r="L714" s="1" t="s">
        <v>40</v>
      </c>
      <c r="M714" s="1">
        <f>[1]!orders[[#This Row],[Ship Date]]-[1]!orders[[#This Row],[Order Date]]</f>
        <v>4</v>
      </c>
      <c r="N714" s="1">
        <f>WEEKNUM([1]!orders[[#This Row],[Order Date]])</f>
        <v>5</v>
      </c>
      <c r="O714" t="str" cm="1">
        <f t="array" ref="O714">_xlfn.IFS([1]!orders[[#This Row],[Customer Gender]]="M","Male", [1]!orders[[#This Row],[Customer Gender]]="F","Female", [1]!orders[[#This Row],[Customer Gender]]="O","Other", TRUE,"Unknown")</f>
        <v>Male</v>
      </c>
    </row>
    <row r="715" spans="1:15" x14ac:dyDescent="0.25">
      <c r="A715" t="s">
        <v>793</v>
      </c>
      <c r="B715" t="s">
        <v>11</v>
      </c>
      <c r="C715">
        <v>2</v>
      </c>
      <c r="D715">
        <v>61.1</v>
      </c>
      <c r="E715">
        <v>122.2</v>
      </c>
      <c r="F715" s="3">
        <v>45688</v>
      </c>
      <c r="G715" s="3">
        <v>45691</v>
      </c>
      <c r="H715" t="s">
        <v>12</v>
      </c>
      <c r="I715" t="s">
        <v>20</v>
      </c>
      <c r="J715">
        <v>5</v>
      </c>
      <c r="K715" t="s">
        <v>4</v>
      </c>
      <c r="L715" t="s">
        <v>44</v>
      </c>
      <c r="M715">
        <f>[1]!orders[[#This Row],[Ship Date]]-[1]!orders[[#This Row],[Order Date]]</f>
        <v>3</v>
      </c>
      <c r="N715">
        <f>WEEKNUM([1]!orders[[#This Row],[Order Date]])</f>
        <v>5</v>
      </c>
      <c r="O715" t="str" cm="1">
        <f t="array" ref="O715">_xlfn.IFS([1]!orders[[#This Row],[Customer Gender]]="M","Male", [1]!orders[[#This Row],[Customer Gender]]="F","Female", [1]!orders[[#This Row],[Customer Gender]]="O","Other", TRUE,"Unknown")</f>
        <v>Female</v>
      </c>
    </row>
    <row r="716" spans="1:15" x14ac:dyDescent="0.25">
      <c r="A716" s="1" t="s">
        <v>794</v>
      </c>
      <c r="B716" s="1" t="s">
        <v>29</v>
      </c>
      <c r="C716" s="1">
        <v>2</v>
      </c>
      <c r="D716" s="1">
        <v>23.2</v>
      </c>
      <c r="E716" s="1">
        <v>46.4</v>
      </c>
      <c r="F716" s="2">
        <v>45688</v>
      </c>
      <c r="G716" s="2">
        <v>45689</v>
      </c>
      <c r="H716" s="1" t="s">
        <v>8</v>
      </c>
      <c r="I716" s="1" t="s">
        <v>36</v>
      </c>
      <c r="J716" s="1">
        <v>5</v>
      </c>
      <c r="K716" s="1" t="s">
        <v>4</v>
      </c>
      <c r="L716" s="1" t="s">
        <v>47</v>
      </c>
      <c r="M716" s="1">
        <f>[1]!orders[[#This Row],[Ship Date]]-[1]!orders[[#This Row],[Order Date]]</f>
        <v>1</v>
      </c>
      <c r="N716" s="1">
        <f>WEEKNUM([1]!orders[[#This Row],[Order Date]])</f>
        <v>5</v>
      </c>
      <c r="O716" t="str" cm="1">
        <f t="array" ref="O716">_xlfn.IFS([1]!orders[[#This Row],[Customer Gender]]="M","Male", [1]!orders[[#This Row],[Customer Gender]]="F","Female", [1]!orders[[#This Row],[Customer Gender]]="O","Other", TRUE,"Unknown")</f>
        <v>Male</v>
      </c>
    </row>
    <row r="717" spans="1:15" x14ac:dyDescent="0.25">
      <c r="A717" t="s">
        <v>795</v>
      </c>
      <c r="B717" t="s">
        <v>54</v>
      </c>
      <c r="C717">
        <v>4</v>
      </c>
      <c r="D717">
        <v>55.8</v>
      </c>
      <c r="E717">
        <v>223.2</v>
      </c>
      <c r="F717" s="3">
        <v>45688</v>
      </c>
      <c r="G717" s="3">
        <v>45689</v>
      </c>
      <c r="H717" t="s">
        <v>8</v>
      </c>
      <c r="I717" t="s">
        <v>3</v>
      </c>
      <c r="J717">
        <v>4</v>
      </c>
      <c r="K717" t="s">
        <v>4</v>
      </c>
      <c r="L717" t="s">
        <v>47</v>
      </c>
      <c r="M717">
        <f>[1]!orders[[#This Row],[Ship Date]]-[1]!orders[[#This Row],[Order Date]]</f>
        <v>1</v>
      </c>
      <c r="N717">
        <f>WEEKNUM([1]!orders[[#This Row],[Order Date]])</f>
        <v>5</v>
      </c>
      <c r="O717" t="str" cm="1">
        <f t="array" ref="O717">_xlfn.IFS([1]!orders[[#This Row],[Customer Gender]]="M","Male", [1]!orders[[#This Row],[Customer Gender]]="F","Female", [1]!orders[[#This Row],[Customer Gender]]="O","Other", TRUE,"Unknown")</f>
        <v>Male</v>
      </c>
    </row>
    <row r="718" spans="1:15" x14ac:dyDescent="0.25">
      <c r="A718" s="1" t="s">
        <v>796</v>
      </c>
      <c r="B718" s="1" t="s">
        <v>31</v>
      </c>
      <c r="C718" s="1">
        <v>4</v>
      </c>
      <c r="D718" s="1">
        <v>24.8</v>
      </c>
      <c r="E718" s="1">
        <v>99.2</v>
      </c>
      <c r="F718" s="2">
        <v>45688</v>
      </c>
      <c r="G718" s="2">
        <v>45689</v>
      </c>
      <c r="H718" s="1" t="s">
        <v>12</v>
      </c>
      <c r="I718" s="1" t="s">
        <v>3</v>
      </c>
      <c r="J718" s="1">
        <v>5</v>
      </c>
      <c r="K718" s="1" t="s">
        <v>4</v>
      </c>
      <c r="L718" s="1" t="s">
        <v>47</v>
      </c>
      <c r="M718" s="1">
        <f>[1]!orders[[#This Row],[Ship Date]]-[1]!orders[[#This Row],[Order Date]]</f>
        <v>1</v>
      </c>
      <c r="N718" s="1">
        <f>WEEKNUM([1]!orders[[#This Row],[Order Date]])</f>
        <v>5</v>
      </c>
      <c r="O718" t="str" cm="1">
        <f t="array" ref="O718">_xlfn.IFS([1]!orders[[#This Row],[Customer Gender]]="M","Male", [1]!orders[[#This Row],[Customer Gender]]="F","Female", [1]!orders[[#This Row],[Customer Gender]]="O","Other", TRUE,"Unknown")</f>
        <v>Female</v>
      </c>
    </row>
    <row r="719" spans="1:15" x14ac:dyDescent="0.25">
      <c r="A719" t="s">
        <v>797</v>
      </c>
      <c r="B719" t="s">
        <v>39</v>
      </c>
      <c r="C719">
        <v>2</v>
      </c>
      <c r="D719">
        <v>27.9</v>
      </c>
      <c r="E719">
        <v>55.8</v>
      </c>
      <c r="F719" s="3">
        <v>45688</v>
      </c>
      <c r="G719" s="3">
        <v>45688</v>
      </c>
      <c r="H719" t="s">
        <v>8</v>
      </c>
      <c r="I719" t="s">
        <v>25</v>
      </c>
      <c r="J719">
        <v>5</v>
      </c>
      <c r="K719" t="s">
        <v>4</v>
      </c>
      <c r="L719" t="s">
        <v>47</v>
      </c>
      <c r="M719">
        <f>[1]!orders[[#This Row],[Ship Date]]-[1]!orders[[#This Row],[Order Date]]</f>
        <v>0</v>
      </c>
      <c r="N719">
        <f>WEEKNUM([1]!orders[[#This Row],[Order Date]])</f>
        <v>5</v>
      </c>
      <c r="O719" t="str" cm="1">
        <f t="array" ref="O719">_xlfn.IFS([1]!orders[[#This Row],[Customer Gender]]="M","Male", [1]!orders[[#This Row],[Customer Gender]]="F","Female", [1]!orders[[#This Row],[Customer Gender]]="O","Other", TRUE,"Unknown")</f>
        <v>Male</v>
      </c>
    </row>
    <row r="720" spans="1:15" x14ac:dyDescent="0.25">
      <c r="A720" s="1" t="s">
        <v>798</v>
      </c>
      <c r="B720" s="1" t="s">
        <v>39</v>
      </c>
      <c r="C720" s="1">
        <v>6</v>
      </c>
      <c r="D720" s="1">
        <v>51.1</v>
      </c>
      <c r="E720" s="1">
        <v>306.60000000000002</v>
      </c>
      <c r="F720" s="2">
        <v>45688</v>
      </c>
      <c r="G720" s="2">
        <v>45688</v>
      </c>
      <c r="H720" s="1" t="s">
        <v>12</v>
      </c>
      <c r="I720" s="1" t="s">
        <v>36</v>
      </c>
      <c r="J720" s="1">
        <v>4</v>
      </c>
      <c r="K720" s="1" t="s">
        <v>4</v>
      </c>
      <c r="L720" s="1" t="s">
        <v>47</v>
      </c>
      <c r="M720" s="1">
        <f>[1]!orders[[#This Row],[Ship Date]]-[1]!orders[[#This Row],[Order Date]]</f>
        <v>0</v>
      </c>
      <c r="N720" s="1">
        <f>WEEKNUM([1]!orders[[#This Row],[Order Date]])</f>
        <v>5</v>
      </c>
      <c r="O720" t="str" cm="1">
        <f t="array" ref="O720">_xlfn.IFS([1]!orders[[#This Row],[Customer Gender]]="M","Male", [1]!orders[[#This Row],[Customer Gender]]="F","Female", [1]!orders[[#This Row],[Customer Gender]]="O","Other", TRUE,"Unknown")</f>
        <v>Female</v>
      </c>
    </row>
    <row r="721" spans="1:15" x14ac:dyDescent="0.25">
      <c r="A721" t="s">
        <v>799</v>
      </c>
      <c r="B721" t="s">
        <v>120</v>
      </c>
      <c r="C721">
        <v>11</v>
      </c>
      <c r="D721">
        <v>32.700000000000003</v>
      </c>
      <c r="E721">
        <v>359.70000000000005</v>
      </c>
      <c r="F721" s="3">
        <v>45688</v>
      </c>
      <c r="G721" s="3">
        <v>45689</v>
      </c>
      <c r="H721" t="s">
        <v>8</v>
      </c>
      <c r="I721" t="s">
        <v>55</v>
      </c>
      <c r="J721">
        <v>5</v>
      </c>
      <c r="K721" t="s">
        <v>4</v>
      </c>
      <c r="L721" t="s">
        <v>88</v>
      </c>
      <c r="M721">
        <f>[1]!orders[[#This Row],[Ship Date]]-[1]!orders[[#This Row],[Order Date]]</f>
        <v>1</v>
      </c>
      <c r="N721">
        <f>WEEKNUM([1]!orders[[#This Row],[Order Date]])</f>
        <v>5</v>
      </c>
      <c r="O721" t="str" cm="1">
        <f t="array" ref="O721">_xlfn.IFS([1]!orders[[#This Row],[Customer Gender]]="M","Male", [1]!orders[[#This Row],[Customer Gender]]="F","Female", [1]!orders[[#This Row],[Customer Gender]]="O","Other", TRUE,"Unknown")</f>
        <v>Male</v>
      </c>
    </row>
    <row r="722" spans="1:15" x14ac:dyDescent="0.25">
      <c r="A722" s="1" t="s">
        <v>800</v>
      </c>
      <c r="B722" s="1" t="s">
        <v>29</v>
      </c>
      <c r="C722" s="1">
        <v>4</v>
      </c>
      <c r="D722" s="1">
        <v>22.5</v>
      </c>
      <c r="E722" s="1">
        <v>90</v>
      </c>
      <c r="F722" s="2">
        <v>45688</v>
      </c>
      <c r="G722" s="2">
        <v>45688</v>
      </c>
      <c r="H722" s="1" t="s">
        <v>8</v>
      </c>
      <c r="I722" s="1" t="s">
        <v>3</v>
      </c>
      <c r="J722" s="1">
        <v>5</v>
      </c>
      <c r="K722" s="1" t="s">
        <v>4</v>
      </c>
      <c r="L722" s="1" t="s">
        <v>186</v>
      </c>
      <c r="M722" s="1">
        <f>[1]!orders[[#This Row],[Ship Date]]-[1]!orders[[#This Row],[Order Date]]</f>
        <v>0</v>
      </c>
      <c r="N722" s="1">
        <f>WEEKNUM([1]!orders[[#This Row],[Order Date]])</f>
        <v>5</v>
      </c>
      <c r="O722" t="str" cm="1">
        <f t="array" ref="O722">_xlfn.IFS([1]!orders[[#This Row],[Customer Gender]]="M","Male", [1]!orders[[#This Row],[Customer Gender]]="F","Female", [1]!orders[[#This Row],[Customer Gender]]="O","Other", TRUE,"Unknown")</f>
        <v>Male</v>
      </c>
    </row>
    <row r="723" spans="1:15" x14ac:dyDescent="0.25">
      <c r="A723" t="s">
        <v>801</v>
      </c>
      <c r="B723" t="s">
        <v>1</v>
      </c>
      <c r="C723">
        <v>7</v>
      </c>
      <c r="D723">
        <v>14.6</v>
      </c>
      <c r="E723">
        <v>102.2</v>
      </c>
      <c r="F723" s="3">
        <v>45688</v>
      </c>
      <c r="G723" s="3">
        <v>45689</v>
      </c>
      <c r="H723" t="s">
        <v>12</v>
      </c>
      <c r="I723" t="s">
        <v>25</v>
      </c>
      <c r="J723">
        <v>4</v>
      </c>
      <c r="K723" t="s">
        <v>4</v>
      </c>
      <c r="L723" t="s">
        <v>414</v>
      </c>
      <c r="M723">
        <f>[1]!orders[[#This Row],[Ship Date]]-[1]!orders[[#This Row],[Order Date]]</f>
        <v>1</v>
      </c>
      <c r="N723">
        <f>WEEKNUM([1]!orders[[#This Row],[Order Date]])</f>
        <v>5</v>
      </c>
      <c r="O723" t="str" cm="1">
        <f t="array" ref="O723">_xlfn.IFS([1]!orders[[#This Row],[Customer Gender]]="M","Male", [1]!orders[[#This Row],[Customer Gender]]="F","Female", [1]!orders[[#This Row],[Customer Gender]]="O","Other", TRUE,"Unknown")</f>
        <v>Female</v>
      </c>
    </row>
    <row r="724" spans="1:15" x14ac:dyDescent="0.25">
      <c r="A724" s="1" t="s">
        <v>802</v>
      </c>
      <c r="B724" s="1" t="s">
        <v>22</v>
      </c>
      <c r="C724" s="1">
        <v>3</v>
      </c>
      <c r="D724" s="1">
        <v>32.5</v>
      </c>
      <c r="E724" s="1">
        <v>97.5</v>
      </c>
      <c r="F724" s="2">
        <v>45688</v>
      </c>
      <c r="G724" s="2">
        <v>45691</v>
      </c>
      <c r="H724" s="1" t="s">
        <v>8</v>
      </c>
      <c r="I724" s="1" t="s">
        <v>3</v>
      </c>
      <c r="J724" s="1">
        <v>4</v>
      </c>
      <c r="K724" s="1" t="s">
        <v>4</v>
      </c>
      <c r="L724" s="1" t="s">
        <v>59</v>
      </c>
      <c r="M724" s="1">
        <f>[1]!orders[[#This Row],[Ship Date]]-[1]!orders[[#This Row],[Order Date]]</f>
        <v>3</v>
      </c>
      <c r="N724" s="1">
        <f>WEEKNUM([1]!orders[[#This Row],[Order Date]])</f>
        <v>5</v>
      </c>
      <c r="O724" t="str" cm="1">
        <f t="array" ref="O724">_xlfn.IFS([1]!orders[[#This Row],[Customer Gender]]="M","Male", [1]!orders[[#This Row],[Customer Gender]]="F","Female", [1]!orders[[#This Row],[Customer Gender]]="O","Other", TRUE,"Unknown")</f>
        <v>Male</v>
      </c>
    </row>
    <row r="725" spans="1:15" x14ac:dyDescent="0.25">
      <c r="A725" t="s">
        <v>803</v>
      </c>
      <c r="B725" t="s">
        <v>131</v>
      </c>
      <c r="C725">
        <v>1</v>
      </c>
      <c r="D725">
        <v>78.099999999999994</v>
      </c>
      <c r="E725">
        <v>78.099999999999994</v>
      </c>
      <c r="F725" s="3">
        <v>45688</v>
      </c>
      <c r="G725" s="3">
        <v>45691</v>
      </c>
      <c r="H725" t="s">
        <v>8</v>
      </c>
      <c r="I725" t="s">
        <v>3</v>
      </c>
      <c r="J725">
        <v>5</v>
      </c>
      <c r="K725" t="s">
        <v>4</v>
      </c>
      <c r="L725" t="s">
        <v>62</v>
      </c>
      <c r="M725">
        <f>[1]!orders[[#This Row],[Ship Date]]-[1]!orders[[#This Row],[Order Date]]</f>
        <v>3</v>
      </c>
      <c r="N725">
        <f>WEEKNUM([1]!orders[[#This Row],[Order Date]])</f>
        <v>5</v>
      </c>
      <c r="O725" t="str" cm="1">
        <f t="array" ref="O725">_xlfn.IFS([1]!orders[[#This Row],[Customer Gender]]="M","Male", [1]!orders[[#This Row],[Customer Gender]]="F","Female", [1]!orders[[#This Row],[Customer Gender]]="O","Other", TRUE,"Unknown")</f>
        <v>Male</v>
      </c>
    </row>
    <row r="726" spans="1:15" x14ac:dyDescent="0.25">
      <c r="A726" s="1" t="s">
        <v>804</v>
      </c>
      <c r="B726" s="1" t="s">
        <v>54</v>
      </c>
      <c r="C726" s="1">
        <v>6</v>
      </c>
      <c r="D726" s="1">
        <v>110.2</v>
      </c>
      <c r="E726" s="1">
        <v>661.2</v>
      </c>
      <c r="F726" s="2">
        <v>45688</v>
      </c>
      <c r="G726" s="2">
        <v>45688</v>
      </c>
      <c r="H726" s="1" t="s">
        <v>8</v>
      </c>
      <c r="I726" s="1" t="s">
        <v>20</v>
      </c>
      <c r="J726" s="1">
        <v>2</v>
      </c>
      <c r="K726" s="1" t="s">
        <v>4</v>
      </c>
      <c r="L726" s="1" t="s">
        <v>67</v>
      </c>
      <c r="M726" s="1">
        <f>[1]!orders[[#This Row],[Ship Date]]-[1]!orders[[#This Row],[Order Date]]</f>
        <v>0</v>
      </c>
      <c r="N726" s="1">
        <f>WEEKNUM([1]!orders[[#This Row],[Order Date]])</f>
        <v>5</v>
      </c>
      <c r="O726" t="str" cm="1">
        <f t="array" ref="O726">_xlfn.IFS([1]!orders[[#This Row],[Customer Gender]]="M","Male", [1]!orders[[#This Row],[Customer Gender]]="F","Female", [1]!orders[[#This Row],[Customer Gender]]="O","Other", TRUE,"Unknown")</f>
        <v>Male</v>
      </c>
    </row>
    <row r="727" spans="1:15" x14ac:dyDescent="0.25">
      <c r="A727" t="s">
        <v>805</v>
      </c>
      <c r="B727" t="s">
        <v>24</v>
      </c>
      <c r="C727">
        <v>3</v>
      </c>
      <c r="D727">
        <v>86.3</v>
      </c>
      <c r="E727">
        <v>258.89999999999998</v>
      </c>
      <c r="F727" s="3">
        <v>45688</v>
      </c>
      <c r="G727" s="3">
        <v>45690</v>
      </c>
      <c r="H727" t="s">
        <v>12</v>
      </c>
      <c r="I727" t="s">
        <v>36</v>
      </c>
      <c r="J727">
        <v>4</v>
      </c>
      <c r="K727" t="s">
        <v>4</v>
      </c>
      <c r="L727" t="s">
        <v>100</v>
      </c>
      <c r="M727">
        <f>[1]!orders[[#This Row],[Ship Date]]-[1]!orders[[#This Row],[Order Date]]</f>
        <v>2</v>
      </c>
      <c r="N727">
        <f>WEEKNUM([1]!orders[[#This Row],[Order Date]])</f>
        <v>5</v>
      </c>
      <c r="O727" t="str" cm="1">
        <f t="array" ref="O727">_xlfn.IFS([1]!orders[[#This Row],[Customer Gender]]="M","Male", [1]!orders[[#This Row],[Customer Gender]]="F","Female", [1]!orders[[#This Row],[Customer Gender]]="O","Other", TRUE,"Unknown")</f>
        <v>Female</v>
      </c>
    </row>
    <row r="728" spans="1:15" x14ac:dyDescent="0.25">
      <c r="A728" s="1" t="s">
        <v>806</v>
      </c>
      <c r="B728" s="1" t="s">
        <v>7</v>
      </c>
      <c r="C728" s="1">
        <v>6</v>
      </c>
      <c r="D728" s="1">
        <v>73.599999999999994</v>
      </c>
      <c r="E728" s="1">
        <v>441.59999999999997</v>
      </c>
      <c r="F728" s="2">
        <v>45688</v>
      </c>
      <c r="G728" s="2">
        <v>45690</v>
      </c>
      <c r="H728" s="1" t="s">
        <v>74</v>
      </c>
      <c r="I728" s="1" t="s">
        <v>36</v>
      </c>
      <c r="J728" s="1">
        <v>2</v>
      </c>
      <c r="K728" s="1" t="s">
        <v>4</v>
      </c>
      <c r="L728" s="1" t="s">
        <v>572</v>
      </c>
      <c r="M728" s="1">
        <f>[1]!orders[[#This Row],[Ship Date]]-[1]!orders[[#This Row],[Order Date]]</f>
        <v>2</v>
      </c>
      <c r="N728" s="1">
        <f>WEEKNUM([1]!orders[[#This Row],[Order Date]])</f>
        <v>5</v>
      </c>
      <c r="O728" t="str" cm="1">
        <f t="array" ref="O728">_xlfn.IFS([1]!orders[[#This Row],[Customer Gender]]="M","Male", [1]!orders[[#This Row],[Customer Gender]]="F","Female", [1]!orders[[#This Row],[Customer Gender]]="O","Other", TRUE,"Unknown")</f>
        <v>Other</v>
      </c>
    </row>
    <row r="729" spans="1:15" x14ac:dyDescent="0.25">
      <c r="A729" t="s">
        <v>807</v>
      </c>
      <c r="B729" t="s">
        <v>24</v>
      </c>
      <c r="C729">
        <v>13</v>
      </c>
      <c r="D729">
        <v>67.7</v>
      </c>
      <c r="E729">
        <v>880.1</v>
      </c>
      <c r="F729" s="3">
        <v>45688</v>
      </c>
      <c r="G729" s="3">
        <v>45690</v>
      </c>
      <c r="H729" t="s">
        <v>12</v>
      </c>
      <c r="I729" t="s">
        <v>3</v>
      </c>
      <c r="J729">
        <v>5</v>
      </c>
      <c r="K729" t="s">
        <v>4</v>
      </c>
      <c r="L729" t="s">
        <v>18</v>
      </c>
      <c r="M729">
        <f>[1]!orders[[#This Row],[Ship Date]]-[1]!orders[[#This Row],[Order Date]]</f>
        <v>2</v>
      </c>
      <c r="N729">
        <f>WEEKNUM([1]!orders[[#This Row],[Order Date]])</f>
        <v>5</v>
      </c>
      <c r="O729" t="str" cm="1">
        <f t="array" ref="O729">_xlfn.IFS([1]!orders[[#This Row],[Customer Gender]]="M","Male", [1]!orders[[#This Row],[Customer Gender]]="F","Female", [1]!orders[[#This Row],[Customer Gender]]="O","Other", TRUE,"Unknown")</f>
        <v>Female</v>
      </c>
    </row>
    <row r="730" spans="1:15" x14ac:dyDescent="0.25">
      <c r="A730" s="1" t="s">
        <v>808</v>
      </c>
      <c r="B730" s="1" t="s">
        <v>27</v>
      </c>
      <c r="C730" s="1">
        <v>6</v>
      </c>
      <c r="D730" s="1">
        <v>142.19999999999999</v>
      </c>
      <c r="E730" s="1">
        <v>853.19999999999993</v>
      </c>
      <c r="F730" s="2">
        <v>45688</v>
      </c>
      <c r="G730" s="2">
        <v>45689</v>
      </c>
      <c r="H730" s="1" t="s">
        <v>12</v>
      </c>
      <c r="I730" s="1" t="s">
        <v>25</v>
      </c>
      <c r="J730" s="1">
        <v>2</v>
      </c>
      <c r="K730" s="1" t="s">
        <v>4</v>
      </c>
      <c r="L730" s="1" t="s">
        <v>18</v>
      </c>
      <c r="M730" s="1">
        <f>[1]!orders[[#This Row],[Ship Date]]-[1]!orders[[#This Row],[Order Date]]</f>
        <v>1</v>
      </c>
      <c r="N730" s="1">
        <f>WEEKNUM([1]!orders[[#This Row],[Order Date]])</f>
        <v>5</v>
      </c>
      <c r="O730" t="str" cm="1">
        <f t="array" ref="O730">_xlfn.IFS([1]!orders[[#This Row],[Customer Gender]]="M","Male", [1]!orders[[#This Row],[Customer Gender]]="F","Female", [1]!orders[[#This Row],[Customer Gender]]="O","Other", TRUE,"Unknown")</f>
        <v>Female</v>
      </c>
    </row>
    <row r="731" spans="1:15" x14ac:dyDescent="0.25">
      <c r="A731" t="s">
        <v>809</v>
      </c>
      <c r="B731" t="s">
        <v>7</v>
      </c>
      <c r="C731">
        <v>9</v>
      </c>
      <c r="D731">
        <v>45.8</v>
      </c>
      <c r="E731">
        <v>412.2</v>
      </c>
      <c r="F731" s="3">
        <v>45688</v>
      </c>
      <c r="G731" s="3">
        <v>45690</v>
      </c>
      <c r="H731" t="s">
        <v>12</v>
      </c>
      <c r="I731" t="s">
        <v>20</v>
      </c>
      <c r="J731">
        <v>5</v>
      </c>
      <c r="K731" t="s">
        <v>4</v>
      </c>
      <c r="L731" t="s">
        <v>18</v>
      </c>
      <c r="M731">
        <f>[1]!orders[[#This Row],[Ship Date]]-[1]!orders[[#This Row],[Order Date]]</f>
        <v>2</v>
      </c>
      <c r="N731">
        <f>WEEKNUM([1]!orders[[#This Row],[Order Date]])</f>
        <v>5</v>
      </c>
      <c r="O731" t="str" cm="1">
        <f t="array" ref="O731">_xlfn.IFS([1]!orders[[#This Row],[Customer Gender]]="M","Male", [1]!orders[[#This Row],[Customer Gender]]="F","Female", [1]!orders[[#This Row],[Customer Gender]]="O","Other", TRUE,"Unknown")</f>
        <v>Female</v>
      </c>
    </row>
    <row r="732" spans="1:15" x14ac:dyDescent="0.25">
      <c r="A732" s="1" t="s">
        <v>810</v>
      </c>
      <c r="B732" s="1" t="s">
        <v>39</v>
      </c>
      <c r="C732" s="1">
        <v>2</v>
      </c>
      <c r="D732" s="1">
        <v>24.2</v>
      </c>
      <c r="E732" s="1">
        <v>48.4</v>
      </c>
      <c r="F732" s="2">
        <v>45689</v>
      </c>
      <c r="G732" s="2">
        <v>45692</v>
      </c>
      <c r="H732" s="1" t="s">
        <v>12</v>
      </c>
      <c r="I732" s="1" t="s">
        <v>36</v>
      </c>
      <c r="J732" s="1">
        <v>5</v>
      </c>
      <c r="K732" s="1" t="s">
        <v>4</v>
      </c>
      <c r="L732" s="1" t="s">
        <v>18</v>
      </c>
      <c r="M732" s="1">
        <f>[1]!orders[[#This Row],[Ship Date]]-[1]!orders[[#This Row],[Order Date]]</f>
        <v>3</v>
      </c>
      <c r="N732" s="1">
        <f>WEEKNUM([1]!orders[[#This Row],[Order Date]])</f>
        <v>5</v>
      </c>
      <c r="O732" t="str" cm="1">
        <f t="array" ref="O732">_xlfn.IFS([1]!orders[[#This Row],[Customer Gender]]="M","Male", [1]!orders[[#This Row],[Customer Gender]]="F","Female", [1]!orders[[#This Row],[Customer Gender]]="O","Other", TRUE,"Unknown")</f>
        <v>Female</v>
      </c>
    </row>
    <row r="733" spans="1:15" x14ac:dyDescent="0.25">
      <c r="A733" t="s">
        <v>811</v>
      </c>
      <c r="B733" t="s">
        <v>11</v>
      </c>
      <c r="C733">
        <v>3</v>
      </c>
      <c r="D733">
        <v>144.9</v>
      </c>
      <c r="E733">
        <v>434.70000000000005</v>
      </c>
      <c r="F733" s="3">
        <v>45689</v>
      </c>
      <c r="G733" s="3">
        <v>45690</v>
      </c>
      <c r="H733" t="s">
        <v>74</v>
      </c>
      <c r="I733" t="s">
        <v>25</v>
      </c>
      <c r="J733">
        <v>5</v>
      </c>
      <c r="K733" t="s">
        <v>4</v>
      </c>
      <c r="L733" t="s">
        <v>18</v>
      </c>
      <c r="M733">
        <f>[1]!orders[[#This Row],[Ship Date]]-[1]!orders[[#This Row],[Order Date]]</f>
        <v>1</v>
      </c>
      <c r="N733">
        <f>WEEKNUM([1]!orders[[#This Row],[Order Date]])</f>
        <v>5</v>
      </c>
      <c r="O733" t="str" cm="1">
        <f t="array" ref="O733">_xlfn.IFS([1]!orders[[#This Row],[Customer Gender]]="M","Male", [1]!orders[[#This Row],[Customer Gender]]="F","Female", [1]!orders[[#This Row],[Customer Gender]]="O","Other", TRUE,"Unknown")</f>
        <v>Other</v>
      </c>
    </row>
    <row r="734" spans="1:15" x14ac:dyDescent="0.25">
      <c r="A734" s="1" t="s">
        <v>812</v>
      </c>
      <c r="B734" s="1" t="s">
        <v>52</v>
      </c>
      <c r="C734" s="1">
        <v>5</v>
      </c>
      <c r="D734" s="1">
        <v>32.799999999999997</v>
      </c>
      <c r="E734" s="1">
        <v>164</v>
      </c>
      <c r="F734" s="2">
        <v>45689</v>
      </c>
      <c r="G734" s="2">
        <v>45692</v>
      </c>
      <c r="H734" s="1" t="s">
        <v>12</v>
      </c>
      <c r="I734" s="1" t="s">
        <v>25</v>
      </c>
      <c r="J734" s="1">
        <v>4</v>
      </c>
      <c r="K734" s="1" t="s">
        <v>4</v>
      </c>
      <c r="L734" s="1" t="s">
        <v>143</v>
      </c>
      <c r="M734" s="1">
        <f>[1]!orders[[#This Row],[Ship Date]]-[1]!orders[[#This Row],[Order Date]]</f>
        <v>3</v>
      </c>
      <c r="N734" s="1">
        <f>WEEKNUM([1]!orders[[#This Row],[Order Date]])</f>
        <v>5</v>
      </c>
      <c r="O734" t="str" cm="1">
        <f t="array" ref="O734">_xlfn.IFS([1]!orders[[#This Row],[Customer Gender]]="M","Male", [1]!orders[[#This Row],[Customer Gender]]="F","Female", [1]!orders[[#This Row],[Customer Gender]]="O","Other", TRUE,"Unknown")</f>
        <v>Female</v>
      </c>
    </row>
    <row r="735" spans="1:15" x14ac:dyDescent="0.25">
      <c r="A735" t="s">
        <v>813</v>
      </c>
      <c r="B735" t="s">
        <v>27</v>
      </c>
      <c r="C735">
        <v>10</v>
      </c>
      <c r="D735">
        <v>35.700000000000003</v>
      </c>
      <c r="E735">
        <v>357</v>
      </c>
      <c r="F735" s="3">
        <v>45689</v>
      </c>
      <c r="G735" s="3">
        <v>45689</v>
      </c>
      <c r="H735" t="s">
        <v>12</v>
      </c>
      <c r="I735" t="s">
        <v>3</v>
      </c>
      <c r="J735">
        <v>3</v>
      </c>
      <c r="K735" t="s">
        <v>4</v>
      </c>
      <c r="L735" t="s">
        <v>40</v>
      </c>
      <c r="M735">
        <f>[1]!orders[[#This Row],[Ship Date]]-[1]!orders[[#This Row],[Order Date]]</f>
        <v>0</v>
      </c>
      <c r="N735">
        <f>WEEKNUM([1]!orders[[#This Row],[Order Date]])</f>
        <v>5</v>
      </c>
      <c r="O735" t="str" cm="1">
        <f t="array" ref="O735">_xlfn.IFS([1]!orders[[#This Row],[Customer Gender]]="M","Male", [1]!orders[[#This Row],[Customer Gender]]="F","Female", [1]!orders[[#This Row],[Customer Gender]]="O","Other", TRUE,"Unknown")</f>
        <v>Female</v>
      </c>
    </row>
    <row r="736" spans="1:15" x14ac:dyDescent="0.25">
      <c r="A736" s="1" t="s">
        <v>814</v>
      </c>
      <c r="B736" s="1" t="s">
        <v>31</v>
      </c>
      <c r="C736" s="1">
        <v>2</v>
      </c>
      <c r="D736" s="1">
        <v>54.6</v>
      </c>
      <c r="E736" s="1">
        <v>109.2</v>
      </c>
      <c r="F736" s="2">
        <v>45689</v>
      </c>
      <c r="G736" s="2">
        <v>45690</v>
      </c>
      <c r="H736" s="1" t="s">
        <v>12</v>
      </c>
      <c r="I736" s="1" t="s">
        <v>25</v>
      </c>
      <c r="J736" s="1">
        <v>4</v>
      </c>
      <c r="K736" s="1" t="s">
        <v>4</v>
      </c>
      <c r="L736" s="1" t="s">
        <v>40</v>
      </c>
      <c r="M736" s="1">
        <f>[1]!orders[[#This Row],[Ship Date]]-[1]!orders[[#This Row],[Order Date]]</f>
        <v>1</v>
      </c>
      <c r="N736" s="1">
        <f>WEEKNUM([1]!orders[[#This Row],[Order Date]])</f>
        <v>5</v>
      </c>
      <c r="O736" t="str" cm="1">
        <f t="array" ref="O736">_xlfn.IFS([1]!orders[[#This Row],[Customer Gender]]="M","Male", [1]!orders[[#This Row],[Customer Gender]]="F","Female", [1]!orders[[#This Row],[Customer Gender]]="O","Other", TRUE,"Unknown")</f>
        <v>Female</v>
      </c>
    </row>
    <row r="737" spans="1:15" x14ac:dyDescent="0.25">
      <c r="A737" t="s">
        <v>815</v>
      </c>
      <c r="B737" t="s">
        <v>29</v>
      </c>
      <c r="C737">
        <v>2</v>
      </c>
      <c r="D737">
        <v>35.700000000000003</v>
      </c>
      <c r="E737">
        <v>71.400000000000006</v>
      </c>
      <c r="F737" s="3">
        <v>45689</v>
      </c>
      <c r="G737" s="3">
        <v>45692</v>
      </c>
      <c r="H737" t="s">
        <v>2</v>
      </c>
      <c r="I737" t="s">
        <v>3</v>
      </c>
      <c r="J737">
        <v>3</v>
      </c>
      <c r="K737" t="s">
        <v>4</v>
      </c>
      <c r="L737" t="s">
        <v>40</v>
      </c>
      <c r="M737">
        <f>[1]!orders[[#This Row],[Ship Date]]-[1]!orders[[#This Row],[Order Date]]</f>
        <v>3</v>
      </c>
      <c r="N737">
        <f>WEEKNUM([1]!orders[[#This Row],[Order Date]])</f>
        <v>5</v>
      </c>
      <c r="O737" t="str" cm="1">
        <f t="array" ref="O737">_xlfn.IFS([1]!orders[[#This Row],[Customer Gender]]="M","Male", [1]!orders[[#This Row],[Customer Gender]]="F","Female", [1]!orders[[#This Row],[Customer Gender]]="O","Other", TRUE,"Unknown")</f>
        <v>Unknown</v>
      </c>
    </row>
    <row r="738" spans="1:15" x14ac:dyDescent="0.25">
      <c r="A738" s="1" t="s">
        <v>816</v>
      </c>
      <c r="B738" s="1" t="s">
        <v>39</v>
      </c>
      <c r="C738" s="1">
        <v>2</v>
      </c>
      <c r="D738" s="1">
        <v>52.4</v>
      </c>
      <c r="E738" s="1">
        <v>104.8</v>
      </c>
      <c r="F738" s="2">
        <v>45689</v>
      </c>
      <c r="G738" s="2">
        <v>45689</v>
      </c>
      <c r="H738" s="1" t="s">
        <v>12</v>
      </c>
      <c r="I738" s="1" t="s">
        <v>3</v>
      </c>
      <c r="J738" s="1">
        <v>1</v>
      </c>
      <c r="K738" s="1" t="s">
        <v>4</v>
      </c>
      <c r="L738" s="1" t="s">
        <v>40</v>
      </c>
      <c r="M738" s="1">
        <f>[1]!orders[[#This Row],[Ship Date]]-[1]!orders[[#This Row],[Order Date]]</f>
        <v>0</v>
      </c>
      <c r="N738" s="1">
        <f>WEEKNUM([1]!orders[[#This Row],[Order Date]])</f>
        <v>5</v>
      </c>
      <c r="O738" t="str" cm="1">
        <f t="array" ref="O738">_xlfn.IFS([1]!orders[[#This Row],[Customer Gender]]="M","Male", [1]!orders[[#This Row],[Customer Gender]]="F","Female", [1]!orders[[#This Row],[Customer Gender]]="O","Other", TRUE,"Unknown")</f>
        <v>Female</v>
      </c>
    </row>
    <row r="739" spans="1:15" x14ac:dyDescent="0.25">
      <c r="A739" t="s">
        <v>817</v>
      </c>
      <c r="B739" t="s">
        <v>29</v>
      </c>
      <c r="C739">
        <v>14</v>
      </c>
      <c r="D739">
        <v>16.2</v>
      </c>
      <c r="E739">
        <v>226.79999999999998</v>
      </c>
      <c r="F739" s="3">
        <v>45689</v>
      </c>
      <c r="G739" s="3">
        <v>45690</v>
      </c>
      <c r="H739" t="s">
        <v>2</v>
      </c>
      <c r="I739" t="s">
        <v>3</v>
      </c>
      <c r="J739">
        <v>3</v>
      </c>
      <c r="K739" t="s">
        <v>4</v>
      </c>
      <c r="L739" t="s">
        <v>47</v>
      </c>
      <c r="M739">
        <f>[1]!orders[[#This Row],[Ship Date]]-[1]!orders[[#This Row],[Order Date]]</f>
        <v>1</v>
      </c>
      <c r="N739">
        <f>WEEKNUM([1]!orders[[#This Row],[Order Date]])</f>
        <v>5</v>
      </c>
      <c r="O739" t="str" cm="1">
        <f t="array" ref="O739">_xlfn.IFS([1]!orders[[#This Row],[Customer Gender]]="M","Male", [1]!orders[[#This Row],[Customer Gender]]="F","Female", [1]!orders[[#This Row],[Customer Gender]]="O","Other", TRUE,"Unknown")</f>
        <v>Unknown</v>
      </c>
    </row>
    <row r="740" spans="1:15" x14ac:dyDescent="0.25">
      <c r="A740" s="1" t="s">
        <v>818</v>
      </c>
      <c r="B740" s="1" t="s">
        <v>24</v>
      </c>
      <c r="C740" s="1">
        <v>47</v>
      </c>
      <c r="D740" s="1">
        <v>42.8</v>
      </c>
      <c r="E740" s="1">
        <v>2011.6</v>
      </c>
      <c r="F740" s="2">
        <v>45689</v>
      </c>
      <c r="G740" s="2">
        <v>45690</v>
      </c>
      <c r="H740" s="1" t="s">
        <v>12</v>
      </c>
      <c r="I740" s="1" t="s">
        <v>3</v>
      </c>
      <c r="J740" s="1">
        <v>4</v>
      </c>
      <c r="K740" s="1" t="s">
        <v>4</v>
      </c>
      <c r="L740" s="1" t="s">
        <v>47</v>
      </c>
      <c r="M740" s="1">
        <f>[1]!orders[[#This Row],[Ship Date]]-[1]!orders[[#This Row],[Order Date]]</f>
        <v>1</v>
      </c>
      <c r="N740" s="1">
        <f>WEEKNUM([1]!orders[[#This Row],[Order Date]])</f>
        <v>5</v>
      </c>
      <c r="O740" t="str" cm="1">
        <f t="array" ref="O740">_xlfn.IFS([1]!orders[[#This Row],[Customer Gender]]="M","Male", [1]!orders[[#This Row],[Customer Gender]]="F","Female", [1]!orders[[#This Row],[Customer Gender]]="O","Other", TRUE,"Unknown")</f>
        <v>Female</v>
      </c>
    </row>
    <row r="741" spans="1:15" x14ac:dyDescent="0.25">
      <c r="A741" t="s">
        <v>819</v>
      </c>
      <c r="B741" t="s">
        <v>24</v>
      </c>
      <c r="C741">
        <v>9</v>
      </c>
      <c r="D741">
        <v>144.4</v>
      </c>
      <c r="E741">
        <v>1299.6000000000001</v>
      </c>
      <c r="F741" s="3">
        <v>45689</v>
      </c>
      <c r="G741" s="3">
        <v>45692</v>
      </c>
      <c r="H741" t="s">
        <v>12</v>
      </c>
      <c r="I741" t="s">
        <v>55</v>
      </c>
      <c r="J741">
        <v>4</v>
      </c>
      <c r="K741" t="s">
        <v>4</v>
      </c>
      <c r="L741" t="s">
        <v>47</v>
      </c>
      <c r="M741">
        <f>[1]!orders[[#This Row],[Ship Date]]-[1]!orders[[#This Row],[Order Date]]</f>
        <v>3</v>
      </c>
      <c r="N741">
        <f>WEEKNUM([1]!orders[[#This Row],[Order Date]])</f>
        <v>5</v>
      </c>
      <c r="O741" t="str" cm="1">
        <f t="array" ref="O741">_xlfn.IFS([1]!orders[[#This Row],[Customer Gender]]="M","Male", [1]!orders[[#This Row],[Customer Gender]]="F","Female", [1]!orders[[#This Row],[Customer Gender]]="O","Other", TRUE,"Unknown")</f>
        <v>Female</v>
      </c>
    </row>
    <row r="742" spans="1:15" x14ac:dyDescent="0.25">
      <c r="A742" s="1" t="s">
        <v>820</v>
      </c>
      <c r="B742" s="1" t="s">
        <v>15</v>
      </c>
      <c r="C742" s="1">
        <v>36</v>
      </c>
      <c r="D742" s="1">
        <v>30.6</v>
      </c>
      <c r="E742" s="1">
        <v>1101.6000000000001</v>
      </c>
      <c r="F742" s="2">
        <v>45689</v>
      </c>
      <c r="G742" s="2">
        <v>45693</v>
      </c>
      <c r="H742" s="1" t="s">
        <v>12</v>
      </c>
      <c r="I742" s="1" t="s">
        <v>25</v>
      </c>
      <c r="J742" s="1">
        <v>5</v>
      </c>
      <c r="K742" s="1" t="s">
        <v>4</v>
      </c>
      <c r="L742" s="1" t="s">
        <v>62</v>
      </c>
      <c r="M742" s="1">
        <f>[1]!orders[[#This Row],[Ship Date]]-[1]!orders[[#This Row],[Order Date]]</f>
        <v>4</v>
      </c>
      <c r="N742" s="1">
        <f>WEEKNUM([1]!orders[[#This Row],[Order Date]])</f>
        <v>5</v>
      </c>
      <c r="O742" t="str" cm="1">
        <f t="array" ref="O742">_xlfn.IFS([1]!orders[[#This Row],[Customer Gender]]="M","Male", [1]!orders[[#This Row],[Customer Gender]]="F","Female", [1]!orders[[#This Row],[Customer Gender]]="O","Other", TRUE,"Unknown")</f>
        <v>Female</v>
      </c>
    </row>
    <row r="743" spans="1:15" x14ac:dyDescent="0.25">
      <c r="A743" t="s">
        <v>821</v>
      </c>
      <c r="B743" t="s">
        <v>11</v>
      </c>
      <c r="C743">
        <v>2</v>
      </c>
      <c r="D743">
        <v>117.5</v>
      </c>
      <c r="E743">
        <v>235</v>
      </c>
      <c r="F743" s="3">
        <v>45689</v>
      </c>
      <c r="G743" s="3">
        <v>45690</v>
      </c>
      <c r="H743" t="s">
        <v>8</v>
      </c>
      <c r="I743" t="s">
        <v>3</v>
      </c>
      <c r="J743">
        <v>4</v>
      </c>
      <c r="K743" t="s">
        <v>4</v>
      </c>
      <c r="L743" t="s">
        <v>95</v>
      </c>
      <c r="M743">
        <f>[1]!orders[[#This Row],[Ship Date]]-[1]!orders[[#This Row],[Order Date]]</f>
        <v>1</v>
      </c>
      <c r="N743">
        <f>WEEKNUM([1]!orders[[#This Row],[Order Date]])</f>
        <v>5</v>
      </c>
      <c r="O743" t="str" cm="1">
        <f t="array" ref="O743">_xlfn.IFS([1]!orders[[#This Row],[Customer Gender]]="M","Male", [1]!orders[[#This Row],[Customer Gender]]="F","Female", [1]!orders[[#This Row],[Customer Gender]]="O","Other", TRUE,"Unknown")</f>
        <v>Male</v>
      </c>
    </row>
    <row r="744" spans="1:15" x14ac:dyDescent="0.25">
      <c r="A744" s="1" t="s">
        <v>822</v>
      </c>
      <c r="B744" s="1" t="s">
        <v>24</v>
      </c>
      <c r="C744" s="1">
        <v>2</v>
      </c>
      <c r="D744" s="1">
        <v>105.7</v>
      </c>
      <c r="E744" s="1">
        <v>211.4</v>
      </c>
      <c r="F744" s="2">
        <v>45689</v>
      </c>
      <c r="G744" s="2">
        <v>45690</v>
      </c>
      <c r="H744" s="1" t="s">
        <v>12</v>
      </c>
      <c r="I744" s="1" t="s">
        <v>25</v>
      </c>
      <c r="J744" s="1">
        <v>5</v>
      </c>
      <c r="K744" s="1" t="s">
        <v>4</v>
      </c>
      <c r="L744" s="1" t="s">
        <v>100</v>
      </c>
      <c r="M744" s="1">
        <f>[1]!orders[[#This Row],[Ship Date]]-[1]!orders[[#This Row],[Order Date]]</f>
        <v>1</v>
      </c>
      <c r="N744" s="1">
        <f>WEEKNUM([1]!orders[[#This Row],[Order Date]])</f>
        <v>5</v>
      </c>
      <c r="O744" t="str" cm="1">
        <f t="array" ref="O744">_xlfn.IFS([1]!orders[[#This Row],[Customer Gender]]="M","Male", [1]!orders[[#This Row],[Customer Gender]]="F","Female", [1]!orders[[#This Row],[Customer Gender]]="O","Other", TRUE,"Unknown")</f>
        <v>Female</v>
      </c>
    </row>
    <row r="745" spans="1:15" x14ac:dyDescent="0.25">
      <c r="A745" t="s">
        <v>823</v>
      </c>
      <c r="B745" t="s">
        <v>15</v>
      </c>
      <c r="C745">
        <v>3</v>
      </c>
      <c r="D745">
        <v>133.69999999999999</v>
      </c>
      <c r="E745">
        <v>401.09999999999997</v>
      </c>
      <c r="F745" s="3">
        <v>45689</v>
      </c>
      <c r="G745" s="3">
        <v>45690</v>
      </c>
      <c r="H745" t="s">
        <v>2</v>
      </c>
      <c r="I745" t="s">
        <v>55</v>
      </c>
      <c r="J745">
        <v>5</v>
      </c>
      <c r="K745" t="s">
        <v>4</v>
      </c>
      <c r="L745" t="s">
        <v>100</v>
      </c>
      <c r="M745">
        <f>[1]!orders[[#This Row],[Ship Date]]-[1]!orders[[#This Row],[Order Date]]</f>
        <v>1</v>
      </c>
      <c r="N745">
        <f>WEEKNUM([1]!orders[[#This Row],[Order Date]])</f>
        <v>5</v>
      </c>
      <c r="O745" t="str" cm="1">
        <f t="array" ref="O745">_xlfn.IFS([1]!orders[[#This Row],[Customer Gender]]="M","Male", [1]!orders[[#This Row],[Customer Gender]]="F","Female", [1]!orders[[#This Row],[Customer Gender]]="O","Other", TRUE,"Unknown")</f>
        <v>Unknown</v>
      </c>
    </row>
    <row r="746" spans="1:15" x14ac:dyDescent="0.25">
      <c r="A746" s="1" t="s">
        <v>824</v>
      </c>
      <c r="B746" s="1" t="s">
        <v>17</v>
      </c>
      <c r="C746" s="1">
        <v>5</v>
      </c>
      <c r="D746" s="1">
        <v>46.8</v>
      </c>
      <c r="E746" s="1">
        <v>234</v>
      </c>
      <c r="F746" s="2">
        <v>45690</v>
      </c>
      <c r="G746" s="2">
        <v>45698</v>
      </c>
      <c r="H746" s="1" t="s">
        <v>12</v>
      </c>
      <c r="I746" s="1" t="s">
        <v>3</v>
      </c>
      <c r="J746" s="1">
        <v>3</v>
      </c>
      <c r="K746" s="1" t="s">
        <v>4</v>
      </c>
      <c r="L746" s="1" t="s">
        <v>100</v>
      </c>
      <c r="M746" s="1">
        <f>[1]!orders[[#This Row],[Ship Date]]-[1]!orders[[#This Row],[Order Date]]</f>
        <v>8</v>
      </c>
      <c r="N746" s="1">
        <f>WEEKNUM([1]!orders[[#This Row],[Order Date]])</f>
        <v>6</v>
      </c>
      <c r="O746" t="str" cm="1">
        <f t="array" ref="O746">_xlfn.IFS([1]!orders[[#This Row],[Customer Gender]]="M","Male", [1]!orders[[#This Row],[Customer Gender]]="F","Female", [1]!orders[[#This Row],[Customer Gender]]="O","Other", TRUE,"Unknown")</f>
        <v>Female</v>
      </c>
    </row>
    <row r="747" spans="1:15" x14ac:dyDescent="0.25">
      <c r="A747" t="s">
        <v>825</v>
      </c>
      <c r="B747" t="s">
        <v>39</v>
      </c>
      <c r="C747">
        <v>3</v>
      </c>
      <c r="D747">
        <v>58.4</v>
      </c>
      <c r="E747">
        <v>175.2</v>
      </c>
      <c r="F747" s="3">
        <v>45690</v>
      </c>
      <c r="G747" s="3">
        <v>45692</v>
      </c>
      <c r="H747" t="s">
        <v>12</v>
      </c>
      <c r="I747" t="s">
        <v>3</v>
      </c>
      <c r="J747">
        <v>4</v>
      </c>
      <c r="K747" t="s">
        <v>4</v>
      </c>
      <c r="L747" t="s">
        <v>9</v>
      </c>
      <c r="M747">
        <f>[1]!orders[[#This Row],[Ship Date]]-[1]!orders[[#This Row],[Order Date]]</f>
        <v>2</v>
      </c>
      <c r="N747">
        <f>WEEKNUM([1]!orders[[#This Row],[Order Date]])</f>
        <v>6</v>
      </c>
      <c r="O747" t="str" cm="1">
        <f t="array" ref="O747">_xlfn.IFS([1]!orders[[#This Row],[Customer Gender]]="M","Male", [1]!orders[[#This Row],[Customer Gender]]="F","Female", [1]!orders[[#This Row],[Customer Gender]]="O","Other", TRUE,"Unknown")</f>
        <v>Female</v>
      </c>
    </row>
    <row r="748" spans="1:15" x14ac:dyDescent="0.25">
      <c r="A748" s="1" t="s">
        <v>826</v>
      </c>
      <c r="B748" s="1" t="s">
        <v>24</v>
      </c>
      <c r="C748" s="1">
        <v>9</v>
      </c>
      <c r="D748" s="1">
        <v>65.099999999999994</v>
      </c>
      <c r="E748" s="1">
        <v>585.9</v>
      </c>
      <c r="F748" s="2">
        <v>45690</v>
      </c>
      <c r="G748" s="2">
        <v>45694</v>
      </c>
      <c r="H748" s="1" t="s">
        <v>8</v>
      </c>
      <c r="I748" s="1" t="s">
        <v>20</v>
      </c>
      <c r="J748" s="1">
        <v>5</v>
      </c>
      <c r="K748" s="1" t="s">
        <v>4</v>
      </c>
      <c r="L748" s="1" t="s">
        <v>132</v>
      </c>
      <c r="M748" s="1">
        <f>[1]!orders[[#This Row],[Ship Date]]-[1]!orders[[#This Row],[Order Date]]</f>
        <v>4</v>
      </c>
      <c r="N748" s="1">
        <f>WEEKNUM([1]!orders[[#This Row],[Order Date]])</f>
        <v>6</v>
      </c>
      <c r="O748" t="str" cm="1">
        <f t="array" ref="O748">_xlfn.IFS([1]!orders[[#This Row],[Customer Gender]]="M","Male", [1]!orders[[#This Row],[Customer Gender]]="F","Female", [1]!orders[[#This Row],[Customer Gender]]="O","Other", TRUE,"Unknown")</f>
        <v>Male</v>
      </c>
    </row>
    <row r="749" spans="1:15" x14ac:dyDescent="0.25">
      <c r="A749" t="s">
        <v>827</v>
      </c>
      <c r="B749" t="s">
        <v>29</v>
      </c>
      <c r="C749">
        <v>1</v>
      </c>
      <c r="D749">
        <v>18.600000000000001</v>
      </c>
      <c r="E749">
        <v>18.600000000000001</v>
      </c>
      <c r="F749" s="3">
        <v>45690</v>
      </c>
      <c r="G749" s="3">
        <v>45693</v>
      </c>
      <c r="H749" t="s">
        <v>12</v>
      </c>
      <c r="I749" t="s">
        <v>3</v>
      </c>
      <c r="J749">
        <v>2</v>
      </c>
      <c r="K749" t="s">
        <v>4</v>
      </c>
      <c r="L749" t="s">
        <v>132</v>
      </c>
      <c r="M749">
        <f>[1]!orders[[#This Row],[Ship Date]]-[1]!orders[[#This Row],[Order Date]]</f>
        <v>3</v>
      </c>
      <c r="N749">
        <f>WEEKNUM([1]!orders[[#This Row],[Order Date]])</f>
        <v>6</v>
      </c>
      <c r="O749" t="str" cm="1">
        <f t="array" ref="O749">_xlfn.IFS([1]!orders[[#This Row],[Customer Gender]]="M","Male", [1]!orders[[#This Row],[Customer Gender]]="F","Female", [1]!orders[[#This Row],[Customer Gender]]="O","Other", TRUE,"Unknown")</f>
        <v>Female</v>
      </c>
    </row>
    <row r="750" spans="1:15" x14ac:dyDescent="0.25">
      <c r="A750" s="1" t="s">
        <v>828</v>
      </c>
      <c r="B750" s="1" t="s">
        <v>7</v>
      </c>
      <c r="C750" s="1">
        <v>11</v>
      </c>
      <c r="D750" s="1">
        <v>92.3</v>
      </c>
      <c r="E750" s="1">
        <v>1015.3</v>
      </c>
      <c r="F750" s="2">
        <v>45690</v>
      </c>
      <c r="G750" s="2">
        <v>45692</v>
      </c>
      <c r="H750" s="1" t="s">
        <v>8</v>
      </c>
      <c r="I750" s="1" t="s">
        <v>20</v>
      </c>
      <c r="J750" s="1">
        <v>4</v>
      </c>
      <c r="K750" s="1" t="s">
        <v>4</v>
      </c>
      <c r="L750" s="1" t="s">
        <v>18</v>
      </c>
      <c r="M750" s="1">
        <f>[1]!orders[[#This Row],[Ship Date]]-[1]!orders[[#This Row],[Order Date]]</f>
        <v>2</v>
      </c>
      <c r="N750" s="1">
        <f>WEEKNUM([1]!orders[[#This Row],[Order Date]])</f>
        <v>6</v>
      </c>
      <c r="O750" t="str" cm="1">
        <f t="array" ref="O750">_xlfn.IFS([1]!orders[[#This Row],[Customer Gender]]="M","Male", [1]!orders[[#This Row],[Customer Gender]]="F","Female", [1]!orders[[#This Row],[Customer Gender]]="O","Other", TRUE,"Unknown")</f>
        <v>Male</v>
      </c>
    </row>
    <row r="751" spans="1:15" x14ac:dyDescent="0.25">
      <c r="A751" t="s">
        <v>829</v>
      </c>
      <c r="B751" t="s">
        <v>24</v>
      </c>
      <c r="C751">
        <v>3</v>
      </c>
      <c r="D751">
        <v>81.7</v>
      </c>
      <c r="E751">
        <v>245.10000000000002</v>
      </c>
      <c r="F751" s="3">
        <v>45690</v>
      </c>
      <c r="G751" s="3">
        <v>45691</v>
      </c>
      <c r="H751" t="s">
        <v>2</v>
      </c>
      <c r="I751" t="s">
        <v>55</v>
      </c>
      <c r="J751">
        <v>2</v>
      </c>
      <c r="K751" t="s">
        <v>4</v>
      </c>
      <c r="L751" t="s">
        <v>18</v>
      </c>
      <c r="M751">
        <f>[1]!orders[[#This Row],[Ship Date]]-[1]!orders[[#This Row],[Order Date]]</f>
        <v>1</v>
      </c>
      <c r="N751">
        <f>WEEKNUM([1]!orders[[#This Row],[Order Date]])</f>
        <v>6</v>
      </c>
      <c r="O751" t="str" cm="1">
        <f t="array" ref="O751">_xlfn.IFS([1]!orders[[#This Row],[Customer Gender]]="M","Male", [1]!orders[[#This Row],[Customer Gender]]="F","Female", [1]!orders[[#This Row],[Customer Gender]]="O","Other", TRUE,"Unknown")</f>
        <v>Unknown</v>
      </c>
    </row>
    <row r="752" spans="1:15" x14ac:dyDescent="0.25">
      <c r="A752" s="1" t="s">
        <v>830</v>
      </c>
      <c r="B752" s="1" t="s">
        <v>29</v>
      </c>
      <c r="C752" s="1">
        <v>2</v>
      </c>
      <c r="D752" s="1">
        <v>40.9</v>
      </c>
      <c r="E752" s="1">
        <v>81.8</v>
      </c>
      <c r="F752" s="2">
        <v>45690</v>
      </c>
      <c r="G752" s="2">
        <v>45692</v>
      </c>
      <c r="H752" s="1" t="s">
        <v>8</v>
      </c>
      <c r="I752" s="1" t="s">
        <v>3</v>
      </c>
      <c r="J752" s="1">
        <v>3</v>
      </c>
      <c r="K752" s="1" t="s">
        <v>4</v>
      </c>
      <c r="L752" s="1" t="s">
        <v>18</v>
      </c>
      <c r="M752" s="1">
        <f>[1]!orders[[#This Row],[Ship Date]]-[1]!orders[[#This Row],[Order Date]]</f>
        <v>2</v>
      </c>
      <c r="N752" s="1">
        <f>WEEKNUM([1]!orders[[#This Row],[Order Date]])</f>
        <v>6</v>
      </c>
      <c r="O752" t="str" cm="1">
        <f t="array" ref="O752">_xlfn.IFS([1]!orders[[#This Row],[Customer Gender]]="M","Male", [1]!orders[[#This Row],[Customer Gender]]="F","Female", [1]!orders[[#This Row],[Customer Gender]]="O","Other", TRUE,"Unknown")</f>
        <v>Male</v>
      </c>
    </row>
    <row r="753" spans="1:15" x14ac:dyDescent="0.25">
      <c r="A753" t="s">
        <v>831</v>
      </c>
      <c r="B753" t="s">
        <v>24</v>
      </c>
      <c r="C753">
        <v>4</v>
      </c>
      <c r="D753">
        <v>43.2</v>
      </c>
      <c r="E753">
        <v>172.8</v>
      </c>
      <c r="F753" s="3">
        <v>45690</v>
      </c>
      <c r="G753" s="3">
        <v>45696</v>
      </c>
      <c r="H753" t="s">
        <v>12</v>
      </c>
      <c r="I753" t="s">
        <v>3</v>
      </c>
      <c r="J753">
        <v>3</v>
      </c>
      <c r="K753" t="s">
        <v>4</v>
      </c>
      <c r="L753" t="s">
        <v>18</v>
      </c>
      <c r="M753">
        <f>[1]!orders[[#This Row],[Ship Date]]-[1]!orders[[#This Row],[Order Date]]</f>
        <v>6</v>
      </c>
      <c r="N753">
        <f>WEEKNUM([1]!orders[[#This Row],[Order Date]])</f>
        <v>6</v>
      </c>
      <c r="O753" t="str" cm="1">
        <f t="array" ref="O753">_xlfn.IFS([1]!orders[[#This Row],[Customer Gender]]="M","Male", [1]!orders[[#This Row],[Customer Gender]]="F","Female", [1]!orders[[#This Row],[Customer Gender]]="O","Other", TRUE,"Unknown")</f>
        <v>Female</v>
      </c>
    </row>
    <row r="754" spans="1:15" x14ac:dyDescent="0.25">
      <c r="A754" s="1" t="s">
        <v>832</v>
      </c>
      <c r="B754" s="1" t="s">
        <v>29</v>
      </c>
      <c r="C754" s="1">
        <v>11</v>
      </c>
      <c r="D754" s="1">
        <v>25.8</v>
      </c>
      <c r="E754" s="1">
        <v>283.8</v>
      </c>
      <c r="F754" s="2">
        <v>45690</v>
      </c>
      <c r="G754" s="2">
        <v>45693</v>
      </c>
      <c r="H754" s="1" t="s">
        <v>8</v>
      </c>
      <c r="I754" s="1" t="s">
        <v>25</v>
      </c>
      <c r="J754" s="1">
        <v>3</v>
      </c>
      <c r="K754" s="1" t="s">
        <v>4</v>
      </c>
      <c r="L754" s="1" t="s">
        <v>18</v>
      </c>
      <c r="M754" s="1">
        <f>[1]!orders[[#This Row],[Ship Date]]-[1]!orders[[#This Row],[Order Date]]</f>
        <v>3</v>
      </c>
      <c r="N754" s="1">
        <f>WEEKNUM([1]!orders[[#This Row],[Order Date]])</f>
        <v>6</v>
      </c>
      <c r="O754" t="str" cm="1">
        <f t="array" ref="O754">_xlfn.IFS([1]!orders[[#This Row],[Customer Gender]]="M","Male", [1]!orders[[#This Row],[Customer Gender]]="F","Female", [1]!orders[[#This Row],[Customer Gender]]="O","Other", TRUE,"Unknown")</f>
        <v>Male</v>
      </c>
    </row>
    <row r="755" spans="1:15" x14ac:dyDescent="0.25">
      <c r="A755" t="s">
        <v>833</v>
      </c>
      <c r="B755" t="s">
        <v>108</v>
      </c>
      <c r="C755">
        <v>4</v>
      </c>
      <c r="D755">
        <v>36.4</v>
      </c>
      <c r="E755">
        <v>145.6</v>
      </c>
      <c r="F755" s="3">
        <v>45690</v>
      </c>
      <c r="G755" s="3">
        <v>45691</v>
      </c>
      <c r="H755" t="s">
        <v>8</v>
      </c>
      <c r="I755" t="s">
        <v>3</v>
      </c>
      <c r="J755">
        <v>4</v>
      </c>
      <c r="K755" t="s">
        <v>4</v>
      </c>
      <c r="L755" t="s">
        <v>18</v>
      </c>
      <c r="M755">
        <f>[1]!orders[[#This Row],[Ship Date]]-[1]!orders[[#This Row],[Order Date]]</f>
        <v>1</v>
      </c>
      <c r="N755">
        <f>WEEKNUM([1]!orders[[#This Row],[Order Date]])</f>
        <v>6</v>
      </c>
      <c r="O755" t="str" cm="1">
        <f t="array" ref="O755">_xlfn.IFS([1]!orders[[#This Row],[Customer Gender]]="M","Male", [1]!orders[[#This Row],[Customer Gender]]="F","Female", [1]!orders[[#This Row],[Customer Gender]]="O","Other", TRUE,"Unknown")</f>
        <v>Male</v>
      </c>
    </row>
    <row r="756" spans="1:15" x14ac:dyDescent="0.25">
      <c r="A756" s="1" t="s">
        <v>834</v>
      </c>
      <c r="B756" s="1" t="s">
        <v>39</v>
      </c>
      <c r="C756" s="1">
        <v>1</v>
      </c>
      <c r="D756" s="1">
        <v>59.1</v>
      </c>
      <c r="E756" s="1">
        <v>59.1</v>
      </c>
      <c r="F756" s="2">
        <v>45690</v>
      </c>
      <c r="G756" s="2">
        <v>45691</v>
      </c>
      <c r="H756" s="1" t="s">
        <v>12</v>
      </c>
      <c r="I756" s="1" t="s">
        <v>25</v>
      </c>
      <c r="J756" s="1">
        <v>4</v>
      </c>
      <c r="K756" s="1" t="s">
        <v>4</v>
      </c>
      <c r="L756" s="1" t="s">
        <v>44</v>
      </c>
      <c r="M756" s="1">
        <f>[1]!orders[[#This Row],[Ship Date]]-[1]!orders[[#This Row],[Order Date]]</f>
        <v>1</v>
      </c>
      <c r="N756" s="1">
        <f>WEEKNUM([1]!orders[[#This Row],[Order Date]])</f>
        <v>6</v>
      </c>
      <c r="O756" t="str" cm="1">
        <f t="array" ref="O756">_xlfn.IFS([1]!orders[[#This Row],[Customer Gender]]="M","Male", [1]!orders[[#This Row],[Customer Gender]]="F","Female", [1]!orders[[#This Row],[Customer Gender]]="O","Other", TRUE,"Unknown")</f>
        <v>Female</v>
      </c>
    </row>
    <row r="757" spans="1:15" x14ac:dyDescent="0.25">
      <c r="A757" t="s">
        <v>835</v>
      </c>
      <c r="B757" t="s">
        <v>11</v>
      </c>
      <c r="C757">
        <v>17</v>
      </c>
      <c r="D757">
        <v>74.5</v>
      </c>
      <c r="E757">
        <v>1266.5</v>
      </c>
      <c r="F757" s="3">
        <v>45690</v>
      </c>
      <c r="G757" s="3">
        <v>45692</v>
      </c>
      <c r="H757" t="s">
        <v>8</v>
      </c>
      <c r="I757" t="s">
        <v>55</v>
      </c>
      <c r="J757">
        <v>4</v>
      </c>
      <c r="K757" t="s">
        <v>4</v>
      </c>
      <c r="L757" t="s">
        <v>93</v>
      </c>
      <c r="M757">
        <f>[1]!orders[[#This Row],[Ship Date]]-[1]!orders[[#This Row],[Order Date]]</f>
        <v>2</v>
      </c>
      <c r="N757">
        <f>WEEKNUM([1]!orders[[#This Row],[Order Date]])</f>
        <v>6</v>
      </c>
      <c r="O757" t="str" cm="1">
        <f t="array" ref="O757">_xlfn.IFS([1]!orders[[#This Row],[Customer Gender]]="M","Male", [1]!orders[[#This Row],[Customer Gender]]="F","Female", [1]!orders[[#This Row],[Customer Gender]]="O","Other", TRUE,"Unknown")</f>
        <v>Male</v>
      </c>
    </row>
    <row r="758" spans="1:15" x14ac:dyDescent="0.25">
      <c r="A758" s="1" t="s">
        <v>836</v>
      </c>
      <c r="B758" s="1" t="s">
        <v>22</v>
      </c>
      <c r="C758" s="1">
        <v>1</v>
      </c>
      <c r="D758" s="1">
        <v>72.8</v>
      </c>
      <c r="E758" s="1">
        <v>72.8</v>
      </c>
      <c r="F758" s="2">
        <v>45690</v>
      </c>
      <c r="G758" s="2">
        <v>45691</v>
      </c>
      <c r="H758" s="1" t="s">
        <v>12</v>
      </c>
      <c r="I758" s="1" t="s">
        <v>3</v>
      </c>
      <c r="J758" s="1">
        <v>3</v>
      </c>
      <c r="K758" s="1" t="s">
        <v>4</v>
      </c>
      <c r="L758" s="1" t="s">
        <v>95</v>
      </c>
      <c r="M758" s="1">
        <f>[1]!orders[[#This Row],[Ship Date]]-[1]!orders[[#This Row],[Order Date]]</f>
        <v>1</v>
      </c>
      <c r="N758" s="1">
        <f>WEEKNUM([1]!orders[[#This Row],[Order Date]])</f>
        <v>6</v>
      </c>
      <c r="O758" t="str" cm="1">
        <f t="array" ref="O758">_xlfn.IFS([1]!orders[[#This Row],[Customer Gender]]="M","Male", [1]!orders[[#This Row],[Customer Gender]]="F","Female", [1]!orders[[#This Row],[Customer Gender]]="O","Other", TRUE,"Unknown")</f>
        <v>Female</v>
      </c>
    </row>
    <row r="759" spans="1:15" x14ac:dyDescent="0.25">
      <c r="A759" t="s">
        <v>837</v>
      </c>
      <c r="B759" t="s">
        <v>24</v>
      </c>
      <c r="C759">
        <v>4</v>
      </c>
      <c r="D759">
        <v>137.30000000000001</v>
      </c>
      <c r="E759">
        <v>549.20000000000005</v>
      </c>
      <c r="F759" s="3">
        <v>45690</v>
      </c>
      <c r="G759" s="3">
        <v>45693</v>
      </c>
      <c r="H759" t="s">
        <v>12</v>
      </c>
      <c r="I759" t="s">
        <v>3</v>
      </c>
      <c r="J759">
        <v>4</v>
      </c>
      <c r="K759" t="s">
        <v>4</v>
      </c>
      <c r="L759" t="s">
        <v>67</v>
      </c>
      <c r="M759">
        <f>[1]!orders[[#This Row],[Ship Date]]-[1]!orders[[#This Row],[Order Date]]</f>
        <v>3</v>
      </c>
      <c r="N759">
        <f>WEEKNUM([1]!orders[[#This Row],[Order Date]])</f>
        <v>6</v>
      </c>
      <c r="O759" t="str" cm="1">
        <f t="array" ref="O759">_xlfn.IFS([1]!orders[[#This Row],[Customer Gender]]="M","Male", [1]!orders[[#This Row],[Customer Gender]]="F","Female", [1]!orders[[#This Row],[Customer Gender]]="O","Other", TRUE,"Unknown")</f>
        <v>Female</v>
      </c>
    </row>
    <row r="760" spans="1:15" x14ac:dyDescent="0.25">
      <c r="A760" s="1" t="s">
        <v>838</v>
      </c>
      <c r="B760" s="1" t="s">
        <v>7</v>
      </c>
      <c r="C760" s="1">
        <v>3</v>
      </c>
      <c r="D760" s="1">
        <v>48.7</v>
      </c>
      <c r="E760" s="1">
        <v>146.10000000000002</v>
      </c>
      <c r="F760" s="2">
        <v>45690</v>
      </c>
      <c r="G760" s="2">
        <v>45695</v>
      </c>
      <c r="H760" s="1" t="s">
        <v>12</v>
      </c>
      <c r="I760" s="1" t="s">
        <v>3</v>
      </c>
      <c r="J760" s="1">
        <v>3</v>
      </c>
      <c r="K760" s="1" t="s">
        <v>4</v>
      </c>
      <c r="L760" s="1" t="s">
        <v>100</v>
      </c>
      <c r="M760" s="1">
        <f>[1]!orders[[#This Row],[Ship Date]]-[1]!orders[[#This Row],[Order Date]]</f>
        <v>5</v>
      </c>
      <c r="N760" s="1">
        <f>WEEKNUM([1]!orders[[#This Row],[Order Date]])</f>
        <v>6</v>
      </c>
      <c r="O760" t="str" cm="1">
        <f t="array" ref="O760">_xlfn.IFS([1]!orders[[#This Row],[Customer Gender]]="M","Male", [1]!orders[[#This Row],[Customer Gender]]="F","Female", [1]!orders[[#This Row],[Customer Gender]]="O","Other", TRUE,"Unknown")</f>
        <v>Female</v>
      </c>
    </row>
    <row r="761" spans="1:15" x14ac:dyDescent="0.25">
      <c r="A761" t="s">
        <v>839</v>
      </c>
      <c r="B761" t="s">
        <v>24</v>
      </c>
      <c r="C761">
        <v>4</v>
      </c>
      <c r="D761">
        <v>53.7</v>
      </c>
      <c r="E761">
        <v>214.8</v>
      </c>
      <c r="F761" s="3">
        <v>45690</v>
      </c>
      <c r="G761" s="3">
        <v>45694</v>
      </c>
      <c r="H761" t="s">
        <v>8</v>
      </c>
      <c r="I761" t="s">
        <v>20</v>
      </c>
      <c r="J761">
        <v>2</v>
      </c>
      <c r="K761" t="s">
        <v>4</v>
      </c>
      <c r="L761" t="s">
        <v>13</v>
      </c>
      <c r="M761">
        <f>[1]!orders[[#This Row],[Ship Date]]-[1]!orders[[#This Row],[Order Date]]</f>
        <v>4</v>
      </c>
      <c r="N761">
        <f>WEEKNUM([1]!orders[[#This Row],[Order Date]])</f>
        <v>6</v>
      </c>
      <c r="O761" t="str" cm="1">
        <f t="array" ref="O761">_xlfn.IFS([1]!orders[[#This Row],[Customer Gender]]="M","Male", [1]!orders[[#This Row],[Customer Gender]]="F","Female", [1]!orders[[#This Row],[Customer Gender]]="O","Other", TRUE,"Unknown")</f>
        <v>Male</v>
      </c>
    </row>
    <row r="762" spans="1:15" x14ac:dyDescent="0.25">
      <c r="A762" s="1" t="s">
        <v>840</v>
      </c>
      <c r="B762" s="1" t="s">
        <v>11</v>
      </c>
      <c r="C762" s="1">
        <v>7</v>
      </c>
      <c r="D762" s="1">
        <v>100.9</v>
      </c>
      <c r="E762" s="1">
        <v>706.30000000000007</v>
      </c>
      <c r="F762" s="2">
        <v>45690</v>
      </c>
      <c r="G762" s="2">
        <v>45692</v>
      </c>
      <c r="H762" s="1" t="s">
        <v>12</v>
      </c>
      <c r="I762" s="1" t="s">
        <v>3</v>
      </c>
      <c r="J762" s="1">
        <v>3</v>
      </c>
      <c r="K762" s="1" t="s">
        <v>4</v>
      </c>
      <c r="L762" s="1" t="s">
        <v>13</v>
      </c>
      <c r="M762" s="1">
        <f>[1]!orders[[#This Row],[Ship Date]]-[1]!orders[[#This Row],[Order Date]]</f>
        <v>2</v>
      </c>
      <c r="N762" s="1">
        <f>WEEKNUM([1]!orders[[#This Row],[Order Date]])</f>
        <v>6</v>
      </c>
      <c r="O762" t="str" cm="1">
        <f t="array" ref="O762">_xlfn.IFS([1]!orders[[#This Row],[Customer Gender]]="M","Male", [1]!orders[[#This Row],[Customer Gender]]="F","Female", [1]!orders[[#This Row],[Customer Gender]]="O","Other", TRUE,"Unknown")</f>
        <v>Female</v>
      </c>
    </row>
    <row r="763" spans="1:15" x14ac:dyDescent="0.25">
      <c r="A763" t="s">
        <v>841</v>
      </c>
      <c r="B763" t="s">
        <v>39</v>
      </c>
      <c r="C763">
        <v>2</v>
      </c>
      <c r="D763">
        <v>41.8</v>
      </c>
      <c r="E763">
        <v>83.6</v>
      </c>
      <c r="F763" s="3">
        <v>45690</v>
      </c>
      <c r="G763" s="3">
        <v>45694</v>
      </c>
      <c r="H763" t="s">
        <v>8</v>
      </c>
      <c r="I763" t="s">
        <v>36</v>
      </c>
      <c r="J763">
        <v>5</v>
      </c>
      <c r="K763" t="s">
        <v>4</v>
      </c>
      <c r="L763" t="s">
        <v>132</v>
      </c>
      <c r="M763">
        <f>[1]!orders[[#This Row],[Ship Date]]-[1]!orders[[#This Row],[Order Date]]</f>
        <v>4</v>
      </c>
      <c r="N763">
        <f>WEEKNUM([1]!orders[[#This Row],[Order Date]])</f>
        <v>6</v>
      </c>
      <c r="O763" t="str" cm="1">
        <f t="array" ref="O763">_xlfn.IFS([1]!orders[[#This Row],[Customer Gender]]="M","Male", [1]!orders[[#This Row],[Customer Gender]]="F","Female", [1]!orders[[#This Row],[Customer Gender]]="O","Other", TRUE,"Unknown")</f>
        <v>Male</v>
      </c>
    </row>
    <row r="764" spans="1:15" x14ac:dyDescent="0.25">
      <c r="A764" s="1" t="s">
        <v>842</v>
      </c>
      <c r="B764" s="1" t="s">
        <v>17</v>
      </c>
      <c r="C764" s="1">
        <v>8</v>
      </c>
      <c r="D764" s="1">
        <v>28.5</v>
      </c>
      <c r="E764" s="1">
        <v>228</v>
      </c>
      <c r="F764" s="2">
        <v>45690</v>
      </c>
      <c r="G764" s="2">
        <v>45692</v>
      </c>
      <c r="H764" s="1" t="s">
        <v>8</v>
      </c>
      <c r="I764" s="1" t="s">
        <v>25</v>
      </c>
      <c r="J764" s="1">
        <v>3</v>
      </c>
      <c r="K764" s="1" t="s">
        <v>4</v>
      </c>
      <c r="L764" s="1" t="s">
        <v>18</v>
      </c>
      <c r="M764" s="1">
        <f>[1]!orders[[#This Row],[Ship Date]]-[1]!orders[[#This Row],[Order Date]]</f>
        <v>2</v>
      </c>
      <c r="N764" s="1">
        <f>WEEKNUM([1]!orders[[#This Row],[Order Date]])</f>
        <v>6</v>
      </c>
      <c r="O764" t="str" cm="1">
        <f t="array" ref="O764">_xlfn.IFS([1]!orders[[#This Row],[Customer Gender]]="M","Male", [1]!orders[[#This Row],[Customer Gender]]="F","Female", [1]!orders[[#This Row],[Customer Gender]]="O","Other", TRUE,"Unknown")</f>
        <v>Male</v>
      </c>
    </row>
    <row r="765" spans="1:15" x14ac:dyDescent="0.25">
      <c r="A765" t="s">
        <v>843</v>
      </c>
      <c r="B765" t="s">
        <v>27</v>
      </c>
      <c r="C765">
        <v>4</v>
      </c>
      <c r="D765">
        <v>88.9</v>
      </c>
      <c r="E765">
        <v>355.6</v>
      </c>
      <c r="F765" s="3">
        <v>45690</v>
      </c>
      <c r="G765" s="3">
        <v>45693</v>
      </c>
      <c r="H765" t="s">
        <v>12</v>
      </c>
      <c r="I765" t="s">
        <v>3</v>
      </c>
      <c r="J765">
        <v>5</v>
      </c>
      <c r="K765" t="s">
        <v>4</v>
      </c>
      <c r="L765" t="s">
        <v>18</v>
      </c>
      <c r="M765">
        <f>[1]!orders[[#This Row],[Ship Date]]-[1]!orders[[#This Row],[Order Date]]</f>
        <v>3</v>
      </c>
      <c r="N765">
        <f>WEEKNUM([1]!orders[[#This Row],[Order Date]])</f>
        <v>6</v>
      </c>
      <c r="O765" t="str" cm="1">
        <f t="array" ref="O765">_xlfn.IFS([1]!orders[[#This Row],[Customer Gender]]="M","Male", [1]!orders[[#This Row],[Customer Gender]]="F","Female", [1]!orders[[#This Row],[Customer Gender]]="O","Other", TRUE,"Unknown")</f>
        <v>Female</v>
      </c>
    </row>
    <row r="766" spans="1:15" x14ac:dyDescent="0.25">
      <c r="A766" s="1" t="s">
        <v>844</v>
      </c>
      <c r="B766" s="1" t="s">
        <v>24</v>
      </c>
      <c r="C766" s="1">
        <v>1</v>
      </c>
      <c r="D766" s="1">
        <v>62.5</v>
      </c>
      <c r="E766" s="1">
        <v>62.5</v>
      </c>
      <c r="F766" s="2">
        <v>45690</v>
      </c>
      <c r="G766" s="2">
        <v>45699</v>
      </c>
      <c r="H766" s="1" t="s">
        <v>12</v>
      </c>
      <c r="I766" s="1" t="s">
        <v>3</v>
      </c>
      <c r="J766" s="1">
        <v>5</v>
      </c>
      <c r="K766" s="1" t="s">
        <v>4</v>
      </c>
      <c r="L766" s="1" t="s">
        <v>18</v>
      </c>
      <c r="M766" s="1">
        <f>[1]!orders[[#This Row],[Ship Date]]-[1]!orders[[#This Row],[Order Date]]</f>
        <v>9</v>
      </c>
      <c r="N766" s="1">
        <f>WEEKNUM([1]!orders[[#This Row],[Order Date]])</f>
        <v>6</v>
      </c>
      <c r="O766" t="str" cm="1">
        <f t="array" ref="O766">_xlfn.IFS([1]!orders[[#This Row],[Customer Gender]]="M","Male", [1]!orders[[#This Row],[Customer Gender]]="F","Female", [1]!orders[[#This Row],[Customer Gender]]="O","Other", TRUE,"Unknown")</f>
        <v>Female</v>
      </c>
    </row>
    <row r="767" spans="1:15" x14ac:dyDescent="0.25">
      <c r="A767" t="s">
        <v>845</v>
      </c>
      <c r="B767" t="s">
        <v>7</v>
      </c>
      <c r="C767">
        <v>3</v>
      </c>
      <c r="D767">
        <v>46.9</v>
      </c>
      <c r="E767">
        <v>140.69999999999999</v>
      </c>
      <c r="F767" s="3">
        <v>45690</v>
      </c>
      <c r="G767" s="3">
        <v>45691</v>
      </c>
      <c r="H767" t="s">
        <v>8</v>
      </c>
      <c r="I767" t="s">
        <v>3</v>
      </c>
      <c r="J767">
        <v>5</v>
      </c>
      <c r="K767" t="s">
        <v>4</v>
      </c>
      <c r="L767" t="s">
        <v>18</v>
      </c>
      <c r="M767">
        <f>[1]!orders[[#This Row],[Ship Date]]-[1]!orders[[#This Row],[Order Date]]</f>
        <v>1</v>
      </c>
      <c r="N767">
        <f>WEEKNUM([1]!orders[[#This Row],[Order Date]])</f>
        <v>6</v>
      </c>
      <c r="O767" t="str" cm="1">
        <f t="array" ref="O767">_xlfn.IFS([1]!orders[[#This Row],[Customer Gender]]="M","Male", [1]!orders[[#This Row],[Customer Gender]]="F","Female", [1]!orders[[#This Row],[Customer Gender]]="O","Other", TRUE,"Unknown")</f>
        <v>Male</v>
      </c>
    </row>
    <row r="768" spans="1:15" x14ac:dyDescent="0.25">
      <c r="A768" s="1" t="s">
        <v>846</v>
      </c>
      <c r="B768" s="1" t="s">
        <v>29</v>
      </c>
      <c r="C768" s="1">
        <v>3</v>
      </c>
      <c r="D768" s="1">
        <v>45</v>
      </c>
      <c r="E768" s="1">
        <v>135</v>
      </c>
      <c r="F768" s="2">
        <v>45690</v>
      </c>
      <c r="G768" s="2">
        <v>45704</v>
      </c>
      <c r="H768" s="1" t="s">
        <v>8</v>
      </c>
      <c r="I768" s="1" t="s">
        <v>20</v>
      </c>
      <c r="J768" s="1">
        <v>4</v>
      </c>
      <c r="K768" s="1" t="s">
        <v>4</v>
      </c>
      <c r="L768" s="1" t="s">
        <v>18</v>
      </c>
      <c r="M768" s="1">
        <f>[1]!orders[[#This Row],[Ship Date]]-[1]!orders[[#This Row],[Order Date]]</f>
        <v>14</v>
      </c>
      <c r="N768" s="1">
        <f>WEEKNUM([1]!orders[[#This Row],[Order Date]])</f>
        <v>6</v>
      </c>
      <c r="O768" t="str" cm="1">
        <f t="array" ref="O768">_xlfn.IFS([1]!orders[[#This Row],[Customer Gender]]="M","Male", [1]!orders[[#This Row],[Customer Gender]]="F","Female", [1]!orders[[#This Row],[Customer Gender]]="O","Other", TRUE,"Unknown")</f>
        <v>Male</v>
      </c>
    </row>
    <row r="769" spans="1:15" x14ac:dyDescent="0.25">
      <c r="A769" t="s">
        <v>847</v>
      </c>
      <c r="B769" t="s">
        <v>24</v>
      </c>
      <c r="C769">
        <v>3</v>
      </c>
      <c r="D769">
        <v>45.2</v>
      </c>
      <c r="E769">
        <v>135.60000000000002</v>
      </c>
      <c r="F769" s="3">
        <v>45690</v>
      </c>
      <c r="G769" s="3">
        <v>45692</v>
      </c>
      <c r="H769" t="s">
        <v>8</v>
      </c>
      <c r="I769" t="s">
        <v>55</v>
      </c>
      <c r="J769">
        <v>5</v>
      </c>
      <c r="K769" t="s">
        <v>4</v>
      </c>
      <c r="L769" t="s">
        <v>18</v>
      </c>
      <c r="M769">
        <f>[1]!orders[[#This Row],[Ship Date]]-[1]!orders[[#This Row],[Order Date]]</f>
        <v>2</v>
      </c>
      <c r="N769">
        <f>WEEKNUM([1]!orders[[#This Row],[Order Date]])</f>
        <v>6</v>
      </c>
      <c r="O769" t="str" cm="1">
        <f t="array" ref="O769">_xlfn.IFS([1]!orders[[#This Row],[Customer Gender]]="M","Male", [1]!orders[[#This Row],[Customer Gender]]="F","Female", [1]!orders[[#This Row],[Customer Gender]]="O","Other", TRUE,"Unknown")</f>
        <v>Male</v>
      </c>
    </row>
    <row r="770" spans="1:15" x14ac:dyDescent="0.25">
      <c r="A770" s="1" t="s">
        <v>848</v>
      </c>
      <c r="B770" s="1" t="s">
        <v>17</v>
      </c>
      <c r="C770" s="1">
        <v>2</v>
      </c>
      <c r="D770" s="1">
        <v>60.1</v>
      </c>
      <c r="E770" s="1">
        <v>120.2</v>
      </c>
      <c r="F770" s="2">
        <v>45690</v>
      </c>
      <c r="G770" s="2">
        <v>45691</v>
      </c>
      <c r="H770" s="1" t="s">
        <v>12</v>
      </c>
      <c r="I770" s="1" t="s">
        <v>3</v>
      </c>
      <c r="J770" s="1">
        <v>5</v>
      </c>
      <c r="K770" s="1" t="s">
        <v>4</v>
      </c>
      <c r="L770" s="1" t="s">
        <v>18</v>
      </c>
      <c r="M770" s="1">
        <f>[1]!orders[[#This Row],[Ship Date]]-[1]!orders[[#This Row],[Order Date]]</f>
        <v>1</v>
      </c>
      <c r="N770" s="1">
        <f>WEEKNUM([1]!orders[[#This Row],[Order Date]])</f>
        <v>6</v>
      </c>
      <c r="O770" t="str" cm="1">
        <f t="array" ref="O770">_xlfn.IFS([1]!orders[[#This Row],[Customer Gender]]="M","Male", [1]!orders[[#This Row],[Customer Gender]]="F","Female", [1]!orders[[#This Row],[Customer Gender]]="O","Other", TRUE,"Unknown")</f>
        <v>Female</v>
      </c>
    </row>
    <row r="771" spans="1:15" x14ac:dyDescent="0.25">
      <c r="A771" t="s">
        <v>849</v>
      </c>
      <c r="B771" t="s">
        <v>54</v>
      </c>
      <c r="C771">
        <v>4</v>
      </c>
      <c r="D771">
        <v>118.7</v>
      </c>
      <c r="E771">
        <v>474.8</v>
      </c>
      <c r="F771" s="3">
        <v>45690</v>
      </c>
      <c r="G771" s="3">
        <v>45692</v>
      </c>
      <c r="H771" t="s">
        <v>12</v>
      </c>
      <c r="I771" t="s">
        <v>3</v>
      </c>
      <c r="J771">
        <v>4</v>
      </c>
      <c r="K771" t="s">
        <v>4</v>
      </c>
      <c r="L771" t="s">
        <v>18</v>
      </c>
      <c r="M771">
        <f>[1]!orders[[#This Row],[Ship Date]]-[1]!orders[[#This Row],[Order Date]]</f>
        <v>2</v>
      </c>
      <c r="N771">
        <f>WEEKNUM([1]!orders[[#This Row],[Order Date]])</f>
        <v>6</v>
      </c>
      <c r="O771" t="str" cm="1">
        <f t="array" ref="O771">_xlfn.IFS([1]!orders[[#This Row],[Customer Gender]]="M","Male", [1]!orders[[#This Row],[Customer Gender]]="F","Female", [1]!orders[[#This Row],[Customer Gender]]="O","Other", TRUE,"Unknown")</f>
        <v>Female</v>
      </c>
    </row>
    <row r="772" spans="1:15" x14ac:dyDescent="0.25">
      <c r="A772" s="1" t="s">
        <v>850</v>
      </c>
      <c r="B772" s="1" t="s">
        <v>31</v>
      </c>
      <c r="C772" s="1">
        <v>1</v>
      </c>
      <c r="D772" s="1">
        <v>57.8</v>
      </c>
      <c r="E772" s="1">
        <v>57.8</v>
      </c>
      <c r="F772" s="2">
        <v>45690</v>
      </c>
      <c r="G772" s="2">
        <v>45699</v>
      </c>
      <c r="H772" s="1" t="s">
        <v>12</v>
      </c>
      <c r="I772" s="1" t="s">
        <v>20</v>
      </c>
      <c r="J772" s="1">
        <v>4</v>
      </c>
      <c r="K772" s="1" t="s">
        <v>4</v>
      </c>
      <c r="L772" s="1" t="s">
        <v>18</v>
      </c>
      <c r="M772" s="1">
        <f>[1]!orders[[#This Row],[Ship Date]]-[1]!orders[[#This Row],[Order Date]]</f>
        <v>9</v>
      </c>
      <c r="N772" s="1">
        <f>WEEKNUM([1]!orders[[#This Row],[Order Date]])</f>
        <v>6</v>
      </c>
      <c r="O772" t="str" cm="1">
        <f t="array" ref="O772">_xlfn.IFS([1]!orders[[#This Row],[Customer Gender]]="M","Male", [1]!orders[[#This Row],[Customer Gender]]="F","Female", [1]!orders[[#This Row],[Customer Gender]]="O","Other", TRUE,"Unknown")</f>
        <v>Female</v>
      </c>
    </row>
    <row r="773" spans="1:15" x14ac:dyDescent="0.25">
      <c r="A773" t="s">
        <v>851</v>
      </c>
      <c r="B773" t="s">
        <v>17</v>
      </c>
      <c r="C773">
        <v>1</v>
      </c>
      <c r="D773">
        <v>19.5</v>
      </c>
      <c r="E773">
        <v>19.5</v>
      </c>
      <c r="F773" s="3">
        <v>45690</v>
      </c>
      <c r="G773" s="3">
        <v>45691</v>
      </c>
      <c r="H773" t="s">
        <v>8</v>
      </c>
      <c r="I773" t="s">
        <v>20</v>
      </c>
      <c r="J773">
        <v>3</v>
      </c>
      <c r="K773" t="s">
        <v>4</v>
      </c>
      <c r="L773" t="s">
        <v>18</v>
      </c>
      <c r="M773">
        <f>[1]!orders[[#This Row],[Ship Date]]-[1]!orders[[#This Row],[Order Date]]</f>
        <v>1</v>
      </c>
      <c r="N773">
        <f>WEEKNUM([1]!orders[[#This Row],[Order Date]])</f>
        <v>6</v>
      </c>
      <c r="O773" t="str" cm="1">
        <f t="array" ref="O773">_xlfn.IFS([1]!orders[[#This Row],[Customer Gender]]="M","Male", [1]!orders[[#This Row],[Customer Gender]]="F","Female", [1]!orders[[#This Row],[Customer Gender]]="O","Other", TRUE,"Unknown")</f>
        <v>Male</v>
      </c>
    </row>
    <row r="774" spans="1:15" x14ac:dyDescent="0.25">
      <c r="A774" s="1" t="s">
        <v>852</v>
      </c>
      <c r="B774" s="1" t="s">
        <v>54</v>
      </c>
      <c r="C774" s="1">
        <v>1</v>
      </c>
      <c r="D774" s="1">
        <v>42.6</v>
      </c>
      <c r="E774" s="1">
        <v>42.6</v>
      </c>
      <c r="F774" s="2">
        <v>45690</v>
      </c>
      <c r="G774" s="2">
        <v>45691</v>
      </c>
      <c r="H774" s="1" t="s">
        <v>8</v>
      </c>
      <c r="I774" s="1" t="s">
        <v>3</v>
      </c>
      <c r="J774" s="1">
        <v>3</v>
      </c>
      <c r="K774" s="1" t="s">
        <v>4</v>
      </c>
      <c r="L774" s="1" t="s">
        <v>18</v>
      </c>
      <c r="M774" s="1">
        <f>[1]!orders[[#This Row],[Ship Date]]-[1]!orders[[#This Row],[Order Date]]</f>
        <v>1</v>
      </c>
      <c r="N774" s="1">
        <f>WEEKNUM([1]!orders[[#This Row],[Order Date]])</f>
        <v>6</v>
      </c>
      <c r="O774" t="str" cm="1">
        <f t="array" ref="O774">_xlfn.IFS([1]!orders[[#This Row],[Customer Gender]]="M","Male", [1]!orders[[#This Row],[Customer Gender]]="F","Female", [1]!orders[[#This Row],[Customer Gender]]="O","Other", TRUE,"Unknown")</f>
        <v>Male</v>
      </c>
    </row>
    <row r="775" spans="1:15" x14ac:dyDescent="0.25">
      <c r="A775" t="s">
        <v>853</v>
      </c>
      <c r="B775" t="s">
        <v>24</v>
      </c>
      <c r="C775">
        <v>2</v>
      </c>
      <c r="D775">
        <v>74.8</v>
      </c>
      <c r="E775">
        <v>149.6</v>
      </c>
      <c r="F775" s="3">
        <v>45690</v>
      </c>
      <c r="G775" s="3">
        <v>45691</v>
      </c>
      <c r="H775" t="s">
        <v>12</v>
      </c>
      <c r="I775" t="s">
        <v>36</v>
      </c>
      <c r="J775">
        <v>5</v>
      </c>
      <c r="K775" t="s">
        <v>4</v>
      </c>
      <c r="L775" t="s">
        <v>349</v>
      </c>
      <c r="M775">
        <f>[1]!orders[[#This Row],[Ship Date]]-[1]!orders[[#This Row],[Order Date]]</f>
        <v>1</v>
      </c>
      <c r="N775">
        <f>WEEKNUM([1]!orders[[#This Row],[Order Date]])</f>
        <v>6</v>
      </c>
      <c r="O775" t="str" cm="1">
        <f t="array" ref="O775">_xlfn.IFS([1]!orders[[#This Row],[Customer Gender]]="M","Male", [1]!orders[[#This Row],[Customer Gender]]="F","Female", [1]!orders[[#This Row],[Customer Gender]]="O","Other", TRUE,"Unknown")</f>
        <v>Female</v>
      </c>
    </row>
    <row r="776" spans="1:15" x14ac:dyDescent="0.25">
      <c r="A776" s="1" t="s">
        <v>854</v>
      </c>
      <c r="B776" s="1" t="s">
        <v>29</v>
      </c>
      <c r="C776" s="1">
        <v>3</v>
      </c>
      <c r="D776" s="1">
        <v>32.5</v>
      </c>
      <c r="E776" s="1">
        <v>97.5</v>
      </c>
      <c r="F776" s="2">
        <v>45690</v>
      </c>
      <c r="G776" s="2">
        <v>45691</v>
      </c>
      <c r="H776" s="1" t="s">
        <v>8</v>
      </c>
      <c r="I776" s="1" t="s">
        <v>25</v>
      </c>
      <c r="J776" s="1">
        <v>2</v>
      </c>
      <c r="K776" s="1" t="s">
        <v>4</v>
      </c>
      <c r="L776" s="1" t="s">
        <v>83</v>
      </c>
      <c r="M776" s="1">
        <f>[1]!orders[[#This Row],[Ship Date]]-[1]!orders[[#This Row],[Order Date]]</f>
        <v>1</v>
      </c>
      <c r="N776" s="1">
        <f>WEEKNUM([1]!orders[[#This Row],[Order Date]])</f>
        <v>6</v>
      </c>
      <c r="O776" t="str" cm="1">
        <f t="array" ref="O776">_xlfn.IFS([1]!orders[[#This Row],[Customer Gender]]="M","Male", [1]!orders[[#This Row],[Customer Gender]]="F","Female", [1]!orders[[#This Row],[Customer Gender]]="O","Other", TRUE,"Unknown")</f>
        <v>Male</v>
      </c>
    </row>
    <row r="777" spans="1:15" x14ac:dyDescent="0.25">
      <c r="A777" t="s">
        <v>855</v>
      </c>
      <c r="B777" t="s">
        <v>11</v>
      </c>
      <c r="C777">
        <v>3</v>
      </c>
      <c r="D777">
        <v>60.5</v>
      </c>
      <c r="E777">
        <v>181.5</v>
      </c>
      <c r="F777" s="3">
        <v>45690</v>
      </c>
      <c r="G777" s="3">
        <v>45690</v>
      </c>
      <c r="H777" t="s">
        <v>12</v>
      </c>
      <c r="I777" t="s">
        <v>20</v>
      </c>
      <c r="J777">
        <v>5</v>
      </c>
      <c r="K777" t="s">
        <v>4</v>
      </c>
      <c r="L777" t="s">
        <v>173</v>
      </c>
      <c r="M777">
        <f>[1]!orders[[#This Row],[Ship Date]]-[1]!orders[[#This Row],[Order Date]]</f>
        <v>0</v>
      </c>
      <c r="N777">
        <f>WEEKNUM([1]!orders[[#This Row],[Order Date]])</f>
        <v>6</v>
      </c>
      <c r="O777" t="str" cm="1">
        <f t="array" ref="O777">_xlfn.IFS([1]!orders[[#This Row],[Customer Gender]]="M","Male", [1]!orders[[#This Row],[Customer Gender]]="F","Female", [1]!orders[[#This Row],[Customer Gender]]="O","Other", TRUE,"Unknown")</f>
        <v>Female</v>
      </c>
    </row>
    <row r="778" spans="1:15" x14ac:dyDescent="0.25">
      <c r="A778" s="1" t="s">
        <v>856</v>
      </c>
      <c r="B778" s="1" t="s">
        <v>7</v>
      </c>
      <c r="C778" s="1">
        <v>7</v>
      </c>
      <c r="D778" s="1">
        <v>57.2</v>
      </c>
      <c r="E778" s="1">
        <v>400.40000000000003</v>
      </c>
      <c r="F778" s="2">
        <v>45690</v>
      </c>
      <c r="G778" s="2">
        <v>45692</v>
      </c>
      <c r="H778" s="1" t="s">
        <v>2</v>
      </c>
      <c r="I778" s="1" t="s">
        <v>25</v>
      </c>
      <c r="J778" s="1">
        <v>4</v>
      </c>
      <c r="K778" s="1" t="s">
        <v>4</v>
      </c>
      <c r="L778" s="1" t="s">
        <v>173</v>
      </c>
      <c r="M778" s="1">
        <f>[1]!orders[[#This Row],[Ship Date]]-[1]!orders[[#This Row],[Order Date]]</f>
        <v>2</v>
      </c>
      <c r="N778" s="1">
        <f>WEEKNUM([1]!orders[[#This Row],[Order Date]])</f>
        <v>6</v>
      </c>
      <c r="O778" t="str" cm="1">
        <f t="array" ref="O778">_xlfn.IFS([1]!orders[[#This Row],[Customer Gender]]="M","Male", [1]!orders[[#This Row],[Customer Gender]]="F","Female", [1]!orders[[#This Row],[Customer Gender]]="O","Other", TRUE,"Unknown")</f>
        <v>Unknown</v>
      </c>
    </row>
    <row r="779" spans="1:15" x14ac:dyDescent="0.25">
      <c r="A779" t="s">
        <v>857</v>
      </c>
      <c r="B779" t="s">
        <v>113</v>
      </c>
      <c r="C779">
        <v>2</v>
      </c>
      <c r="D779">
        <v>112</v>
      </c>
      <c r="E779">
        <v>224</v>
      </c>
      <c r="F779" s="3">
        <v>45690</v>
      </c>
      <c r="G779" s="3">
        <v>45691</v>
      </c>
      <c r="H779" t="s">
        <v>12</v>
      </c>
      <c r="I779" t="s">
        <v>20</v>
      </c>
      <c r="J779">
        <v>3</v>
      </c>
      <c r="K779" t="s">
        <v>4</v>
      </c>
      <c r="L779" t="s">
        <v>37</v>
      </c>
      <c r="M779">
        <f>[1]!orders[[#This Row],[Ship Date]]-[1]!orders[[#This Row],[Order Date]]</f>
        <v>1</v>
      </c>
      <c r="N779">
        <f>WEEKNUM([1]!orders[[#This Row],[Order Date]])</f>
        <v>6</v>
      </c>
      <c r="O779" t="str" cm="1">
        <f t="array" ref="O779">_xlfn.IFS([1]!orders[[#This Row],[Customer Gender]]="M","Male", [1]!orders[[#This Row],[Customer Gender]]="F","Female", [1]!orders[[#This Row],[Customer Gender]]="O","Other", TRUE,"Unknown")</f>
        <v>Female</v>
      </c>
    </row>
    <row r="780" spans="1:15" x14ac:dyDescent="0.25">
      <c r="A780" s="1" t="s">
        <v>858</v>
      </c>
      <c r="B780" s="1" t="s">
        <v>27</v>
      </c>
      <c r="C780" s="1">
        <v>10</v>
      </c>
      <c r="D780" s="1">
        <v>49</v>
      </c>
      <c r="E780" s="1">
        <v>490</v>
      </c>
      <c r="F780" s="2">
        <v>45690</v>
      </c>
      <c r="G780" s="2">
        <v>45691</v>
      </c>
      <c r="H780" s="1" t="s">
        <v>74</v>
      </c>
      <c r="I780" s="1" t="s">
        <v>25</v>
      </c>
      <c r="J780" s="1">
        <v>3</v>
      </c>
      <c r="K780" s="1" t="s">
        <v>4</v>
      </c>
      <c r="L780" s="1" t="s">
        <v>40</v>
      </c>
      <c r="M780" s="1">
        <f>[1]!orders[[#This Row],[Ship Date]]-[1]!orders[[#This Row],[Order Date]]</f>
        <v>1</v>
      </c>
      <c r="N780" s="1">
        <f>WEEKNUM([1]!orders[[#This Row],[Order Date]])</f>
        <v>6</v>
      </c>
      <c r="O780" t="str" cm="1">
        <f t="array" ref="O780">_xlfn.IFS([1]!orders[[#This Row],[Customer Gender]]="M","Male", [1]!orders[[#This Row],[Customer Gender]]="F","Female", [1]!orders[[#This Row],[Customer Gender]]="O","Other", TRUE,"Unknown")</f>
        <v>Other</v>
      </c>
    </row>
    <row r="781" spans="1:15" x14ac:dyDescent="0.25">
      <c r="A781" t="s">
        <v>859</v>
      </c>
      <c r="B781" t="s">
        <v>1</v>
      </c>
      <c r="C781">
        <v>2</v>
      </c>
      <c r="D781">
        <v>33.700000000000003</v>
      </c>
      <c r="E781">
        <v>67.400000000000006</v>
      </c>
      <c r="F781" s="3">
        <v>45690</v>
      </c>
      <c r="G781" s="3">
        <v>45694</v>
      </c>
      <c r="H781" t="s">
        <v>12</v>
      </c>
      <c r="I781" t="s">
        <v>36</v>
      </c>
      <c r="J781">
        <v>4</v>
      </c>
      <c r="K781" t="s">
        <v>4</v>
      </c>
      <c r="L781" t="s">
        <v>40</v>
      </c>
      <c r="M781">
        <f>[1]!orders[[#This Row],[Ship Date]]-[1]!orders[[#This Row],[Order Date]]</f>
        <v>4</v>
      </c>
      <c r="N781">
        <f>WEEKNUM([1]!orders[[#This Row],[Order Date]])</f>
        <v>6</v>
      </c>
      <c r="O781" t="str" cm="1">
        <f t="array" ref="O781">_xlfn.IFS([1]!orders[[#This Row],[Customer Gender]]="M","Male", [1]!orders[[#This Row],[Customer Gender]]="F","Female", [1]!orders[[#This Row],[Customer Gender]]="O","Other", TRUE,"Unknown")</f>
        <v>Female</v>
      </c>
    </row>
    <row r="782" spans="1:15" x14ac:dyDescent="0.25">
      <c r="A782" s="1" t="s">
        <v>860</v>
      </c>
      <c r="B782" s="1" t="s">
        <v>17</v>
      </c>
      <c r="C782" s="1">
        <v>3</v>
      </c>
      <c r="D782" s="1">
        <v>35.6</v>
      </c>
      <c r="E782" s="1">
        <v>106.80000000000001</v>
      </c>
      <c r="F782" s="2">
        <v>45690</v>
      </c>
      <c r="G782" s="2">
        <v>45693</v>
      </c>
      <c r="H782" s="1" t="s">
        <v>12</v>
      </c>
      <c r="I782" s="1" t="s">
        <v>3</v>
      </c>
      <c r="J782" s="1">
        <v>5</v>
      </c>
      <c r="K782" s="1" t="s">
        <v>4</v>
      </c>
      <c r="L782" s="1" t="s">
        <v>40</v>
      </c>
      <c r="M782" s="1">
        <f>[1]!orders[[#This Row],[Ship Date]]-[1]!orders[[#This Row],[Order Date]]</f>
        <v>3</v>
      </c>
      <c r="N782" s="1">
        <f>WEEKNUM([1]!orders[[#This Row],[Order Date]])</f>
        <v>6</v>
      </c>
      <c r="O782" t="str" cm="1">
        <f t="array" ref="O782">_xlfn.IFS([1]!orders[[#This Row],[Customer Gender]]="M","Male", [1]!orders[[#This Row],[Customer Gender]]="F","Female", [1]!orders[[#This Row],[Customer Gender]]="O","Other", TRUE,"Unknown")</f>
        <v>Female</v>
      </c>
    </row>
    <row r="783" spans="1:15" x14ac:dyDescent="0.25">
      <c r="A783" t="s">
        <v>861</v>
      </c>
      <c r="B783" t="s">
        <v>17</v>
      </c>
      <c r="C783">
        <v>35</v>
      </c>
      <c r="D783">
        <v>30.4</v>
      </c>
      <c r="E783">
        <v>1064</v>
      </c>
      <c r="F783" s="3">
        <v>45691</v>
      </c>
      <c r="G783" s="3">
        <v>45691</v>
      </c>
      <c r="H783" t="s">
        <v>12</v>
      </c>
      <c r="I783" t="s">
        <v>3</v>
      </c>
      <c r="J783">
        <v>3</v>
      </c>
      <c r="K783" t="s">
        <v>4</v>
      </c>
      <c r="L783" t="s">
        <v>44</v>
      </c>
      <c r="M783">
        <f>[1]!orders[[#This Row],[Ship Date]]-[1]!orders[[#This Row],[Order Date]]</f>
        <v>0</v>
      </c>
      <c r="N783">
        <f>WEEKNUM([1]!orders[[#This Row],[Order Date]])</f>
        <v>6</v>
      </c>
      <c r="O783" t="str" cm="1">
        <f t="array" ref="O783">_xlfn.IFS([1]!orders[[#This Row],[Customer Gender]]="M","Male", [1]!orders[[#This Row],[Customer Gender]]="F","Female", [1]!orders[[#This Row],[Customer Gender]]="O","Other", TRUE,"Unknown")</f>
        <v>Female</v>
      </c>
    </row>
    <row r="784" spans="1:15" x14ac:dyDescent="0.25">
      <c r="A784" s="1" t="s">
        <v>862</v>
      </c>
      <c r="B784" s="1" t="s">
        <v>39</v>
      </c>
      <c r="C784" s="1">
        <v>12</v>
      </c>
      <c r="D784" s="1">
        <v>50.2</v>
      </c>
      <c r="E784" s="1">
        <v>602.40000000000009</v>
      </c>
      <c r="F784" s="2">
        <v>45691</v>
      </c>
      <c r="G784" s="2">
        <v>45692</v>
      </c>
      <c r="H784" s="1" t="s">
        <v>8</v>
      </c>
      <c r="I784" s="1" t="s">
        <v>55</v>
      </c>
      <c r="J784" s="1">
        <v>4</v>
      </c>
      <c r="K784" s="1" t="s">
        <v>4</v>
      </c>
      <c r="L784" s="1" t="s">
        <v>47</v>
      </c>
      <c r="M784" s="1">
        <f>[1]!orders[[#This Row],[Ship Date]]-[1]!orders[[#This Row],[Order Date]]</f>
        <v>1</v>
      </c>
      <c r="N784" s="1">
        <f>WEEKNUM([1]!orders[[#This Row],[Order Date]])</f>
        <v>6</v>
      </c>
      <c r="O784" t="str" cm="1">
        <f t="array" ref="O784">_xlfn.IFS([1]!orders[[#This Row],[Customer Gender]]="M","Male", [1]!orders[[#This Row],[Customer Gender]]="F","Female", [1]!orders[[#This Row],[Customer Gender]]="O","Other", TRUE,"Unknown")</f>
        <v>Male</v>
      </c>
    </row>
    <row r="785" spans="1:15" x14ac:dyDescent="0.25">
      <c r="A785" t="s">
        <v>863</v>
      </c>
      <c r="B785" t="s">
        <v>7</v>
      </c>
      <c r="C785">
        <v>2</v>
      </c>
      <c r="D785">
        <v>43.7</v>
      </c>
      <c r="E785">
        <v>87.4</v>
      </c>
      <c r="F785" s="3">
        <v>45691</v>
      </c>
      <c r="G785" s="3">
        <v>45693</v>
      </c>
      <c r="H785" t="s">
        <v>12</v>
      </c>
      <c r="I785" t="s">
        <v>3</v>
      </c>
      <c r="J785">
        <v>4</v>
      </c>
      <c r="K785" t="s">
        <v>4</v>
      </c>
      <c r="L785" t="s">
        <v>47</v>
      </c>
      <c r="M785">
        <f>[1]!orders[[#This Row],[Ship Date]]-[1]!orders[[#This Row],[Order Date]]</f>
        <v>2</v>
      </c>
      <c r="N785">
        <f>WEEKNUM([1]!orders[[#This Row],[Order Date]])</f>
        <v>6</v>
      </c>
      <c r="O785" t="str" cm="1">
        <f t="array" ref="O785">_xlfn.IFS([1]!orders[[#This Row],[Customer Gender]]="M","Male", [1]!orders[[#This Row],[Customer Gender]]="F","Female", [1]!orders[[#This Row],[Customer Gender]]="O","Other", TRUE,"Unknown")</f>
        <v>Female</v>
      </c>
    </row>
    <row r="786" spans="1:15" x14ac:dyDescent="0.25">
      <c r="A786" s="1" t="s">
        <v>864</v>
      </c>
      <c r="B786" s="1" t="s">
        <v>39</v>
      </c>
      <c r="C786" s="1">
        <v>1</v>
      </c>
      <c r="D786" s="1">
        <v>33.299999999999997</v>
      </c>
      <c r="E786" s="1">
        <v>33.299999999999997</v>
      </c>
      <c r="F786" s="2">
        <v>45691</v>
      </c>
      <c r="G786" s="2">
        <v>45692</v>
      </c>
      <c r="H786" s="1" t="s">
        <v>12</v>
      </c>
      <c r="I786" s="1" t="s">
        <v>25</v>
      </c>
      <c r="J786" s="1">
        <v>3</v>
      </c>
      <c r="K786" s="1" t="s">
        <v>4</v>
      </c>
      <c r="L786" s="1" t="s">
        <v>47</v>
      </c>
      <c r="M786" s="1">
        <f>[1]!orders[[#This Row],[Ship Date]]-[1]!orders[[#This Row],[Order Date]]</f>
        <v>1</v>
      </c>
      <c r="N786" s="1">
        <f>WEEKNUM([1]!orders[[#This Row],[Order Date]])</f>
        <v>6</v>
      </c>
      <c r="O786" t="str" cm="1">
        <f t="array" ref="O786">_xlfn.IFS([1]!orders[[#This Row],[Customer Gender]]="M","Male", [1]!orders[[#This Row],[Customer Gender]]="F","Female", [1]!orders[[#This Row],[Customer Gender]]="O","Other", TRUE,"Unknown")</f>
        <v>Female</v>
      </c>
    </row>
    <row r="787" spans="1:15" x14ac:dyDescent="0.25">
      <c r="A787" t="s">
        <v>865</v>
      </c>
      <c r="B787" t="s">
        <v>29</v>
      </c>
      <c r="C787">
        <v>4</v>
      </c>
      <c r="D787">
        <v>15.1</v>
      </c>
      <c r="E787">
        <v>60.4</v>
      </c>
      <c r="F787" s="3">
        <v>45691</v>
      </c>
      <c r="G787" s="3">
        <v>45693</v>
      </c>
      <c r="H787" t="s">
        <v>12</v>
      </c>
      <c r="I787" t="s">
        <v>55</v>
      </c>
      <c r="J787">
        <v>5</v>
      </c>
      <c r="K787" t="s">
        <v>4</v>
      </c>
      <c r="L787" t="s">
        <v>47</v>
      </c>
      <c r="M787">
        <f>[1]!orders[[#This Row],[Ship Date]]-[1]!orders[[#This Row],[Order Date]]</f>
        <v>2</v>
      </c>
      <c r="N787">
        <f>WEEKNUM([1]!orders[[#This Row],[Order Date]])</f>
        <v>6</v>
      </c>
      <c r="O787" t="str" cm="1">
        <f t="array" ref="O787">_xlfn.IFS([1]!orders[[#This Row],[Customer Gender]]="M","Male", [1]!orders[[#This Row],[Customer Gender]]="F","Female", [1]!orders[[#This Row],[Customer Gender]]="O","Other", TRUE,"Unknown")</f>
        <v>Female</v>
      </c>
    </row>
    <row r="788" spans="1:15" x14ac:dyDescent="0.25">
      <c r="A788" s="1" t="s">
        <v>866</v>
      </c>
      <c r="B788" s="1" t="s">
        <v>24</v>
      </c>
      <c r="C788" s="1">
        <v>5</v>
      </c>
      <c r="D788" s="1">
        <v>118.2</v>
      </c>
      <c r="E788" s="1">
        <v>591</v>
      </c>
      <c r="F788" s="2">
        <v>45691</v>
      </c>
      <c r="G788" s="2">
        <v>45692</v>
      </c>
      <c r="H788" s="1" t="s">
        <v>12</v>
      </c>
      <c r="I788" s="1" t="s">
        <v>36</v>
      </c>
      <c r="J788" s="1">
        <v>2</v>
      </c>
      <c r="K788" s="1" t="s">
        <v>4</v>
      </c>
      <c r="L788" s="1" t="s">
        <v>47</v>
      </c>
      <c r="M788" s="1">
        <f>[1]!orders[[#This Row],[Ship Date]]-[1]!orders[[#This Row],[Order Date]]</f>
        <v>1</v>
      </c>
      <c r="N788" s="1">
        <f>WEEKNUM([1]!orders[[#This Row],[Order Date]])</f>
        <v>6</v>
      </c>
      <c r="O788" t="str" cm="1">
        <f t="array" ref="O788">_xlfn.IFS([1]!orders[[#This Row],[Customer Gender]]="M","Male", [1]!orders[[#This Row],[Customer Gender]]="F","Female", [1]!orders[[#This Row],[Customer Gender]]="O","Other", TRUE,"Unknown")</f>
        <v>Female</v>
      </c>
    </row>
    <row r="789" spans="1:15" x14ac:dyDescent="0.25">
      <c r="A789" t="s">
        <v>867</v>
      </c>
      <c r="B789" t="s">
        <v>39</v>
      </c>
      <c r="C789">
        <v>3</v>
      </c>
      <c r="D789">
        <v>28.9</v>
      </c>
      <c r="E789">
        <v>86.699999999999989</v>
      </c>
      <c r="F789" s="3">
        <v>45691</v>
      </c>
      <c r="G789" s="3">
        <v>45693</v>
      </c>
      <c r="H789" t="s">
        <v>12</v>
      </c>
      <c r="I789" t="s">
        <v>25</v>
      </c>
      <c r="J789">
        <v>3</v>
      </c>
      <c r="K789" t="s">
        <v>4</v>
      </c>
      <c r="L789" t="s">
        <v>47</v>
      </c>
      <c r="M789">
        <f>[1]!orders[[#This Row],[Ship Date]]-[1]!orders[[#This Row],[Order Date]]</f>
        <v>2</v>
      </c>
      <c r="N789">
        <f>WEEKNUM([1]!orders[[#This Row],[Order Date]])</f>
        <v>6</v>
      </c>
      <c r="O789" t="str" cm="1">
        <f t="array" ref="O789">_xlfn.IFS([1]!orders[[#This Row],[Customer Gender]]="M","Male", [1]!orders[[#This Row],[Customer Gender]]="F","Female", [1]!orders[[#This Row],[Customer Gender]]="O","Other", TRUE,"Unknown")</f>
        <v>Female</v>
      </c>
    </row>
    <row r="790" spans="1:15" x14ac:dyDescent="0.25">
      <c r="A790" s="1" t="s">
        <v>868</v>
      </c>
      <c r="B790" s="1" t="s">
        <v>17</v>
      </c>
      <c r="C790" s="1">
        <v>3</v>
      </c>
      <c r="D790" s="1">
        <v>55.6</v>
      </c>
      <c r="E790" s="1">
        <v>166.8</v>
      </c>
      <c r="F790" s="2">
        <v>45691</v>
      </c>
      <c r="G790" s="2">
        <v>45692</v>
      </c>
      <c r="H790" s="1" t="s">
        <v>8</v>
      </c>
      <c r="I790" s="1" t="s">
        <v>3</v>
      </c>
      <c r="J790" s="1">
        <v>3</v>
      </c>
      <c r="K790" s="1" t="s">
        <v>4</v>
      </c>
      <c r="L790" s="1" t="s">
        <v>47</v>
      </c>
      <c r="M790" s="1">
        <f>[1]!orders[[#This Row],[Ship Date]]-[1]!orders[[#This Row],[Order Date]]</f>
        <v>1</v>
      </c>
      <c r="N790" s="1">
        <f>WEEKNUM([1]!orders[[#This Row],[Order Date]])</f>
        <v>6</v>
      </c>
      <c r="O790" t="str" cm="1">
        <f t="array" ref="O790">_xlfn.IFS([1]!orders[[#This Row],[Customer Gender]]="M","Male", [1]!orders[[#This Row],[Customer Gender]]="F","Female", [1]!orders[[#This Row],[Customer Gender]]="O","Other", TRUE,"Unknown")</f>
        <v>Male</v>
      </c>
    </row>
    <row r="791" spans="1:15" x14ac:dyDescent="0.25">
      <c r="A791" t="s">
        <v>869</v>
      </c>
      <c r="B791" t="s">
        <v>31</v>
      </c>
      <c r="C791">
        <v>4</v>
      </c>
      <c r="D791">
        <v>25.6</v>
      </c>
      <c r="E791">
        <v>102.4</v>
      </c>
      <c r="F791" s="3">
        <v>45691</v>
      </c>
      <c r="G791" s="3">
        <v>45693</v>
      </c>
      <c r="H791" t="s">
        <v>12</v>
      </c>
      <c r="I791" t="s">
        <v>3</v>
      </c>
      <c r="J791">
        <v>3</v>
      </c>
      <c r="K791" t="s">
        <v>4</v>
      </c>
      <c r="L791" t="s">
        <v>47</v>
      </c>
      <c r="M791">
        <f>[1]!orders[[#This Row],[Ship Date]]-[1]!orders[[#This Row],[Order Date]]</f>
        <v>2</v>
      </c>
      <c r="N791">
        <f>WEEKNUM([1]!orders[[#This Row],[Order Date]])</f>
        <v>6</v>
      </c>
      <c r="O791" t="str" cm="1">
        <f t="array" ref="O791">_xlfn.IFS([1]!orders[[#This Row],[Customer Gender]]="M","Male", [1]!orders[[#This Row],[Customer Gender]]="F","Female", [1]!orders[[#This Row],[Customer Gender]]="O","Other", TRUE,"Unknown")</f>
        <v>Female</v>
      </c>
    </row>
    <row r="792" spans="1:15" x14ac:dyDescent="0.25">
      <c r="A792" s="1" t="s">
        <v>870</v>
      </c>
      <c r="B792" s="1" t="s">
        <v>27</v>
      </c>
      <c r="C792" s="1">
        <v>3</v>
      </c>
      <c r="D792" s="1">
        <v>31.3</v>
      </c>
      <c r="E792" s="1">
        <v>93.9</v>
      </c>
      <c r="F792" s="2">
        <v>45691</v>
      </c>
      <c r="G792" s="2">
        <v>45692</v>
      </c>
      <c r="H792" s="1" t="s">
        <v>8</v>
      </c>
      <c r="I792" s="1" t="s">
        <v>3</v>
      </c>
      <c r="J792" s="1">
        <v>4</v>
      </c>
      <c r="K792" s="1" t="s">
        <v>4</v>
      </c>
      <c r="L792" s="1" t="s">
        <v>88</v>
      </c>
      <c r="M792" s="1">
        <f>[1]!orders[[#This Row],[Ship Date]]-[1]!orders[[#This Row],[Order Date]]</f>
        <v>1</v>
      </c>
      <c r="N792" s="1">
        <f>WEEKNUM([1]!orders[[#This Row],[Order Date]])</f>
        <v>6</v>
      </c>
      <c r="O792" t="str" cm="1">
        <f t="array" ref="O792">_xlfn.IFS([1]!orders[[#This Row],[Customer Gender]]="M","Male", [1]!orders[[#This Row],[Customer Gender]]="F","Female", [1]!orders[[#This Row],[Customer Gender]]="O","Other", TRUE,"Unknown")</f>
        <v>Male</v>
      </c>
    </row>
    <row r="793" spans="1:15" x14ac:dyDescent="0.25">
      <c r="A793" t="s">
        <v>871</v>
      </c>
      <c r="B793" t="s">
        <v>1</v>
      </c>
      <c r="C793">
        <v>3</v>
      </c>
      <c r="D793">
        <v>22.1</v>
      </c>
      <c r="E793">
        <v>66.300000000000011</v>
      </c>
      <c r="F793" s="3">
        <v>45691</v>
      </c>
      <c r="G793" s="3">
        <v>45695</v>
      </c>
      <c r="H793" t="s">
        <v>8</v>
      </c>
      <c r="I793" t="s">
        <v>3</v>
      </c>
      <c r="J793">
        <v>4</v>
      </c>
      <c r="K793" t="s">
        <v>4</v>
      </c>
      <c r="L793" t="s">
        <v>88</v>
      </c>
      <c r="M793">
        <f>[1]!orders[[#This Row],[Ship Date]]-[1]!orders[[#This Row],[Order Date]]</f>
        <v>4</v>
      </c>
      <c r="N793">
        <f>WEEKNUM([1]!orders[[#This Row],[Order Date]])</f>
        <v>6</v>
      </c>
      <c r="O793" t="str" cm="1">
        <f t="array" ref="O793">_xlfn.IFS([1]!orders[[#This Row],[Customer Gender]]="M","Male", [1]!orders[[#This Row],[Customer Gender]]="F","Female", [1]!orders[[#This Row],[Customer Gender]]="O","Other", TRUE,"Unknown")</f>
        <v>Male</v>
      </c>
    </row>
    <row r="794" spans="1:15" x14ac:dyDescent="0.25">
      <c r="A794" s="1" t="s">
        <v>872</v>
      </c>
      <c r="B794" s="1" t="s">
        <v>11</v>
      </c>
      <c r="C794" s="1">
        <v>14</v>
      </c>
      <c r="D794" s="1">
        <v>99.4</v>
      </c>
      <c r="E794" s="1">
        <v>1391.6000000000001</v>
      </c>
      <c r="F794" s="2">
        <v>45691</v>
      </c>
      <c r="G794" s="2">
        <v>45692</v>
      </c>
      <c r="H794" s="1" t="s">
        <v>8</v>
      </c>
      <c r="I794" s="1" t="s">
        <v>20</v>
      </c>
      <c r="J794" s="1">
        <v>4</v>
      </c>
      <c r="K794" s="1" t="s">
        <v>4</v>
      </c>
      <c r="L794" s="1" t="s">
        <v>62</v>
      </c>
      <c r="M794" s="1">
        <f>[1]!orders[[#This Row],[Ship Date]]-[1]!orders[[#This Row],[Order Date]]</f>
        <v>1</v>
      </c>
      <c r="N794" s="1">
        <f>WEEKNUM([1]!orders[[#This Row],[Order Date]])</f>
        <v>6</v>
      </c>
      <c r="O794" t="str" cm="1">
        <f t="array" ref="O794">_xlfn.IFS([1]!orders[[#This Row],[Customer Gender]]="M","Male", [1]!orders[[#This Row],[Customer Gender]]="F","Female", [1]!orders[[#This Row],[Customer Gender]]="O","Other", TRUE,"Unknown")</f>
        <v>Male</v>
      </c>
    </row>
    <row r="795" spans="1:15" x14ac:dyDescent="0.25">
      <c r="A795" t="s">
        <v>873</v>
      </c>
      <c r="B795" t="s">
        <v>27</v>
      </c>
      <c r="C795">
        <v>6</v>
      </c>
      <c r="D795">
        <v>66.599999999999994</v>
      </c>
      <c r="E795">
        <v>399.59999999999997</v>
      </c>
      <c r="F795" s="3">
        <v>45691</v>
      </c>
      <c r="G795" s="3">
        <v>45692</v>
      </c>
      <c r="H795" t="s">
        <v>12</v>
      </c>
      <c r="I795" t="s">
        <v>3</v>
      </c>
      <c r="J795">
        <v>4</v>
      </c>
      <c r="K795" t="s">
        <v>4</v>
      </c>
      <c r="L795" t="s">
        <v>62</v>
      </c>
      <c r="M795">
        <f>[1]!orders[[#This Row],[Ship Date]]-[1]!orders[[#This Row],[Order Date]]</f>
        <v>1</v>
      </c>
      <c r="N795">
        <f>WEEKNUM([1]!orders[[#This Row],[Order Date]])</f>
        <v>6</v>
      </c>
      <c r="O795" t="str" cm="1">
        <f t="array" ref="O795">_xlfn.IFS([1]!orders[[#This Row],[Customer Gender]]="M","Male", [1]!orders[[#This Row],[Customer Gender]]="F","Female", [1]!orders[[#This Row],[Customer Gender]]="O","Other", TRUE,"Unknown")</f>
        <v>Female</v>
      </c>
    </row>
    <row r="796" spans="1:15" x14ac:dyDescent="0.25">
      <c r="A796" s="1" t="s">
        <v>874</v>
      </c>
      <c r="B796" s="1" t="s">
        <v>29</v>
      </c>
      <c r="C796" s="1">
        <v>2</v>
      </c>
      <c r="D796" s="1">
        <v>22.6</v>
      </c>
      <c r="E796" s="1">
        <v>45.2</v>
      </c>
      <c r="F796" s="2">
        <v>45691</v>
      </c>
      <c r="G796" s="2">
        <v>45694</v>
      </c>
      <c r="H796" s="1" t="s">
        <v>8</v>
      </c>
      <c r="I796" s="1" t="s">
        <v>3</v>
      </c>
      <c r="J796" s="1">
        <v>4</v>
      </c>
      <c r="K796" s="1" t="s">
        <v>4</v>
      </c>
      <c r="L796" s="1" t="s">
        <v>62</v>
      </c>
      <c r="M796" s="1">
        <f>[1]!orders[[#This Row],[Ship Date]]-[1]!orders[[#This Row],[Order Date]]</f>
        <v>3</v>
      </c>
      <c r="N796" s="1">
        <f>WEEKNUM([1]!orders[[#This Row],[Order Date]])</f>
        <v>6</v>
      </c>
      <c r="O796" t="str" cm="1">
        <f t="array" ref="O796">_xlfn.IFS([1]!orders[[#This Row],[Customer Gender]]="M","Male", [1]!orders[[#This Row],[Customer Gender]]="F","Female", [1]!orders[[#This Row],[Customer Gender]]="O","Other", TRUE,"Unknown")</f>
        <v>Male</v>
      </c>
    </row>
    <row r="797" spans="1:15" x14ac:dyDescent="0.25">
      <c r="A797" t="s">
        <v>875</v>
      </c>
      <c r="B797" t="s">
        <v>11</v>
      </c>
      <c r="C797">
        <v>18</v>
      </c>
      <c r="D797">
        <v>66.8</v>
      </c>
      <c r="E797">
        <v>1202.3999999999999</v>
      </c>
      <c r="F797" s="3">
        <v>45691</v>
      </c>
      <c r="G797" s="3">
        <v>45692</v>
      </c>
      <c r="H797" t="s">
        <v>12</v>
      </c>
      <c r="I797" t="s">
        <v>3</v>
      </c>
      <c r="J797">
        <v>2</v>
      </c>
      <c r="K797" t="s">
        <v>4</v>
      </c>
      <c r="L797" t="s">
        <v>67</v>
      </c>
      <c r="M797">
        <f>[1]!orders[[#This Row],[Ship Date]]-[1]!orders[[#This Row],[Order Date]]</f>
        <v>1</v>
      </c>
      <c r="N797">
        <f>WEEKNUM([1]!orders[[#This Row],[Order Date]])</f>
        <v>6</v>
      </c>
      <c r="O797" t="str" cm="1">
        <f t="array" ref="O797">_xlfn.IFS([1]!orders[[#This Row],[Customer Gender]]="M","Male", [1]!orders[[#This Row],[Customer Gender]]="F","Female", [1]!orders[[#This Row],[Customer Gender]]="O","Other", TRUE,"Unknown")</f>
        <v>Female</v>
      </c>
    </row>
    <row r="798" spans="1:15" x14ac:dyDescent="0.25">
      <c r="A798" s="1" t="s">
        <v>876</v>
      </c>
      <c r="B798" s="1" t="s">
        <v>1</v>
      </c>
      <c r="C798" s="1">
        <v>4</v>
      </c>
      <c r="D798" s="1">
        <v>20.8</v>
      </c>
      <c r="E798" s="1">
        <v>83.2</v>
      </c>
      <c r="F798" s="2">
        <v>45691</v>
      </c>
      <c r="G798" s="2">
        <v>45698</v>
      </c>
      <c r="H798" s="1" t="s">
        <v>8</v>
      </c>
      <c r="I798" s="1" t="s">
        <v>20</v>
      </c>
      <c r="J798" s="1">
        <v>2</v>
      </c>
      <c r="K798" s="1" t="s">
        <v>4</v>
      </c>
      <c r="L798" s="1" t="s">
        <v>9</v>
      </c>
      <c r="M798" s="1">
        <f>[1]!orders[[#This Row],[Ship Date]]-[1]!orders[[#This Row],[Order Date]]</f>
        <v>7</v>
      </c>
      <c r="N798" s="1">
        <f>WEEKNUM([1]!orders[[#This Row],[Order Date]])</f>
        <v>6</v>
      </c>
      <c r="O798" t="str" cm="1">
        <f t="array" ref="O798">_xlfn.IFS([1]!orders[[#This Row],[Customer Gender]]="M","Male", [1]!orders[[#This Row],[Customer Gender]]="F","Female", [1]!orders[[#This Row],[Customer Gender]]="O","Other", TRUE,"Unknown")</f>
        <v>Male</v>
      </c>
    </row>
    <row r="799" spans="1:15" x14ac:dyDescent="0.25">
      <c r="A799" t="s">
        <v>877</v>
      </c>
      <c r="B799" t="s">
        <v>11</v>
      </c>
      <c r="C799">
        <v>7</v>
      </c>
      <c r="D799">
        <v>102.5</v>
      </c>
      <c r="E799">
        <v>717.5</v>
      </c>
      <c r="F799" s="3">
        <v>45691</v>
      </c>
      <c r="G799" s="3">
        <v>45692</v>
      </c>
      <c r="H799" t="s">
        <v>12</v>
      </c>
      <c r="I799" t="s">
        <v>55</v>
      </c>
      <c r="J799">
        <v>5</v>
      </c>
      <c r="K799" t="s">
        <v>4</v>
      </c>
      <c r="L799" t="s">
        <v>18</v>
      </c>
      <c r="M799">
        <f>[1]!orders[[#This Row],[Ship Date]]-[1]!orders[[#This Row],[Order Date]]</f>
        <v>1</v>
      </c>
      <c r="N799">
        <f>WEEKNUM([1]!orders[[#This Row],[Order Date]])</f>
        <v>6</v>
      </c>
      <c r="O799" t="str" cm="1">
        <f t="array" ref="O799">_xlfn.IFS([1]!orders[[#This Row],[Customer Gender]]="M","Male", [1]!orders[[#This Row],[Customer Gender]]="F","Female", [1]!orders[[#This Row],[Customer Gender]]="O","Other", TRUE,"Unknown")</f>
        <v>Female</v>
      </c>
    </row>
    <row r="800" spans="1:15" x14ac:dyDescent="0.25">
      <c r="A800" s="1" t="s">
        <v>878</v>
      </c>
      <c r="B800" s="1" t="s">
        <v>1</v>
      </c>
      <c r="C800" s="1">
        <v>18</v>
      </c>
      <c r="D800" s="1">
        <v>24.8</v>
      </c>
      <c r="E800" s="1">
        <v>446.40000000000003</v>
      </c>
      <c r="F800" s="2">
        <v>45691</v>
      </c>
      <c r="G800" s="2">
        <v>45695</v>
      </c>
      <c r="H800" s="1" t="s">
        <v>12</v>
      </c>
      <c r="I800" s="1" t="s">
        <v>3</v>
      </c>
      <c r="J800" s="1">
        <v>4</v>
      </c>
      <c r="K800" s="1" t="s">
        <v>4</v>
      </c>
      <c r="L800" s="1" t="s">
        <v>18</v>
      </c>
      <c r="M800" s="1">
        <f>[1]!orders[[#This Row],[Ship Date]]-[1]!orders[[#This Row],[Order Date]]</f>
        <v>4</v>
      </c>
      <c r="N800" s="1">
        <f>WEEKNUM([1]!orders[[#This Row],[Order Date]])</f>
        <v>6</v>
      </c>
      <c r="O800" t="str" cm="1">
        <f t="array" ref="O800">_xlfn.IFS([1]!orders[[#This Row],[Customer Gender]]="M","Male", [1]!orders[[#This Row],[Customer Gender]]="F","Female", [1]!orders[[#This Row],[Customer Gender]]="O","Other", TRUE,"Unknown")</f>
        <v>Female</v>
      </c>
    </row>
    <row r="801" spans="1:15" x14ac:dyDescent="0.25">
      <c r="A801" t="s">
        <v>879</v>
      </c>
      <c r="B801" t="s">
        <v>17</v>
      </c>
      <c r="C801">
        <v>31</v>
      </c>
      <c r="D801">
        <v>31.4</v>
      </c>
      <c r="E801">
        <v>973.4</v>
      </c>
      <c r="F801" s="3">
        <v>45691</v>
      </c>
      <c r="G801" s="3">
        <v>45692</v>
      </c>
      <c r="H801" t="s">
        <v>12</v>
      </c>
      <c r="I801" t="s">
        <v>36</v>
      </c>
      <c r="J801">
        <v>4</v>
      </c>
      <c r="K801" t="s">
        <v>4</v>
      </c>
      <c r="L801" t="s">
        <v>18</v>
      </c>
      <c r="M801">
        <f>[1]!orders[[#This Row],[Ship Date]]-[1]!orders[[#This Row],[Order Date]]</f>
        <v>1</v>
      </c>
      <c r="N801">
        <f>WEEKNUM([1]!orders[[#This Row],[Order Date]])</f>
        <v>6</v>
      </c>
      <c r="O801" t="str" cm="1">
        <f t="array" ref="O801">_xlfn.IFS([1]!orders[[#This Row],[Customer Gender]]="M","Male", [1]!orders[[#This Row],[Customer Gender]]="F","Female", [1]!orders[[#This Row],[Customer Gender]]="O","Other", TRUE,"Unknown")</f>
        <v>Female</v>
      </c>
    </row>
    <row r="802" spans="1:15" x14ac:dyDescent="0.25">
      <c r="A802" s="1" t="s">
        <v>880</v>
      </c>
      <c r="B802" s="1" t="s">
        <v>31</v>
      </c>
      <c r="C802" s="1">
        <v>5</v>
      </c>
      <c r="D802" s="1">
        <v>59.3</v>
      </c>
      <c r="E802" s="1">
        <v>296.5</v>
      </c>
      <c r="F802" s="2">
        <v>45691</v>
      </c>
      <c r="G802" s="2">
        <v>45694</v>
      </c>
      <c r="H802" s="1" t="s">
        <v>8</v>
      </c>
      <c r="I802" s="1" t="s">
        <v>20</v>
      </c>
      <c r="J802" s="1">
        <v>5</v>
      </c>
      <c r="K802" s="1" t="s">
        <v>4</v>
      </c>
      <c r="L802" s="1" t="s">
        <v>530</v>
      </c>
      <c r="M802" s="1">
        <f>[1]!orders[[#This Row],[Ship Date]]-[1]!orders[[#This Row],[Order Date]]</f>
        <v>3</v>
      </c>
      <c r="N802" s="1">
        <f>WEEKNUM([1]!orders[[#This Row],[Order Date]])</f>
        <v>6</v>
      </c>
      <c r="O802" t="str" cm="1">
        <f t="array" ref="O802">_xlfn.IFS([1]!orders[[#This Row],[Customer Gender]]="M","Male", [1]!orders[[#This Row],[Customer Gender]]="F","Female", [1]!orders[[#This Row],[Customer Gender]]="O","Other", TRUE,"Unknown")</f>
        <v>Male</v>
      </c>
    </row>
    <row r="803" spans="1:15" x14ac:dyDescent="0.25">
      <c r="A803" t="s">
        <v>881</v>
      </c>
      <c r="B803" t="s">
        <v>52</v>
      </c>
      <c r="C803">
        <v>6</v>
      </c>
      <c r="D803">
        <v>39</v>
      </c>
      <c r="E803">
        <v>234</v>
      </c>
      <c r="F803" s="3">
        <v>45691</v>
      </c>
      <c r="G803" s="3">
        <v>45694</v>
      </c>
      <c r="H803" t="s">
        <v>8</v>
      </c>
      <c r="I803" t="s">
        <v>20</v>
      </c>
      <c r="J803">
        <v>4</v>
      </c>
      <c r="K803" t="s">
        <v>4</v>
      </c>
      <c r="L803" t="s">
        <v>40</v>
      </c>
      <c r="M803">
        <f>[1]!orders[[#This Row],[Ship Date]]-[1]!orders[[#This Row],[Order Date]]</f>
        <v>3</v>
      </c>
      <c r="N803">
        <f>WEEKNUM([1]!orders[[#This Row],[Order Date]])</f>
        <v>6</v>
      </c>
      <c r="O803" t="str" cm="1">
        <f t="array" ref="O803">_xlfn.IFS([1]!orders[[#This Row],[Customer Gender]]="M","Male", [1]!orders[[#This Row],[Customer Gender]]="F","Female", [1]!orders[[#This Row],[Customer Gender]]="O","Other", TRUE,"Unknown")</f>
        <v>Male</v>
      </c>
    </row>
    <row r="804" spans="1:15" x14ac:dyDescent="0.25">
      <c r="A804" s="1" t="s">
        <v>882</v>
      </c>
      <c r="B804" s="1" t="s">
        <v>22</v>
      </c>
      <c r="C804" s="1">
        <v>6</v>
      </c>
      <c r="D804" s="1">
        <v>98.6</v>
      </c>
      <c r="E804" s="1">
        <v>591.59999999999991</v>
      </c>
      <c r="F804" s="2">
        <v>45691</v>
      </c>
      <c r="G804" s="2">
        <v>45693</v>
      </c>
      <c r="H804" s="1" t="s">
        <v>12</v>
      </c>
      <c r="I804" s="1" t="s">
        <v>20</v>
      </c>
      <c r="J804" s="1">
        <v>4</v>
      </c>
      <c r="K804" s="1" t="s">
        <v>4</v>
      </c>
      <c r="L804" s="1" t="s">
        <v>40</v>
      </c>
      <c r="M804" s="1">
        <f>[1]!orders[[#This Row],[Ship Date]]-[1]!orders[[#This Row],[Order Date]]</f>
        <v>2</v>
      </c>
      <c r="N804" s="1">
        <f>WEEKNUM([1]!orders[[#This Row],[Order Date]])</f>
        <v>6</v>
      </c>
      <c r="O804" t="str" cm="1">
        <f t="array" ref="O804">_xlfn.IFS([1]!orders[[#This Row],[Customer Gender]]="M","Male", [1]!orders[[#This Row],[Customer Gender]]="F","Female", [1]!orders[[#This Row],[Customer Gender]]="O","Other", TRUE,"Unknown")</f>
        <v>Female</v>
      </c>
    </row>
    <row r="805" spans="1:15" x14ac:dyDescent="0.25">
      <c r="A805" t="s">
        <v>883</v>
      </c>
      <c r="B805" t="s">
        <v>29</v>
      </c>
      <c r="C805">
        <v>1</v>
      </c>
      <c r="D805">
        <v>20</v>
      </c>
      <c r="E805">
        <v>20</v>
      </c>
      <c r="F805" s="3">
        <v>45692</v>
      </c>
      <c r="G805" s="3">
        <v>45693</v>
      </c>
      <c r="H805" t="s">
        <v>8</v>
      </c>
      <c r="I805" t="s">
        <v>36</v>
      </c>
      <c r="J805">
        <v>5</v>
      </c>
      <c r="K805" t="s">
        <v>4</v>
      </c>
      <c r="L805" t="s">
        <v>47</v>
      </c>
      <c r="M805">
        <f>[1]!orders[[#This Row],[Ship Date]]-[1]!orders[[#This Row],[Order Date]]</f>
        <v>1</v>
      </c>
      <c r="N805">
        <f>WEEKNUM([1]!orders[[#This Row],[Order Date]])</f>
        <v>6</v>
      </c>
      <c r="O805" t="str" cm="1">
        <f t="array" ref="O805">_xlfn.IFS([1]!orders[[#This Row],[Customer Gender]]="M","Male", [1]!orders[[#This Row],[Customer Gender]]="F","Female", [1]!orders[[#This Row],[Customer Gender]]="O","Other", TRUE,"Unknown")</f>
        <v>Male</v>
      </c>
    </row>
    <row r="806" spans="1:15" x14ac:dyDescent="0.25">
      <c r="A806" s="1" t="s">
        <v>884</v>
      </c>
      <c r="B806" s="1" t="s">
        <v>7</v>
      </c>
      <c r="C806" s="1">
        <v>2</v>
      </c>
      <c r="D806" s="1">
        <v>42.9</v>
      </c>
      <c r="E806" s="1">
        <v>85.8</v>
      </c>
      <c r="F806" s="2">
        <v>45692</v>
      </c>
      <c r="G806" s="2">
        <v>45694</v>
      </c>
      <c r="H806" s="1" t="s">
        <v>12</v>
      </c>
      <c r="I806" s="1" t="s">
        <v>3</v>
      </c>
      <c r="J806" s="1">
        <v>5</v>
      </c>
      <c r="K806" s="1" t="s">
        <v>4</v>
      </c>
      <c r="L806" s="1" t="s">
        <v>47</v>
      </c>
      <c r="M806" s="1">
        <f>[1]!orders[[#This Row],[Ship Date]]-[1]!orders[[#This Row],[Order Date]]</f>
        <v>2</v>
      </c>
      <c r="N806" s="1">
        <f>WEEKNUM([1]!orders[[#This Row],[Order Date]])</f>
        <v>6</v>
      </c>
      <c r="O806" t="str" cm="1">
        <f t="array" ref="O806">_xlfn.IFS([1]!orders[[#This Row],[Customer Gender]]="M","Male", [1]!orders[[#This Row],[Customer Gender]]="F","Female", [1]!orders[[#This Row],[Customer Gender]]="O","Other", TRUE,"Unknown")</f>
        <v>Female</v>
      </c>
    </row>
    <row r="807" spans="1:15" x14ac:dyDescent="0.25">
      <c r="A807" t="s">
        <v>885</v>
      </c>
      <c r="B807" t="s">
        <v>27</v>
      </c>
      <c r="C807">
        <v>7</v>
      </c>
      <c r="D807">
        <v>55.6</v>
      </c>
      <c r="E807">
        <v>389.2</v>
      </c>
      <c r="F807" s="3">
        <v>45692</v>
      </c>
      <c r="G807" s="3">
        <v>45694</v>
      </c>
      <c r="H807" t="s">
        <v>12</v>
      </c>
      <c r="I807" t="s">
        <v>25</v>
      </c>
      <c r="J807">
        <v>3</v>
      </c>
      <c r="K807" t="s">
        <v>4</v>
      </c>
      <c r="L807" t="s">
        <v>47</v>
      </c>
      <c r="M807">
        <f>[1]!orders[[#This Row],[Ship Date]]-[1]!orders[[#This Row],[Order Date]]</f>
        <v>2</v>
      </c>
      <c r="N807">
        <f>WEEKNUM([1]!orders[[#This Row],[Order Date]])</f>
        <v>6</v>
      </c>
      <c r="O807" t="str" cm="1">
        <f t="array" ref="O807">_xlfn.IFS([1]!orders[[#This Row],[Customer Gender]]="M","Male", [1]!orders[[#This Row],[Customer Gender]]="F","Female", [1]!orders[[#This Row],[Customer Gender]]="O","Other", TRUE,"Unknown")</f>
        <v>Female</v>
      </c>
    </row>
    <row r="808" spans="1:15" x14ac:dyDescent="0.25">
      <c r="A808" s="1" t="s">
        <v>886</v>
      </c>
      <c r="B808" s="1" t="s">
        <v>29</v>
      </c>
      <c r="C808" s="1">
        <v>4</v>
      </c>
      <c r="D808" s="1">
        <v>19.2</v>
      </c>
      <c r="E808" s="1">
        <v>76.8</v>
      </c>
      <c r="F808" s="2">
        <v>45692</v>
      </c>
      <c r="G808" s="2">
        <v>45697</v>
      </c>
      <c r="H808" s="1" t="s">
        <v>12</v>
      </c>
      <c r="I808" s="1" t="s">
        <v>3</v>
      </c>
      <c r="J808" s="1">
        <v>4</v>
      </c>
      <c r="K808" s="1" t="s">
        <v>4</v>
      </c>
      <c r="L808" s="1" t="s">
        <v>414</v>
      </c>
      <c r="M808" s="1">
        <f>[1]!orders[[#This Row],[Ship Date]]-[1]!orders[[#This Row],[Order Date]]</f>
        <v>5</v>
      </c>
      <c r="N808" s="1">
        <f>WEEKNUM([1]!orders[[#This Row],[Order Date]])</f>
        <v>6</v>
      </c>
      <c r="O808" t="str" cm="1">
        <f t="array" ref="O808">_xlfn.IFS([1]!orders[[#This Row],[Customer Gender]]="M","Male", [1]!orders[[#This Row],[Customer Gender]]="F","Female", [1]!orders[[#This Row],[Customer Gender]]="O","Other", TRUE,"Unknown")</f>
        <v>Female</v>
      </c>
    </row>
    <row r="809" spans="1:15" x14ac:dyDescent="0.25">
      <c r="A809" t="s">
        <v>887</v>
      </c>
      <c r="B809" t="s">
        <v>22</v>
      </c>
      <c r="C809">
        <v>2</v>
      </c>
      <c r="D809">
        <v>28.8</v>
      </c>
      <c r="E809">
        <v>57.6</v>
      </c>
      <c r="F809" s="3">
        <v>45692</v>
      </c>
      <c r="G809" s="3">
        <v>45694</v>
      </c>
      <c r="H809" t="s">
        <v>8</v>
      </c>
      <c r="I809" t="s">
        <v>20</v>
      </c>
      <c r="J809">
        <v>4</v>
      </c>
      <c r="K809" t="s">
        <v>4</v>
      </c>
      <c r="L809" t="s">
        <v>93</v>
      </c>
      <c r="M809">
        <f>[1]!orders[[#This Row],[Ship Date]]-[1]!orders[[#This Row],[Order Date]]</f>
        <v>2</v>
      </c>
      <c r="N809">
        <f>WEEKNUM([1]!orders[[#This Row],[Order Date]])</f>
        <v>6</v>
      </c>
      <c r="O809" t="str" cm="1">
        <f t="array" ref="O809">_xlfn.IFS([1]!orders[[#This Row],[Customer Gender]]="M","Male", [1]!orders[[#This Row],[Customer Gender]]="F","Female", [1]!orders[[#This Row],[Customer Gender]]="O","Other", TRUE,"Unknown")</f>
        <v>Male</v>
      </c>
    </row>
    <row r="810" spans="1:15" x14ac:dyDescent="0.25">
      <c r="A810" s="1" t="s">
        <v>888</v>
      </c>
      <c r="B810" s="1" t="s">
        <v>17</v>
      </c>
      <c r="C810" s="1">
        <v>1</v>
      </c>
      <c r="D810" s="1">
        <v>29.7</v>
      </c>
      <c r="E810" s="1">
        <v>29.7</v>
      </c>
      <c r="F810" s="2">
        <v>45692</v>
      </c>
      <c r="G810" s="2">
        <v>45694</v>
      </c>
      <c r="H810" s="1" t="s">
        <v>12</v>
      </c>
      <c r="I810" s="1" t="s">
        <v>25</v>
      </c>
      <c r="J810" s="1">
        <v>2</v>
      </c>
      <c r="K810" s="1" t="s">
        <v>4</v>
      </c>
      <c r="L810" s="1" t="s">
        <v>98</v>
      </c>
      <c r="M810" s="1">
        <f>[1]!orders[[#This Row],[Ship Date]]-[1]!orders[[#This Row],[Order Date]]</f>
        <v>2</v>
      </c>
      <c r="N810" s="1">
        <f>WEEKNUM([1]!orders[[#This Row],[Order Date]])</f>
        <v>6</v>
      </c>
      <c r="O810" t="str" cm="1">
        <f t="array" ref="O810">_xlfn.IFS([1]!orders[[#This Row],[Customer Gender]]="M","Male", [1]!orders[[#This Row],[Customer Gender]]="F","Female", [1]!orders[[#This Row],[Customer Gender]]="O","Other", TRUE,"Unknown")</f>
        <v>Female</v>
      </c>
    </row>
    <row r="811" spans="1:15" x14ac:dyDescent="0.25">
      <c r="A811" t="s">
        <v>889</v>
      </c>
      <c r="B811" t="s">
        <v>24</v>
      </c>
      <c r="C811">
        <v>6</v>
      </c>
      <c r="D811">
        <v>63.3</v>
      </c>
      <c r="E811">
        <v>379.79999999999995</v>
      </c>
      <c r="F811" s="3">
        <v>45692</v>
      </c>
      <c r="G811" s="3">
        <v>45693</v>
      </c>
      <c r="H811" t="s">
        <v>2</v>
      </c>
      <c r="I811" t="s">
        <v>3</v>
      </c>
      <c r="J811">
        <v>5</v>
      </c>
      <c r="K811" t="s">
        <v>4</v>
      </c>
      <c r="L811" t="s">
        <v>100</v>
      </c>
      <c r="M811">
        <f>[1]!orders[[#This Row],[Ship Date]]-[1]!orders[[#This Row],[Order Date]]</f>
        <v>1</v>
      </c>
      <c r="N811">
        <f>WEEKNUM([1]!orders[[#This Row],[Order Date]])</f>
        <v>6</v>
      </c>
      <c r="O811" t="str" cm="1">
        <f t="array" ref="O811">_xlfn.IFS([1]!orders[[#This Row],[Customer Gender]]="M","Male", [1]!orders[[#This Row],[Customer Gender]]="F","Female", [1]!orders[[#This Row],[Customer Gender]]="O","Other", TRUE,"Unknown")</f>
        <v>Unknown</v>
      </c>
    </row>
    <row r="812" spans="1:15" x14ac:dyDescent="0.25">
      <c r="A812" s="1" t="s">
        <v>890</v>
      </c>
      <c r="B812" s="1" t="s">
        <v>17</v>
      </c>
      <c r="C812" s="1">
        <v>1</v>
      </c>
      <c r="D812" s="1">
        <v>46</v>
      </c>
      <c r="E812" s="1">
        <v>46</v>
      </c>
      <c r="F812" s="2">
        <v>45692</v>
      </c>
      <c r="G812" s="2">
        <v>45693</v>
      </c>
      <c r="H812" s="1" t="s">
        <v>12</v>
      </c>
      <c r="I812" s="1" t="s">
        <v>3</v>
      </c>
      <c r="J812" s="1">
        <v>5</v>
      </c>
      <c r="K812" s="1" t="s">
        <v>4</v>
      </c>
      <c r="L812" s="1" t="s">
        <v>100</v>
      </c>
      <c r="M812" s="1">
        <f>[1]!orders[[#This Row],[Ship Date]]-[1]!orders[[#This Row],[Order Date]]</f>
        <v>1</v>
      </c>
      <c r="N812" s="1">
        <f>WEEKNUM([1]!orders[[#This Row],[Order Date]])</f>
        <v>6</v>
      </c>
      <c r="O812" t="str" cm="1">
        <f t="array" ref="O812">_xlfn.IFS([1]!orders[[#This Row],[Customer Gender]]="M","Male", [1]!orders[[#This Row],[Customer Gender]]="F","Female", [1]!orders[[#This Row],[Customer Gender]]="O","Other", TRUE,"Unknown")</f>
        <v>Female</v>
      </c>
    </row>
    <row r="813" spans="1:15" x14ac:dyDescent="0.25">
      <c r="A813" t="s">
        <v>891</v>
      </c>
      <c r="B813" t="s">
        <v>52</v>
      </c>
      <c r="C813">
        <v>3</v>
      </c>
      <c r="D813">
        <v>38</v>
      </c>
      <c r="E813">
        <v>114</v>
      </c>
      <c r="F813" s="3">
        <v>45692</v>
      </c>
      <c r="G813" s="3">
        <v>45694</v>
      </c>
      <c r="H813" t="s">
        <v>12</v>
      </c>
      <c r="I813" t="s">
        <v>20</v>
      </c>
      <c r="J813">
        <v>5</v>
      </c>
      <c r="K813" t="s">
        <v>4</v>
      </c>
      <c r="L813" t="s">
        <v>100</v>
      </c>
      <c r="M813">
        <f>[1]!orders[[#This Row],[Ship Date]]-[1]!orders[[#This Row],[Order Date]]</f>
        <v>2</v>
      </c>
      <c r="N813">
        <f>WEEKNUM([1]!orders[[#This Row],[Order Date]])</f>
        <v>6</v>
      </c>
      <c r="O813" t="str" cm="1">
        <f t="array" ref="O813">_xlfn.IFS([1]!orders[[#This Row],[Customer Gender]]="M","Male", [1]!orders[[#This Row],[Customer Gender]]="F","Female", [1]!orders[[#This Row],[Customer Gender]]="O","Other", TRUE,"Unknown")</f>
        <v>Female</v>
      </c>
    </row>
    <row r="814" spans="1:15" x14ac:dyDescent="0.25">
      <c r="A814" s="1" t="s">
        <v>892</v>
      </c>
      <c r="B814" s="1" t="s">
        <v>39</v>
      </c>
      <c r="C814" s="1">
        <v>13</v>
      </c>
      <c r="D814" s="1">
        <v>34.6</v>
      </c>
      <c r="E814" s="1">
        <v>449.8</v>
      </c>
      <c r="F814" s="2">
        <v>45692</v>
      </c>
      <c r="G814" s="2">
        <v>45694</v>
      </c>
      <c r="H814" s="1" t="s">
        <v>12</v>
      </c>
      <c r="I814" s="1" t="s">
        <v>3</v>
      </c>
      <c r="J814" s="1">
        <v>3</v>
      </c>
      <c r="K814" s="1" t="s">
        <v>4</v>
      </c>
      <c r="L814" s="1" t="s">
        <v>100</v>
      </c>
      <c r="M814" s="1">
        <f>[1]!orders[[#This Row],[Ship Date]]-[1]!orders[[#This Row],[Order Date]]</f>
        <v>2</v>
      </c>
      <c r="N814" s="1">
        <f>WEEKNUM([1]!orders[[#This Row],[Order Date]])</f>
        <v>6</v>
      </c>
      <c r="O814" t="str" cm="1">
        <f t="array" ref="O814">_xlfn.IFS([1]!orders[[#This Row],[Customer Gender]]="M","Male", [1]!orders[[#This Row],[Customer Gender]]="F","Female", [1]!orders[[#This Row],[Customer Gender]]="O","Other", TRUE,"Unknown")</f>
        <v>Female</v>
      </c>
    </row>
    <row r="815" spans="1:15" x14ac:dyDescent="0.25">
      <c r="A815" t="s">
        <v>893</v>
      </c>
      <c r="B815" t="s">
        <v>15</v>
      </c>
      <c r="C815">
        <v>10</v>
      </c>
      <c r="D815">
        <v>79.7</v>
      </c>
      <c r="E815">
        <v>797</v>
      </c>
      <c r="F815" s="3">
        <v>45692</v>
      </c>
      <c r="G815" s="3">
        <v>45693</v>
      </c>
      <c r="H815" t="s">
        <v>12</v>
      </c>
      <c r="I815" t="s">
        <v>55</v>
      </c>
      <c r="J815">
        <v>3</v>
      </c>
      <c r="K815" t="s">
        <v>4</v>
      </c>
      <c r="L815" t="s">
        <v>100</v>
      </c>
      <c r="M815">
        <f>[1]!orders[[#This Row],[Ship Date]]-[1]!orders[[#This Row],[Order Date]]</f>
        <v>1</v>
      </c>
      <c r="N815">
        <f>WEEKNUM([1]!orders[[#This Row],[Order Date]])</f>
        <v>6</v>
      </c>
      <c r="O815" t="str" cm="1">
        <f t="array" ref="O815">_xlfn.IFS([1]!orders[[#This Row],[Customer Gender]]="M","Male", [1]!orders[[#This Row],[Customer Gender]]="F","Female", [1]!orders[[#This Row],[Customer Gender]]="O","Other", TRUE,"Unknown")</f>
        <v>Female</v>
      </c>
    </row>
    <row r="816" spans="1:15" x14ac:dyDescent="0.25">
      <c r="A816" s="1" t="s">
        <v>894</v>
      </c>
      <c r="B816" s="1" t="s">
        <v>29</v>
      </c>
      <c r="C816" s="1">
        <v>8</v>
      </c>
      <c r="D816" s="1">
        <v>30.5</v>
      </c>
      <c r="E816" s="1">
        <v>244</v>
      </c>
      <c r="F816" s="2">
        <v>45692</v>
      </c>
      <c r="G816" s="2">
        <v>45696</v>
      </c>
      <c r="H816" s="1" t="s">
        <v>8</v>
      </c>
      <c r="I816" s="1" t="s">
        <v>36</v>
      </c>
      <c r="J816" s="1">
        <v>4</v>
      </c>
      <c r="K816" s="1" t="s">
        <v>4</v>
      </c>
      <c r="L816" s="1" t="s">
        <v>9</v>
      </c>
      <c r="M816" s="1">
        <f>[1]!orders[[#This Row],[Ship Date]]-[1]!orders[[#This Row],[Order Date]]</f>
        <v>4</v>
      </c>
      <c r="N816" s="1">
        <f>WEEKNUM([1]!orders[[#This Row],[Order Date]])</f>
        <v>6</v>
      </c>
      <c r="O816" t="str" cm="1">
        <f t="array" ref="O816">_xlfn.IFS([1]!orders[[#This Row],[Customer Gender]]="M","Male", [1]!orders[[#This Row],[Customer Gender]]="F","Female", [1]!orders[[#This Row],[Customer Gender]]="O","Other", TRUE,"Unknown")</f>
        <v>Male</v>
      </c>
    </row>
    <row r="817" spans="1:15" x14ac:dyDescent="0.25">
      <c r="A817" t="s">
        <v>895</v>
      </c>
      <c r="B817" t="s">
        <v>1</v>
      </c>
      <c r="C817">
        <v>2</v>
      </c>
      <c r="D817">
        <v>20.8</v>
      </c>
      <c r="E817">
        <v>41.6</v>
      </c>
      <c r="F817" s="3">
        <v>45692</v>
      </c>
      <c r="G817" s="3">
        <v>45693</v>
      </c>
      <c r="H817" t="s">
        <v>12</v>
      </c>
      <c r="I817" t="s">
        <v>3</v>
      </c>
      <c r="J817">
        <v>4</v>
      </c>
      <c r="K817" t="s">
        <v>4</v>
      </c>
      <c r="L817" t="s">
        <v>13</v>
      </c>
      <c r="M817">
        <f>[1]!orders[[#This Row],[Ship Date]]-[1]!orders[[#This Row],[Order Date]]</f>
        <v>1</v>
      </c>
      <c r="N817">
        <f>WEEKNUM([1]!orders[[#This Row],[Order Date]])</f>
        <v>6</v>
      </c>
      <c r="O817" t="str" cm="1">
        <f t="array" ref="O817">_xlfn.IFS([1]!orders[[#This Row],[Customer Gender]]="M","Male", [1]!orders[[#This Row],[Customer Gender]]="F","Female", [1]!orders[[#This Row],[Customer Gender]]="O","Other", TRUE,"Unknown")</f>
        <v>Female</v>
      </c>
    </row>
    <row r="818" spans="1:15" x14ac:dyDescent="0.25">
      <c r="A818" s="1" t="s">
        <v>896</v>
      </c>
      <c r="B818" s="1" t="s">
        <v>52</v>
      </c>
      <c r="C818" s="1">
        <v>7</v>
      </c>
      <c r="D818" s="1">
        <v>48.5</v>
      </c>
      <c r="E818" s="1">
        <v>339.5</v>
      </c>
      <c r="F818" s="2">
        <v>45692</v>
      </c>
      <c r="G818" s="2">
        <v>45696</v>
      </c>
      <c r="H818" s="1" t="s">
        <v>12</v>
      </c>
      <c r="I818" s="1" t="s">
        <v>25</v>
      </c>
      <c r="J818" s="1">
        <v>5</v>
      </c>
      <c r="K818" s="1" t="s">
        <v>4</v>
      </c>
      <c r="L818" s="1" t="s">
        <v>13</v>
      </c>
      <c r="M818" s="1">
        <f>[1]!orders[[#This Row],[Ship Date]]-[1]!orders[[#This Row],[Order Date]]</f>
        <v>4</v>
      </c>
      <c r="N818" s="1">
        <f>WEEKNUM([1]!orders[[#This Row],[Order Date]])</f>
        <v>6</v>
      </c>
      <c r="O818" t="str" cm="1">
        <f t="array" ref="O818">_xlfn.IFS([1]!orders[[#This Row],[Customer Gender]]="M","Male", [1]!orders[[#This Row],[Customer Gender]]="F","Female", [1]!orders[[#This Row],[Customer Gender]]="O","Other", TRUE,"Unknown")</f>
        <v>Female</v>
      </c>
    </row>
    <row r="819" spans="1:15" x14ac:dyDescent="0.25">
      <c r="A819" t="s">
        <v>897</v>
      </c>
      <c r="B819" t="s">
        <v>11</v>
      </c>
      <c r="C819">
        <v>4</v>
      </c>
      <c r="D819">
        <v>61.8</v>
      </c>
      <c r="E819">
        <v>247.2</v>
      </c>
      <c r="F819" s="3">
        <v>45692</v>
      </c>
      <c r="G819" s="3">
        <v>45696</v>
      </c>
      <c r="H819" t="s">
        <v>12</v>
      </c>
      <c r="I819" t="s">
        <v>55</v>
      </c>
      <c r="J819">
        <v>4</v>
      </c>
      <c r="K819" t="s">
        <v>4</v>
      </c>
      <c r="L819" t="s">
        <v>132</v>
      </c>
      <c r="M819">
        <f>[1]!orders[[#This Row],[Ship Date]]-[1]!orders[[#This Row],[Order Date]]</f>
        <v>4</v>
      </c>
      <c r="N819">
        <f>WEEKNUM([1]!orders[[#This Row],[Order Date]])</f>
        <v>6</v>
      </c>
      <c r="O819" t="str" cm="1">
        <f t="array" ref="O819">_xlfn.IFS([1]!orders[[#This Row],[Customer Gender]]="M","Male", [1]!orders[[#This Row],[Customer Gender]]="F","Female", [1]!orders[[#This Row],[Customer Gender]]="O","Other", TRUE,"Unknown")</f>
        <v>Female</v>
      </c>
    </row>
    <row r="820" spans="1:15" x14ac:dyDescent="0.25">
      <c r="A820" s="1" t="s">
        <v>898</v>
      </c>
      <c r="B820" s="1" t="s">
        <v>39</v>
      </c>
      <c r="C820" s="1">
        <v>1</v>
      </c>
      <c r="D820" s="1">
        <v>46.1</v>
      </c>
      <c r="E820" s="1">
        <v>46.1</v>
      </c>
      <c r="F820" s="2">
        <v>45692</v>
      </c>
      <c r="G820" s="2">
        <v>45693</v>
      </c>
      <c r="H820" s="1" t="s">
        <v>74</v>
      </c>
      <c r="I820" s="1" t="s">
        <v>25</v>
      </c>
      <c r="J820" s="1">
        <v>4</v>
      </c>
      <c r="K820" s="1" t="s">
        <v>4</v>
      </c>
      <c r="L820" s="1" t="s">
        <v>18</v>
      </c>
      <c r="M820" s="1">
        <f>[1]!orders[[#This Row],[Ship Date]]-[1]!orders[[#This Row],[Order Date]]</f>
        <v>1</v>
      </c>
      <c r="N820" s="1">
        <f>WEEKNUM([1]!orders[[#This Row],[Order Date]])</f>
        <v>6</v>
      </c>
      <c r="O820" t="str" cm="1">
        <f t="array" ref="O820">_xlfn.IFS([1]!orders[[#This Row],[Customer Gender]]="M","Male", [1]!orders[[#This Row],[Customer Gender]]="F","Female", [1]!orders[[#This Row],[Customer Gender]]="O","Other", TRUE,"Unknown")</f>
        <v>Other</v>
      </c>
    </row>
    <row r="821" spans="1:15" x14ac:dyDescent="0.25">
      <c r="A821" t="s">
        <v>899</v>
      </c>
      <c r="B821" t="s">
        <v>17</v>
      </c>
      <c r="C821">
        <v>6</v>
      </c>
      <c r="D821">
        <v>44</v>
      </c>
      <c r="E821">
        <v>264</v>
      </c>
      <c r="F821" s="3">
        <v>45692</v>
      </c>
      <c r="G821" s="3">
        <v>45693</v>
      </c>
      <c r="H821" t="s">
        <v>12</v>
      </c>
      <c r="I821" t="s">
        <v>3</v>
      </c>
      <c r="J821">
        <v>4</v>
      </c>
      <c r="K821" t="s">
        <v>4</v>
      </c>
      <c r="L821" t="s">
        <v>18</v>
      </c>
      <c r="M821">
        <f>[1]!orders[[#This Row],[Ship Date]]-[1]!orders[[#This Row],[Order Date]]</f>
        <v>1</v>
      </c>
      <c r="N821">
        <f>WEEKNUM([1]!orders[[#This Row],[Order Date]])</f>
        <v>6</v>
      </c>
      <c r="O821" t="str" cm="1">
        <f t="array" ref="O821">_xlfn.IFS([1]!orders[[#This Row],[Customer Gender]]="M","Male", [1]!orders[[#This Row],[Customer Gender]]="F","Female", [1]!orders[[#This Row],[Customer Gender]]="O","Other", TRUE,"Unknown")</f>
        <v>Female</v>
      </c>
    </row>
    <row r="822" spans="1:15" x14ac:dyDescent="0.25">
      <c r="A822" s="1" t="s">
        <v>900</v>
      </c>
      <c r="B822" s="1" t="s">
        <v>131</v>
      </c>
      <c r="C822" s="1">
        <v>2</v>
      </c>
      <c r="D822" s="1">
        <v>95.7</v>
      </c>
      <c r="E822" s="1">
        <v>191.4</v>
      </c>
      <c r="F822" s="2">
        <v>45692</v>
      </c>
      <c r="G822" s="2">
        <v>45698</v>
      </c>
      <c r="H822" s="1" t="s">
        <v>12</v>
      </c>
      <c r="I822" s="1" t="s">
        <v>36</v>
      </c>
      <c r="J822" s="1">
        <v>5</v>
      </c>
      <c r="K822" s="1" t="s">
        <v>4</v>
      </c>
      <c r="L822" s="1" t="s">
        <v>18</v>
      </c>
      <c r="M822" s="1">
        <f>[1]!orders[[#This Row],[Ship Date]]-[1]!orders[[#This Row],[Order Date]]</f>
        <v>6</v>
      </c>
      <c r="N822" s="1">
        <f>WEEKNUM([1]!orders[[#This Row],[Order Date]])</f>
        <v>6</v>
      </c>
      <c r="O822" t="str" cm="1">
        <f t="array" ref="O822">_xlfn.IFS([1]!orders[[#This Row],[Customer Gender]]="M","Male", [1]!orders[[#This Row],[Customer Gender]]="F","Female", [1]!orders[[#This Row],[Customer Gender]]="O","Other", TRUE,"Unknown")</f>
        <v>Female</v>
      </c>
    </row>
    <row r="823" spans="1:15" x14ac:dyDescent="0.25">
      <c r="A823" t="s">
        <v>901</v>
      </c>
      <c r="B823" t="s">
        <v>27</v>
      </c>
      <c r="C823">
        <v>5</v>
      </c>
      <c r="D823">
        <v>46.4</v>
      </c>
      <c r="E823">
        <v>232</v>
      </c>
      <c r="F823" s="3">
        <v>45692</v>
      </c>
      <c r="G823" s="3">
        <v>45695</v>
      </c>
      <c r="H823" t="s">
        <v>12</v>
      </c>
      <c r="I823" t="s">
        <v>3</v>
      </c>
      <c r="J823">
        <v>4</v>
      </c>
      <c r="K823" t="s">
        <v>4</v>
      </c>
      <c r="L823" t="s">
        <v>18</v>
      </c>
      <c r="M823">
        <f>[1]!orders[[#This Row],[Ship Date]]-[1]!orders[[#This Row],[Order Date]]</f>
        <v>3</v>
      </c>
      <c r="N823">
        <f>WEEKNUM([1]!orders[[#This Row],[Order Date]])</f>
        <v>6</v>
      </c>
      <c r="O823" t="str" cm="1">
        <f t="array" ref="O823">_xlfn.IFS([1]!orders[[#This Row],[Customer Gender]]="M","Male", [1]!orders[[#This Row],[Customer Gender]]="F","Female", [1]!orders[[#This Row],[Customer Gender]]="O","Other", TRUE,"Unknown")</f>
        <v>Female</v>
      </c>
    </row>
    <row r="824" spans="1:15" x14ac:dyDescent="0.25">
      <c r="A824" s="1" t="s">
        <v>902</v>
      </c>
      <c r="B824" s="1" t="s">
        <v>24</v>
      </c>
      <c r="C824" s="1">
        <v>2</v>
      </c>
      <c r="D824" s="1">
        <v>47.2</v>
      </c>
      <c r="E824" s="1">
        <v>94.4</v>
      </c>
      <c r="F824" s="2">
        <v>45692</v>
      </c>
      <c r="G824" s="2">
        <v>45694</v>
      </c>
      <c r="H824" s="1" t="s">
        <v>12</v>
      </c>
      <c r="I824" s="1" t="s">
        <v>3</v>
      </c>
      <c r="J824" s="1">
        <v>5</v>
      </c>
      <c r="K824" s="1" t="s">
        <v>4</v>
      </c>
      <c r="L824" s="1" t="s">
        <v>18</v>
      </c>
      <c r="M824" s="1">
        <f>[1]!orders[[#This Row],[Ship Date]]-[1]!orders[[#This Row],[Order Date]]</f>
        <v>2</v>
      </c>
      <c r="N824" s="1">
        <f>WEEKNUM([1]!orders[[#This Row],[Order Date]])</f>
        <v>6</v>
      </c>
      <c r="O824" t="str" cm="1">
        <f t="array" ref="O824">_xlfn.IFS([1]!orders[[#This Row],[Customer Gender]]="M","Male", [1]!orders[[#This Row],[Customer Gender]]="F","Female", [1]!orders[[#This Row],[Customer Gender]]="O","Other", TRUE,"Unknown")</f>
        <v>Female</v>
      </c>
    </row>
    <row r="825" spans="1:15" x14ac:dyDescent="0.25">
      <c r="A825" t="s">
        <v>903</v>
      </c>
      <c r="B825" t="s">
        <v>27</v>
      </c>
      <c r="C825">
        <v>2</v>
      </c>
      <c r="D825">
        <v>58.6</v>
      </c>
      <c r="E825">
        <v>117.2</v>
      </c>
      <c r="F825" s="3">
        <v>45692</v>
      </c>
      <c r="G825" s="3">
        <v>45693</v>
      </c>
      <c r="H825" t="s">
        <v>12</v>
      </c>
      <c r="I825" t="s">
        <v>25</v>
      </c>
      <c r="J825">
        <v>3</v>
      </c>
      <c r="K825" t="s">
        <v>4</v>
      </c>
      <c r="L825" t="s">
        <v>18</v>
      </c>
      <c r="M825">
        <f>[1]!orders[[#This Row],[Ship Date]]-[1]!orders[[#This Row],[Order Date]]</f>
        <v>1</v>
      </c>
      <c r="N825">
        <f>WEEKNUM([1]!orders[[#This Row],[Order Date]])</f>
        <v>6</v>
      </c>
      <c r="O825" t="str" cm="1">
        <f t="array" ref="O825">_xlfn.IFS([1]!orders[[#This Row],[Customer Gender]]="M","Male", [1]!orders[[#This Row],[Customer Gender]]="F","Female", [1]!orders[[#This Row],[Customer Gender]]="O","Other", TRUE,"Unknown")</f>
        <v>Female</v>
      </c>
    </row>
    <row r="826" spans="1:15" x14ac:dyDescent="0.25">
      <c r="A826" s="1" t="s">
        <v>904</v>
      </c>
      <c r="B826" s="1" t="s">
        <v>17</v>
      </c>
      <c r="C826" s="1">
        <v>3</v>
      </c>
      <c r="D826" s="1">
        <v>57</v>
      </c>
      <c r="E826" s="1">
        <v>171</v>
      </c>
      <c r="F826" s="2">
        <v>45692</v>
      </c>
      <c r="G826" s="2">
        <v>45693</v>
      </c>
      <c r="H826" s="1" t="s">
        <v>8</v>
      </c>
      <c r="I826" s="1" t="s">
        <v>3</v>
      </c>
      <c r="J826" s="1">
        <v>5</v>
      </c>
      <c r="K826" s="1" t="s">
        <v>4</v>
      </c>
      <c r="L826" s="1" t="s">
        <v>18</v>
      </c>
      <c r="M826" s="1">
        <f>[1]!orders[[#This Row],[Ship Date]]-[1]!orders[[#This Row],[Order Date]]</f>
        <v>1</v>
      </c>
      <c r="N826" s="1">
        <f>WEEKNUM([1]!orders[[#This Row],[Order Date]])</f>
        <v>6</v>
      </c>
      <c r="O826" t="str" cm="1">
        <f t="array" ref="O826">_xlfn.IFS([1]!orders[[#This Row],[Customer Gender]]="M","Male", [1]!orders[[#This Row],[Customer Gender]]="F","Female", [1]!orders[[#This Row],[Customer Gender]]="O","Other", TRUE,"Unknown")</f>
        <v>Male</v>
      </c>
    </row>
    <row r="827" spans="1:15" x14ac:dyDescent="0.25">
      <c r="A827" t="s">
        <v>905</v>
      </c>
      <c r="B827" t="s">
        <v>29</v>
      </c>
      <c r="C827">
        <v>4</v>
      </c>
      <c r="D827">
        <v>28.9</v>
      </c>
      <c r="E827">
        <v>115.6</v>
      </c>
      <c r="F827" s="3">
        <v>45692</v>
      </c>
      <c r="G827" s="3">
        <v>45696</v>
      </c>
      <c r="H827" t="s">
        <v>8</v>
      </c>
      <c r="I827" t="s">
        <v>25</v>
      </c>
      <c r="J827">
        <v>4</v>
      </c>
      <c r="K827" t="s">
        <v>4</v>
      </c>
      <c r="L827" t="s">
        <v>18</v>
      </c>
      <c r="M827">
        <f>[1]!orders[[#This Row],[Ship Date]]-[1]!orders[[#This Row],[Order Date]]</f>
        <v>4</v>
      </c>
      <c r="N827">
        <f>WEEKNUM([1]!orders[[#This Row],[Order Date]])</f>
        <v>6</v>
      </c>
      <c r="O827" t="str" cm="1">
        <f t="array" ref="O827">_xlfn.IFS([1]!orders[[#This Row],[Customer Gender]]="M","Male", [1]!orders[[#This Row],[Customer Gender]]="F","Female", [1]!orders[[#This Row],[Customer Gender]]="O","Other", TRUE,"Unknown")</f>
        <v>Male</v>
      </c>
    </row>
    <row r="828" spans="1:15" x14ac:dyDescent="0.25">
      <c r="A828" s="1" t="s">
        <v>906</v>
      </c>
      <c r="B828" s="1" t="s">
        <v>54</v>
      </c>
      <c r="C828" s="1">
        <v>5</v>
      </c>
      <c r="D828" s="1">
        <v>60.7</v>
      </c>
      <c r="E828" s="1">
        <v>303.5</v>
      </c>
      <c r="F828" s="2">
        <v>45692</v>
      </c>
      <c r="G828" s="2">
        <v>45696</v>
      </c>
      <c r="H828" s="1" t="s">
        <v>2</v>
      </c>
      <c r="I828" s="1" t="s">
        <v>20</v>
      </c>
      <c r="J828" s="1">
        <v>3</v>
      </c>
      <c r="K828" s="1" t="s">
        <v>4</v>
      </c>
      <c r="L828" s="1" t="s">
        <v>18</v>
      </c>
      <c r="M828" s="1">
        <f>[1]!orders[[#This Row],[Ship Date]]-[1]!orders[[#This Row],[Order Date]]</f>
        <v>4</v>
      </c>
      <c r="N828" s="1">
        <f>WEEKNUM([1]!orders[[#This Row],[Order Date]])</f>
        <v>6</v>
      </c>
      <c r="O828" t="str" cm="1">
        <f t="array" ref="O828">_xlfn.IFS([1]!orders[[#This Row],[Customer Gender]]="M","Male", [1]!orders[[#This Row],[Customer Gender]]="F","Female", [1]!orders[[#This Row],[Customer Gender]]="O","Other", TRUE,"Unknown")</f>
        <v>Unknown</v>
      </c>
    </row>
    <row r="829" spans="1:15" x14ac:dyDescent="0.25">
      <c r="A829" t="s">
        <v>907</v>
      </c>
      <c r="B829" t="s">
        <v>24</v>
      </c>
      <c r="C829">
        <v>5</v>
      </c>
      <c r="D829">
        <v>60.8</v>
      </c>
      <c r="E829">
        <v>304</v>
      </c>
      <c r="F829" s="3">
        <v>45692</v>
      </c>
      <c r="G829" s="3">
        <v>45696</v>
      </c>
      <c r="H829" t="s">
        <v>8</v>
      </c>
      <c r="I829" t="s">
        <v>3</v>
      </c>
      <c r="J829">
        <v>3</v>
      </c>
      <c r="K829" t="s">
        <v>4</v>
      </c>
      <c r="L829" t="s">
        <v>18</v>
      </c>
      <c r="M829">
        <f>[1]!orders[[#This Row],[Ship Date]]-[1]!orders[[#This Row],[Order Date]]</f>
        <v>4</v>
      </c>
      <c r="N829">
        <f>WEEKNUM([1]!orders[[#This Row],[Order Date]])</f>
        <v>6</v>
      </c>
      <c r="O829" t="str" cm="1">
        <f t="array" ref="O829">_xlfn.IFS([1]!orders[[#This Row],[Customer Gender]]="M","Male", [1]!orders[[#This Row],[Customer Gender]]="F","Female", [1]!orders[[#This Row],[Customer Gender]]="O","Other", TRUE,"Unknown")</f>
        <v>Male</v>
      </c>
    </row>
    <row r="830" spans="1:15" x14ac:dyDescent="0.25">
      <c r="A830" s="1" t="s">
        <v>908</v>
      </c>
      <c r="B830" s="1" t="s">
        <v>24</v>
      </c>
      <c r="C830" s="1">
        <v>5</v>
      </c>
      <c r="D830" s="1">
        <v>64.599999999999994</v>
      </c>
      <c r="E830" s="1">
        <v>323</v>
      </c>
      <c r="F830" s="2">
        <v>45692</v>
      </c>
      <c r="G830" s="2">
        <v>45693</v>
      </c>
      <c r="H830" s="1" t="s">
        <v>12</v>
      </c>
      <c r="I830" s="1" t="s">
        <v>36</v>
      </c>
      <c r="J830" s="1">
        <v>4</v>
      </c>
      <c r="K830" s="1" t="s">
        <v>4</v>
      </c>
      <c r="L830" s="1" t="s">
        <v>18</v>
      </c>
      <c r="M830" s="1">
        <f>[1]!orders[[#This Row],[Ship Date]]-[1]!orders[[#This Row],[Order Date]]</f>
        <v>1</v>
      </c>
      <c r="N830" s="1">
        <f>WEEKNUM([1]!orders[[#This Row],[Order Date]])</f>
        <v>6</v>
      </c>
      <c r="O830" t="str" cm="1">
        <f t="array" ref="O830">_xlfn.IFS([1]!orders[[#This Row],[Customer Gender]]="M","Male", [1]!orders[[#This Row],[Customer Gender]]="F","Female", [1]!orders[[#This Row],[Customer Gender]]="O","Other", TRUE,"Unknown")</f>
        <v>Female</v>
      </c>
    </row>
    <row r="831" spans="1:15" x14ac:dyDescent="0.25">
      <c r="A831" t="s">
        <v>909</v>
      </c>
      <c r="B831" t="s">
        <v>29</v>
      </c>
      <c r="C831">
        <v>1</v>
      </c>
      <c r="D831">
        <v>21.9</v>
      </c>
      <c r="E831">
        <v>21.9</v>
      </c>
      <c r="F831" s="3">
        <v>45692</v>
      </c>
      <c r="G831" s="3">
        <v>45695</v>
      </c>
      <c r="H831" t="s">
        <v>8</v>
      </c>
      <c r="I831" t="s">
        <v>20</v>
      </c>
      <c r="J831">
        <v>5</v>
      </c>
      <c r="K831" t="s">
        <v>4</v>
      </c>
      <c r="L831" t="s">
        <v>34</v>
      </c>
      <c r="M831">
        <f>[1]!orders[[#This Row],[Ship Date]]-[1]!orders[[#This Row],[Order Date]]</f>
        <v>3</v>
      </c>
      <c r="N831">
        <f>WEEKNUM([1]!orders[[#This Row],[Order Date]])</f>
        <v>6</v>
      </c>
      <c r="O831" t="str" cm="1">
        <f t="array" ref="O831">_xlfn.IFS([1]!orders[[#This Row],[Customer Gender]]="M","Male", [1]!orders[[#This Row],[Customer Gender]]="F","Female", [1]!orders[[#This Row],[Customer Gender]]="O","Other", TRUE,"Unknown")</f>
        <v>Male</v>
      </c>
    </row>
    <row r="832" spans="1:15" x14ac:dyDescent="0.25">
      <c r="A832" s="1" t="s">
        <v>910</v>
      </c>
      <c r="B832" s="1" t="s">
        <v>17</v>
      </c>
      <c r="C832" s="1">
        <v>12</v>
      </c>
      <c r="D832" s="1">
        <v>33.4</v>
      </c>
      <c r="E832" s="1">
        <v>400.79999999999995</v>
      </c>
      <c r="F832" s="2">
        <v>45692</v>
      </c>
      <c r="G832" s="2">
        <v>45694</v>
      </c>
      <c r="H832" s="1" t="s">
        <v>12</v>
      </c>
      <c r="I832" s="1" t="s">
        <v>3</v>
      </c>
      <c r="J832" s="1">
        <v>4</v>
      </c>
      <c r="K832" s="1" t="s">
        <v>4</v>
      </c>
      <c r="L832" s="1" t="s">
        <v>143</v>
      </c>
      <c r="M832" s="1">
        <f>[1]!orders[[#This Row],[Ship Date]]-[1]!orders[[#This Row],[Order Date]]</f>
        <v>2</v>
      </c>
      <c r="N832" s="1">
        <f>WEEKNUM([1]!orders[[#This Row],[Order Date]])</f>
        <v>6</v>
      </c>
      <c r="O832" t="str" cm="1">
        <f t="array" ref="O832">_xlfn.IFS([1]!orders[[#This Row],[Customer Gender]]="M","Male", [1]!orders[[#This Row],[Customer Gender]]="F","Female", [1]!orders[[#This Row],[Customer Gender]]="O","Other", TRUE,"Unknown")</f>
        <v>Female</v>
      </c>
    </row>
    <row r="833" spans="1:15" x14ac:dyDescent="0.25">
      <c r="A833" t="s">
        <v>911</v>
      </c>
      <c r="B833" t="s">
        <v>11</v>
      </c>
      <c r="C833">
        <v>1</v>
      </c>
      <c r="D833">
        <v>51.7</v>
      </c>
      <c r="E833">
        <v>51.7</v>
      </c>
      <c r="F833" s="3">
        <v>45692</v>
      </c>
      <c r="G833" s="3">
        <v>45693</v>
      </c>
      <c r="H833" t="s">
        <v>2</v>
      </c>
      <c r="I833" t="s">
        <v>3</v>
      </c>
      <c r="J833">
        <v>4</v>
      </c>
      <c r="K833" t="s">
        <v>4</v>
      </c>
      <c r="L833" t="s">
        <v>40</v>
      </c>
      <c r="M833">
        <f>[1]!orders[[#This Row],[Ship Date]]-[1]!orders[[#This Row],[Order Date]]</f>
        <v>1</v>
      </c>
      <c r="N833">
        <f>WEEKNUM([1]!orders[[#This Row],[Order Date]])</f>
        <v>6</v>
      </c>
      <c r="O833" t="str" cm="1">
        <f t="array" ref="O833">_xlfn.IFS([1]!orders[[#This Row],[Customer Gender]]="M","Male", [1]!orders[[#This Row],[Customer Gender]]="F","Female", [1]!orders[[#This Row],[Customer Gender]]="O","Other", TRUE,"Unknown")</f>
        <v>Unknown</v>
      </c>
    </row>
    <row r="834" spans="1:15" x14ac:dyDescent="0.25">
      <c r="A834" s="1" t="s">
        <v>912</v>
      </c>
      <c r="B834" s="1" t="s">
        <v>7</v>
      </c>
      <c r="C834" s="1">
        <v>4</v>
      </c>
      <c r="D834" s="1">
        <v>84.9</v>
      </c>
      <c r="E834" s="1">
        <v>339.6</v>
      </c>
      <c r="F834" s="2">
        <v>45692</v>
      </c>
      <c r="G834" s="2">
        <v>45693</v>
      </c>
      <c r="H834" s="1" t="s">
        <v>12</v>
      </c>
      <c r="I834" s="1" t="s">
        <v>20</v>
      </c>
      <c r="J834" s="1">
        <v>3</v>
      </c>
      <c r="K834" s="1" t="s">
        <v>4</v>
      </c>
      <c r="L834" s="1" t="s">
        <v>40</v>
      </c>
      <c r="M834" s="1">
        <f>[1]!orders[[#This Row],[Ship Date]]-[1]!orders[[#This Row],[Order Date]]</f>
        <v>1</v>
      </c>
      <c r="N834" s="1">
        <f>WEEKNUM([1]!orders[[#This Row],[Order Date]])</f>
        <v>6</v>
      </c>
      <c r="O834" t="str" cm="1">
        <f t="array" ref="O834">_xlfn.IFS([1]!orders[[#This Row],[Customer Gender]]="M","Male", [1]!orders[[#This Row],[Customer Gender]]="F","Female", [1]!orders[[#This Row],[Customer Gender]]="O","Other", TRUE,"Unknown")</f>
        <v>Female</v>
      </c>
    </row>
    <row r="835" spans="1:15" x14ac:dyDescent="0.25">
      <c r="A835" t="s">
        <v>913</v>
      </c>
      <c r="B835" t="s">
        <v>7</v>
      </c>
      <c r="C835">
        <v>11</v>
      </c>
      <c r="D835">
        <v>62.3</v>
      </c>
      <c r="E835">
        <v>685.3</v>
      </c>
      <c r="F835" s="3">
        <v>45692</v>
      </c>
      <c r="G835" s="3">
        <v>45693</v>
      </c>
      <c r="H835" t="s">
        <v>12</v>
      </c>
      <c r="I835" t="s">
        <v>25</v>
      </c>
      <c r="J835">
        <v>5</v>
      </c>
      <c r="K835" t="s">
        <v>4</v>
      </c>
      <c r="L835" t="s">
        <v>44</v>
      </c>
      <c r="M835">
        <f>[1]!orders[[#This Row],[Ship Date]]-[1]!orders[[#This Row],[Order Date]]</f>
        <v>1</v>
      </c>
      <c r="N835">
        <f>WEEKNUM([1]!orders[[#This Row],[Order Date]])</f>
        <v>6</v>
      </c>
      <c r="O835" t="str" cm="1">
        <f t="array" ref="O835">_xlfn.IFS([1]!orders[[#This Row],[Customer Gender]]="M","Male", [1]!orders[[#This Row],[Customer Gender]]="F","Female", [1]!orders[[#This Row],[Customer Gender]]="O","Other", TRUE,"Unknown")</f>
        <v>Female</v>
      </c>
    </row>
    <row r="836" spans="1:15" x14ac:dyDescent="0.25">
      <c r="A836" s="1" t="s">
        <v>914</v>
      </c>
      <c r="B836" s="1" t="s">
        <v>17</v>
      </c>
      <c r="C836" s="1">
        <v>1</v>
      </c>
      <c r="D836" s="1">
        <v>50.7</v>
      </c>
      <c r="E836" s="1">
        <v>50.7</v>
      </c>
      <c r="F836" s="2">
        <v>45692</v>
      </c>
      <c r="G836" s="2">
        <v>45694</v>
      </c>
      <c r="H836" s="1" t="s">
        <v>8</v>
      </c>
      <c r="I836" s="1" t="s">
        <v>25</v>
      </c>
      <c r="J836" s="1">
        <v>5</v>
      </c>
      <c r="K836" s="1" t="s">
        <v>4</v>
      </c>
      <c r="L836" s="1" t="s">
        <v>47</v>
      </c>
      <c r="M836" s="1">
        <f>[1]!orders[[#This Row],[Ship Date]]-[1]!orders[[#This Row],[Order Date]]</f>
        <v>2</v>
      </c>
      <c r="N836" s="1">
        <f>WEEKNUM([1]!orders[[#This Row],[Order Date]])</f>
        <v>6</v>
      </c>
      <c r="O836" t="str" cm="1">
        <f t="array" ref="O836">_xlfn.IFS([1]!orders[[#This Row],[Customer Gender]]="M","Male", [1]!orders[[#This Row],[Customer Gender]]="F","Female", [1]!orders[[#This Row],[Customer Gender]]="O","Other", TRUE,"Unknown")</f>
        <v>Male</v>
      </c>
    </row>
    <row r="837" spans="1:15" x14ac:dyDescent="0.25">
      <c r="A837" t="s">
        <v>915</v>
      </c>
      <c r="B837" t="s">
        <v>131</v>
      </c>
      <c r="C837">
        <v>1</v>
      </c>
      <c r="D837">
        <v>39.5</v>
      </c>
      <c r="E837">
        <v>39.5</v>
      </c>
      <c r="F837" s="3">
        <v>45692</v>
      </c>
      <c r="G837" s="3">
        <v>45693</v>
      </c>
      <c r="H837" t="s">
        <v>8</v>
      </c>
      <c r="I837" t="s">
        <v>55</v>
      </c>
      <c r="J837">
        <v>3</v>
      </c>
      <c r="K837" t="s">
        <v>4</v>
      </c>
      <c r="L837" t="s">
        <v>47</v>
      </c>
      <c r="M837">
        <f>[1]!orders[[#This Row],[Ship Date]]-[1]!orders[[#This Row],[Order Date]]</f>
        <v>1</v>
      </c>
      <c r="N837">
        <f>WEEKNUM([1]!orders[[#This Row],[Order Date]])</f>
        <v>6</v>
      </c>
      <c r="O837" t="str" cm="1">
        <f t="array" ref="O837">_xlfn.IFS([1]!orders[[#This Row],[Customer Gender]]="M","Male", [1]!orders[[#This Row],[Customer Gender]]="F","Female", [1]!orders[[#This Row],[Customer Gender]]="O","Other", TRUE,"Unknown")</f>
        <v>Male</v>
      </c>
    </row>
    <row r="838" spans="1:15" x14ac:dyDescent="0.25">
      <c r="A838" s="1" t="s">
        <v>916</v>
      </c>
      <c r="B838" s="1" t="s">
        <v>54</v>
      </c>
      <c r="C838" s="1">
        <v>3</v>
      </c>
      <c r="D838" s="1">
        <v>30.9</v>
      </c>
      <c r="E838" s="1">
        <v>92.699999999999989</v>
      </c>
      <c r="F838" s="2">
        <v>45692</v>
      </c>
      <c r="G838" s="2">
        <v>45693</v>
      </c>
      <c r="H838" s="1" t="s">
        <v>2</v>
      </c>
      <c r="I838" s="1" t="s">
        <v>55</v>
      </c>
      <c r="J838" s="1">
        <v>5</v>
      </c>
      <c r="K838" s="1" t="s">
        <v>4</v>
      </c>
      <c r="L838" s="1" t="s">
        <v>47</v>
      </c>
      <c r="M838" s="1">
        <f>[1]!orders[[#This Row],[Ship Date]]-[1]!orders[[#This Row],[Order Date]]</f>
        <v>1</v>
      </c>
      <c r="N838" s="1">
        <f>WEEKNUM([1]!orders[[#This Row],[Order Date]])</f>
        <v>6</v>
      </c>
      <c r="O838" t="str" cm="1">
        <f t="array" ref="O838">_xlfn.IFS([1]!orders[[#This Row],[Customer Gender]]="M","Male", [1]!orders[[#This Row],[Customer Gender]]="F","Female", [1]!orders[[#This Row],[Customer Gender]]="O","Other", TRUE,"Unknown")</f>
        <v>Unknown</v>
      </c>
    </row>
    <row r="839" spans="1:15" x14ac:dyDescent="0.25">
      <c r="A839" t="s">
        <v>917</v>
      </c>
      <c r="B839" t="s">
        <v>7</v>
      </c>
      <c r="C839">
        <v>7</v>
      </c>
      <c r="D839">
        <v>36.4</v>
      </c>
      <c r="E839">
        <v>254.79999999999998</v>
      </c>
      <c r="F839" s="3">
        <v>45692</v>
      </c>
      <c r="G839" s="3">
        <v>45695</v>
      </c>
      <c r="H839" t="s">
        <v>12</v>
      </c>
      <c r="I839" t="s">
        <v>3</v>
      </c>
      <c r="J839">
        <v>5</v>
      </c>
      <c r="K839" t="s">
        <v>4</v>
      </c>
      <c r="L839" t="s">
        <v>47</v>
      </c>
      <c r="M839">
        <f>[1]!orders[[#This Row],[Ship Date]]-[1]!orders[[#This Row],[Order Date]]</f>
        <v>3</v>
      </c>
      <c r="N839">
        <f>WEEKNUM([1]!orders[[#This Row],[Order Date]])</f>
        <v>6</v>
      </c>
      <c r="O839" t="str" cm="1">
        <f t="array" ref="O839">_xlfn.IFS([1]!orders[[#This Row],[Customer Gender]]="M","Male", [1]!orders[[#This Row],[Customer Gender]]="F","Female", [1]!orders[[#This Row],[Customer Gender]]="O","Other", TRUE,"Unknown")</f>
        <v>Female</v>
      </c>
    </row>
    <row r="840" spans="1:15" x14ac:dyDescent="0.25">
      <c r="A840" s="1" t="s">
        <v>918</v>
      </c>
      <c r="B840" s="1" t="s">
        <v>24</v>
      </c>
      <c r="C840" s="1">
        <v>8</v>
      </c>
      <c r="D840" s="1">
        <v>105.6</v>
      </c>
      <c r="E840" s="1">
        <v>844.8</v>
      </c>
      <c r="F840" s="2">
        <v>45692</v>
      </c>
      <c r="G840" s="2">
        <v>45702</v>
      </c>
      <c r="H840" s="1" t="s">
        <v>12</v>
      </c>
      <c r="I840" s="1" t="s">
        <v>3</v>
      </c>
      <c r="J840" s="1">
        <v>4</v>
      </c>
      <c r="K840" s="1" t="s">
        <v>4</v>
      </c>
      <c r="L840" s="1" t="s">
        <v>47</v>
      </c>
      <c r="M840" s="1">
        <f>[1]!orders[[#This Row],[Ship Date]]-[1]!orders[[#This Row],[Order Date]]</f>
        <v>10</v>
      </c>
      <c r="N840" s="1">
        <f>WEEKNUM([1]!orders[[#This Row],[Order Date]])</f>
        <v>6</v>
      </c>
      <c r="O840" t="str" cm="1">
        <f t="array" ref="O840">_xlfn.IFS([1]!orders[[#This Row],[Customer Gender]]="M","Male", [1]!orders[[#This Row],[Customer Gender]]="F","Female", [1]!orders[[#This Row],[Customer Gender]]="O","Other", TRUE,"Unknown")</f>
        <v>Female</v>
      </c>
    </row>
    <row r="841" spans="1:15" x14ac:dyDescent="0.25">
      <c r="A841" t="s">
        <v>919</v>
      </c>
      <c r="B841" t="s">
        <v>29</v>
      </c>
      <c r="C841">
        <v>2</v>
      </c>
      <c r="D841">
        <v>22.1</v>
      </c>
      <c r="E841">
        <v>44.2</v>
      </c>
      <c r="F841" s="3">
        <v>45692</v>
      </c>
      <c r="G841" s="3">
        <v>45693</v>
      </c>
      <c r="H841" t="s">
        <v>12</v>
      </c>
      <c r="I841" t="s">
        <v>3</v>
      </c>
      <c r="J841">
        <v>5</v>
      </c>
      <c r="K841" t="s">
        <v>4</v>
      </c>
      <c r="L841" t="s">
        <v>88</v>
      </c>
      <c r="M841">
        <f>[1]!orders[[#This Row],[Ship Date]]-[1]!orders[[#This Row],[Order Date]]</f>
        <v>1</v>
      </c>
      <c r="N841">
        <f>WEEKNUM([1]!orders[[#This Row],[Order Date]])</f>
        <v>6</v>
      </c>
      <c r="O841" t="str" cm="1">
        <f t="array" ref="O841">_xlfn.IFS([1]!orders[[#This Row],[Customer Gender]]="M","Male", [1]!orders[[#This Row],[Customer Gender]]="F","Female", [1]!orders[[#This Row],[Customer Gender]]="O","Other", TRUE,"Unknown")</f>
        <v>Female</v>
      </c>
    </row>
    <row r="842" spans="1:15" x14ac:dyDescent="0.25">
      <c r="A842" s="1" t="s">
        <v>920</v>
      </c>
      <c r="B842" s="1" t="s">
        <v>1</v>
      </c>
      <c r="C842" s="1">
        <v>3</v>
      </c>
      <c r="D842" s="1">
        <v>22.6</v>
      </c>
      <c r="E842" s="1">
        <v>67.800000000000011</v>
      </c>
      <c r="F842" s="2">
        <v>45692</v>
      </c>
      <c r="G842" s="2">
        <v>45693</v>
      </c>
      <c r="H842" s="1" t="s">
        <v>12</v>
      </c>
      <c r="I842" s="1" t="s">
        <v>25</v>
      </c>
      <c r="J842" s="1">
        <v>4</v>
      </c>
      <c r="K842" s="1" t="s">
        <v>4</v>
      </c>
      <c r="L842" s="1" t="s">
        <v>88</v>
      </c>
      <c r="M842" s="1">
        <f>[1]!orders[[#This Row],[Ship Date]]-[1]!orders[[#This Row],[Order Date]]</f>
        <v>1</v>
      </c>
      <c r="N842" s="1">
        <f>WEEKNUM([1]!orders[[#This Row],[Order Date]])</f>
        <v>6</v>
      </c>
      <c r="O842" t="str" cm="1">
        <f t="array" ref="O842">_xlfn.IFS([1]!orders[[#This Row],[Customer Gender]]="M","Male", [1]!orders[[#This Row],[Customer Gender]]="F","Female", [1]!orders[[#This Row],[Customer Gender]]="O","Other", TRUE,"Unknown")</f>
        <v>Female</v>
      </c>
    </row>
    <row r="843" spans="1:15" x14ac:dyDescent="0.25">
      <c r="A843" t="s">
        <v>921</v>
      </c>
      <c r="B843" t="s">
        <v>39</v>
      </c>
      <c r="C843">
        <v>6</v>
      </c>
      <c r="D843">
        <v>26.3</v>
      </c>
      <c r="E843">
        <v>157.80000000000001</v>
      </c>
      <c r="F843" s="3">
        <v>45692</v>
      </c>
      <c r="G843" s="3">
        <v>45692</v>
      </c>
      <c r="H843" t="s">
        <v>12</v>
      </c>
      <c r="I843" t="s">
        <v>25</v>
      </c>
      <c r="J843">
        <v>4</v>
      </c>
      <c r="K843" t="s">
        <v>4</v>
      </c>
      <c r="L843" t="s">
        <v>57</v>
      </c>
      <c r="M843">
        <f>[1]!orders[[#This Row],[Ship Date]]-[1]!orders[[#This Row],[Order Date]]</f>
        <v>0</v>
      </c>
      <c r="N843">
        <f>WEEKNUM([1]!orders[[#This Row],[Order Date]])</f>
        <v>6</v>
      </c>
      <c r="O843" t="str" cm="1">
        <f t="array" ref="O843">_xlfn.IFS([1]!orders[[#This Row],[Customer Gender]]="M","Male", [1]!orders[[#This Row],[Customer Gender]]="F","Female", [1]!orders[[#This Row],[Customer Gender]]="O","Other", TRUE,"Unknown")</f>
        <v>Female</v>
      </c>
    </row>
    <row r="844" spans="1:15" x14ac:dyDescent="0.25">
      <c r="A844" s="1" t="s">
        <v>922</v>
      </c>
      <c r="B844" s="1" t="s">
        <v>7</v>
      </c>
      <c r="C844" s="1">
        <v>4</v>
      </c>
      <c r="D844" s="1">
        <v>37.799999999999997</v>
      </c>
      <c r="E844" s="1">
        <v>151.19999999999999</v>
      </c>
      <c r="F844" s="2">
        <v>45692</v>
      </c>
      <c r="G844" s="2">
        <v>45693</v>
      </c>
      <c r="H844" s="1" t="s">
        <v>12</v>
      </c>
      <c r="I844" s="1" t="s">
        <v>3</v>
      </c>
      <c r="J844" s="1">
        <v>5</v>
      </c>
      <c r="K844" s="1" t="s">
        <v>4</v>
      </c>
      <c r="L844" s="1" t="s">
        <v>62</v>
      </c>
      <c r="M844" s="1">
        <f>[1]!orders[[#This Row],[Ship Date]]-[1]!orders[[#This Row],[Order Date]]</f>
        <v>1</v>
      </c>
      <c r="N844" s="1">
        <f>WEEKNUM([1]!orders[[#This Row],[Order Date]])</f>
        <v>6</v>
      </c>
      <c r="O844" t="str" cm="1">
        <f t="array" ref="O844">_xlfn.IFS([1]!orders[[#This Row],[Customer Gender]]="M","Male", [1]!orders[[#This Row],[Customer Gender]]="F","Female", [1]!orders[[#This Row],[Customer Gender]]="O","Other", TRUE,"Unknown")</f>
        <v>Female</v>
      </c>
    </row>
    <row r="845" spans="1:15" x14ac:dyDescent="0.25">
      <c r="A845" t="s">
        <v>923</v>
      </c>
      <c r="B845" t="s">
        <v>24</v>
      </c>
      <c r="C845">
        <v>17</v>
      </c>
      <c r="D845">
        <v>96</v>
      </c>
      <c r="E845">
        <v>1632</v>
      </c>
      <c r="F845" s="3">
        <v>45692</v>
      </c>
      <c r="G845" s="3">
        <v>45695</v>
      </c>
      <c r="H845" t="s">
        <v>12</v>
      </c>
      <c r="I845" t="s">
        <v>55</v>
      </c>
      <c r="J845">
        <v>3</v>
      </c>
      <c r="K845" t="s">
        <v>4</v>
      </c>
      <c r="L845" t="s">
        <v>93</v>
      </c>
      <c r="M845">
        <f>[1]!orders[[#This Row],[Ship Date]]-[1]!orders[[#This Row],[Order Date]]</f>
        <v>3</v>
      </c>
      <c r="N845">
        <f>WEEKNUM([1]!orders[[#This Row],[Order Date]])</f>
        <v>6</v>
      </c>
      <c r="O845" t="str" cm="1">
        <f t="array" ref="O845">_xlfn.IFS([1]!orders[[#This Row],[Customer Gender]]="M","Male", [1]!orders[[#This Row],[Customer Gender]]="F","Female", [1]!orders[[#This Row],[Customer Gender]]="O","Other", TRUE,"Unknown")</f>
        <v>Female</v>
      </c>
    </row>
    <row r="846" spans="1:15" x14ac:dyDescent="0.25">
      <c r="A846" s="1" t="s">
        <v>924</v>
      </c>
      <c r="B846" s="1" t="s">
        <v>7</v>
      </c>
      <c r="C846" s="1">
        <v>1</v>
      </c>
      <c r="D846" s="1">
        <v>83.6</v>
      </c>
      <c r="E846" s="1">
        <v>83.6</v>
      </c>
      <c r="F846" s="2">
        <v>45692</v>
      </c>
      <c r="G846" s="2">
        <v>45695</v>
      </c>
      <c r="H846" s="1" t="s">
        <v>12</v>
      </c>
      <c r="I846" s="1" t="s">
        <v>25</v>
      </c>
      <c r="J846" s="1">
        <v>3</v>
      </c>
      <c r="K846" s="1" t="s">
        <v>4</v>
      </c>
      <c r="L846" s="1" t="s">
        <v>95</v>
      </c>
      <c r="M846" s="1">
        <f>[1]!orders[[#This Row],[Ship Date]]-[1]!orders[[#This Row],[Order Date]]</f>
        <v>3</v>
      </c>
      <c r="N846" s="1">
        <f>WEEKNUM([1]!orders[[#This Row],[Order Date]])</f>
        <v>6</v>
      </c>
      <c r="O846" t="str" cm="1">
        <f t="array" ref="O846">_xlfn.IFS([1]!orders[[#This Row],[Customer Gender]]="M","Male", [1]!orders[[#This Row],[Customer Gender]]="F","Female", [1]!orders[[#This Row],[Customer Gender]]="O","Other", TRUE,"Unknown")</f>
        <v>Female</v>
      </c>
    </row>
    <row r="847" spans="1:15" x14ac:dyDescent="0.25">
      <c r="A847" t="s">
        <v>925</v>
      </c>
      <c r="B847" t="s">
        <v>11</v>
      </c>
      <c r="C847">
        <v>6</v>
      </c>
      <c r="D847">
        <v>72.599999999999994</v>
      </c>
      <c r="E847">
        <v>435.59999999999997</v>
      </c>
      <c r="F847" s="3">
        <v>45692</v>
      </c>
      <c r="G847" s="3">
        <v>45693</v>
      </c>
      <c r="H847" t="s">
        <v>12</v>
      </c>
      <c r="I847" t="s">
        <v>3</v>
      </c>
      <c r="J847">
        <v>4</v>
      </c>
      <c r="K847" t="s">
        <v>4</v>
      </c>
      <c r="L847" t="s">
        <v>100</v>
      </c>
      <c r="M847">
        <f>[1]!orders[[#This Row],[Ship Date]]-[1]!orders[[#This Row],[Order Date]]</f>
        <v>1</v>
      </c>
      <c r="N847">
        <f>WEEKNUM([1]!orders[[#This Row],[Order Date]])</f>
        <v>6</v>
      </c>
      <c r="O847" t="str" cm="1">
        <f t="array" ref="O847">_xlfn.IFS([1]!orders[[#This Row],[Customer Gender]]="M","Male", [1]!orders[[#This Row],[Customer Gender]]="F","Female", [1]!orders[[#This Row],[Customer Gender]]="O","Other", TRUE,"Unknown")</f>
        <v>Female</v>
      </c>
    </row>
    <row r="848" spans="1:15" x14ac:dyDescent="0.25">
      <c r="A848" s="1" t="s">
        <v>926</v>
      </c>
      <c r="B848" s="1" t="s">
        <v>22</v>
      </c>
      <c r="C848" s="1">
        <v>20</v>
      </c>
      <c r="D848" s="1">
        <v>69.099999999999994</v>
      </c>
      <c r="E848" s="1">
        <v>1382</v>
      </c>
      <c r="F848" s="2">
        <v>45693</v>
      </c>
      <c r="G848" s="2">
        <v>45699</v>
      </c>
      <c r="H848" s="1" t="s">
        <v>8</v>
      </c>
      <c r="I848" s="1" t="s">
        <v>3</v>
      </c>
      <c r="J848" s="1">
        <v>5</v>
      </c>
      <c r="K848" s="1" t="s">
        <v>4</v>
      </c>
      <c r="L848" s="1" t="s">
        <v>100</v>
      </c>
      <c r="M848" s="1">
        <f>[1]!orders[[#This Row],[Ship Date]]-[1]!orders[[#This Row],[Order Date]]</f>
        <v>6</v>
      </c>
      <c r="N848" s="1">
        <f>WEEKNUM([1]!orders[[#This Row],[Order Date]])</f>
        <v>6</v>
      </c>
      <c r="O848" t="str" cm="1">
        <f t="array" ref="O848">_xlfn.IFS([1]!orders[[#This Row],[Customer Gender]]="M","Male", [1]!orders[[#This Row],[Customer Gender]]="F","Female", [1]!orders[[#This Row],[Customer Gender]]="O","Other", TRUE,"Unknown")</f>
        <v>Male</v>
      </c>
    </row>
    <row r="849" spans="1:15" x14ac:dyDescent="0.25">
      <c r="A849" t="s">
        <v>927</v>
      </c>
      <c r="B849" t="s">
        <v>17</v>
      </c>
      <c r="C849">
        <v>2</v>
      </c>
      <c r="D849">
        <v>22.6</v>
      </c>
      <c r="E849">
        <v>45.2</v>
      </c>
      <c r="F849" s="3">
        <v>45693</v>
      </c>
      <c r="G849" s="3">
        <v>45695</v>
      </c>
      <c r="H849" t="s">
        <v>12</v>
      </c>
      <c r="I849" t="s">
        <v>20</v>
      </c>
      <c r="J849">
        <v>5</v>
      </c>
      <c r="K849" t="s">
        <v>4</v>
      </c>
      <c r="L849" t="s">
        <v>100</v>
      </c>
      <c r="M849">
        <f>[1]!orders[[#This Row],[Ship Date]]-[1]!orders[[#This Row],[Order Date]]</f>
        <v>2</v>
      </c>
      <c r="N849">
        <f>WEEKNUM([1]!orders[[#This Row],[Order Date]])</f>
        <v>6</v>
      </c>
      <c r="O849" t="str" cm="1">
        <f t="array" ref="O849">_xlfn.IFS([1]!orders[[#This Row],[Customer Gender]]="M","Male", [1]!orders[[#This Row],[Customer Gender]]="F","Female", [1]!orders[[#This Row],[Customer Gender]]="O","Other", TRUE,"Unknown")</f>
        <v>Female</v>
      </c>
    </row>
    <row r="850" spans="1:15" x14ac:dyDescent="0.25">
      <c r="A850" s="1" t="s">
        <v>928</v>
      </c>
      <c r="B850" s="1" t="s">
        <v>24</v>
      </c>
      <c r="C850" s="1">
        <v>2</v>
      </c>
      <c r="D850" s="1">
        <v>45.3</v>
      </c>
      <c r="E850" s="1">
        <v>90.6</v>
      </c>
      <c r="F850" s="2">
        <v>45693</v>
      </c>
      <c r="G850" s="2">
        <v>45697</v>
      </c>
      <c r="H850" s="1" t="s">
        <v>8</v>
      </c>
      <c r="I850" s="1" t="s">
        <v>55</v>
      </c>
      <c r="J850" s="1">
        <v>5</v>
      </c>
      <c r="K850" s="1" t="s">
        <v>4</v>
      </c>
      <c r="L850" s="1" t="s">
        <v>100</v>
      </c>
      <c r="M850" s="1">
        <f>[1]!orders[[#This Row],[Ship Date]]-[1]!orders[[#This Row],[Order Date]]</f>
        <v>4</v>
      </c>
      <c r="N850" s="1">
        <f>WEEKNUM([1]!orders[[#This Row],[Order Date]])</f>
        <v>6</v>
      </c>
      <c r="O850" t="str" cm="1">
        <f t="array" ref="O850">_xlfn.IFS([1]!orders[[#This Row],[Customer Gender]]="M","Male", [1]!orders[[#This Row],[Customer Gender]]="F","Female", [1]!orders[[#This Row],[Customer Gender]]="O","Other", TRUE,"Unknown")</f>
        <v>Male</v>
      </c>
    </row>
    <row r="851" spans="1:15" x14ac:dyDescent="0.25">
      <c r="A851" t="s">
        <v>929</v>
      </c>
      <c r="B851" t="s">
        <v>11</v>
      </c>
      <c r="C851">
        <v>2</v>
      </c>
      <c r="D851">
        <v>115.1</v>
      </c>
      <c r="E851">
        <v>230.2</v>
      </c>
      <c r="F851" s="3">
        <v>45693</v>
      </c>
      <c r="G851" s="3">
        <v>45694</v>
      </c>
      <c r="H851" t="s">
        <v>12</v>
      </c>
      <c r="I851" t="s">
        <v>20</v>
      </c>
      <c r="J851">
        <v>4</v>
      </c>
      <c r="K851" t="s">
        <v>4</v>
      </c>
      <c r="L851" t="s">
        <v>9</v>
      </c>
      <c r="M851">
        <f>[1]!orders[[#This Row],[Ship Date]]-[1]!orders[[#This Row],[Order Date]]</f>
        <v>1</v>
      </c>
      <c r="N851">
        <f>WEEKNUM([1]!orders[[#This Row],[Order Date]])</f>
        <v>6</v>
      </c>
      <c r="O851" t="str" cm="1">
        <f t="array" ref="O851">_xlfn.IFS([1]!orders[[#This Row],[Customer Gender]]="M","Male", [1]!orders[[#This Row],[Customer Gender]]="F","Female", [1]!orders[[#This Row],[Customer Gender]]="O","Other", TRUE,"Unknown")</f>
        <v>Female</v>
      </c>
    </row>
    <row r="852" spans="1:15" x14ac:dyDescent="0.25">
      <c r="A852" s="1" t="s">
        <v>930</v>
      </c>
      <c r="B852" s="1" t="s">
        <v>131</v>
      </c>
      <c r="C852" s="1">
        <v>4</v>
      </c>
      <c r="D852" s="1">
        <v>79</v>
      </c>
      <c r="E852" s="1">
        <v>316</v>
      </c>
      <c r="F852" s="2">
        <v>45693</v>
      </c>
      <c r="G852" s="2">
        <v>45695</v>
      </c>
      <c r="H852" s="1" t="s">
        <v>8</v>
      </c>
      <c r="I852" s="1" t="s">
        <v>25</v>
      </c>
      <c r="J852" s="1">
        <v>2</v>
      </c>
      <c r="K852" s="1" t="s">
        <v>4</v>
      </c>
      <c r="L852" s="1" t="s">
        <v>9</v>
      </c>
      <c r="M852" s="1">
        <f>[1]!orders[[#This Row],[Ship Date]]-[1]!orders[[#This Row],[Order Date]]</f>
        <v>2</v>
      </c>
      <c r="N852" s="1">
        <f>WEEKNUM([1]!orders[[#This Row],[Order Date]])</f>
        <v>6</v>
      </c>
      <c r="O852" t="str" cm="1">
        <f t="array" ref="O852">_xlfn.IFS([1]!orders[[#This Row],[Customer Gender]]="M","Male", [1]!orders[[#This Row],[Customer Gender]]="F","Female", [1]!orders[[#This Row],[Customer Gender]]="O","Other", TRUE,"Unknown")</f>
        <v>Male</v>
      </c>
    </row>
    <row r="853" spans="1:15" x14ac:dyDescent="0.25">
      <c r="A853" t="s">
        <v>931</v>
      </c>
      <c r="B853" t="s">
        <v>24</v>
      </c>
      <c r="C853">
        <v>5</v>
      </c>
      <c r="D853">
        <v>52.8</v>
      </c>
      <c r="E853">
        <v>264</v>
      </c>
      <c r="F853" s="3">
        <v>45693</v>
      </c>
      <c r="G853" s="3">
        <v>45694</v>
      </c>
      <c r="H853" t="s">
        <v>12</v>
      </c>
      <c r="I853" t="s">
        <v>3</v>
      </c>
      <c r="J853">
        <v>4</v>
      </c>
      <c r="K853" t="s">
        <v>4</v>
      </c>
      <c r="L853" t="s">
        <v>422</v>
      </c>
      <c r="M853">
        <f>[1]!orders[[#This Row],[Ship Date]]-[1]!orders[[#This Row],[Order Date]]</f>
        <v>1</v>
      </c>
      <c r="N853">
        <f>WEEKNUM([1]!orders[[#This Row],[Order Date]])</f>
        <v>6</v>
      </c>
      <c r="O853" t="str" cm="1">
        <f t="array" ref="O853">_xlfn.IFS([1]!orders[[#This Row],[Customer Gender]]="M","Male", [1]!orders[[#This Row],[Customer Gender]]="F","Female", [1]!orders[[#This Row],[Customer Gender]]="O","Other", TRUE,"Unknown")</f>
        <v>Female</v>
      </c>
    </row>
    <row r="854" spans="1:15" x14ac:dyDescent="0.25">
      <c r="A854" s="1" t="s">
        <v>932</v>
      </c>
      <c r="B854" s="1" t="s">
        <v>29</v>
      </c>
      <c r="C854" s="1">
        <v>2</v>
      </c>
      <c r="D854" s="1">
        <v>34.1</v>
      </c>
      <c r="E854" s="1">
        <v>68.2</v>
      </c>
      <c r="F854" s="2">
        <v>45693</v>
      </c>
      <c r="G854" s="2">
        <v>45694</v>
      </c>
      <c r="H854" s="1" t="s">
        <v>8</v>
      </c>
      <c r="I854" s="1" t="s">
        <v>36</v>
      </c>
      <c r="J854" s="1">
        <v>5</v>
      </c>
      <c r="K854" s="1" t="s">
        <v>4</v>
      </c>
      <c r="L854" s="1" t="s">
        <v>572</v>
      </c>
      <c r="M854" s="1">
        <f>[1]!orders[[#This Row],[Ship Date]]-[1]!orders[[#This Row],[Order Date]]</f>
        <v>1</v>
      </c>
      <c r="N854" s="1">
        <f>WEEKNUM([1]!orders[[#This Row],[Order Date]])</f>
        <v>6</v>
      </c>
      <c r="O854" t="str" cm="1">
        <f t="array" ref="O854">_xlfn.IFS([1]!orders[[#This Row],[Customer Gender]]="M","Male", [1]!orders[[#This Row],[Customer Gender]]="F","Female", [1]!orders[[#This Row],[Customer Gender]]="O","Other", TRUE,"Unknown")</f>
        <v>Male</v>
      </c>
    </row>
    <row r="855" spans="1:15" x14ac:dyDescent="0.25">
      <c r="A855" t="s">
        <v>933</v>
      </c>
      <c r="B855" t="s">
        <v>24</v>
      </c>
      <c r="C855">
        <v>5</v>
      </c>
      <c r="D855">
        <v>107.9</v>
      </c>
      <c r="E855">
        <v>539.5</v>
      </c>
      <c r="F855" s="3">
        <v>45693</v>
      </c>
      <c r="G855" s="3">
        <v>45693</v>
      </c>
      <c r="H855" t="s">
        <v>12</v>
      </c>
      <c r="I855" t="s">
        <v>3</v>
      </c>
      <c r="J855">
        <v>5</v>
      </c>
      <c r="K855" t="s">
        <v>4</v>
      </c>
      <c r="L855" t="s">
        <v>934</v>
      </c>
      <c r="M855">
        <f>[1]!orders[[#This Row],[Ship Date]]-[1]!orders[[#This Row],[Order Date]]</f>
        <v>0</v>
      </c>
      <c r="N855">
        <f>WEEKNUM([1]!orders[[#This Row],[Order Date]])</f>
        <v>6</v>
      </c>
      <c r="O855" t="str" cm="1">
        <f t="array" ref="O855">_xlfn.IFS([1]!orders[[#This Row],[Customer Gender]]="M","Male", [1]!orders[[#This Row],[Customer Gender]]="F","Female", [1]!orders[[#This Row],[Customer Gender]]="O","Other", TRUE,"Unknown")</f>
        <v>Female</v>
      </c>
    </row>
    <row r="856" spans="1:15" x14ac:dyDescent="0.25">
      <c r="A856" s="1" t="s">
        <v>935</v>
      </c>
      <c r="B856" s="1" t="s">
        <v>29</v>
      </c>
      <c r="C856" s="1">
        <v>13</v>
      </c>
      <c r="D856" s="1">
        <v>48.5</v>
      </c>
      <c r="E856" s="1">
        <v>630.5</v>
      </c>
      <c r="F856" s="2">
        <v>45693</v>
      </c>
      <c r="G856" s="2">
        <v>45693</v>
      </c>
      <c r="H856" s="1" t="s">
        <v>8</v>
      </c>
      <c r="I856" s="1" t="s">
        <v>25</v>
      </c>
      <c r="J856" s="1">
        <v>5</v>
      </c>
      <c r="K856" s="1" t="s">
        <v>4</v>
      </c>
      <c r="L856" s="1" t="s">
        <v>18</v>
      </c>
      <c r="M856" s="1">
        <f>[1]!orders[[#This Row],[Ship Date]]-[1]!orders[[#This Row],[Order Date]]</f>
        <v>0</v>
      </c>
      <c r="N856" s="1">
        <f>WEEKNUM([1]!orders[[#This Row],[Order Date]])</f>
        <v>6</v>
      </c>
      <c r="O856" t="str" cm="1">
        <f t="array" ref="O856">_xlfn.IFS([1]!orders[[#This Row],[Customer Gender]]="M","Male", [1]!orders[[#This Row],[Customer Gender]]="F","Female", [1]!orders[[#This Row],[Customer Gender]]="O","Other", TRUE,"Unknown")</f>
        <v>Male</v>
      </c>
    </row>
    <row r="857" spans="1:15" x14ac:dyDescent="0.25">
      <c r="A857" t="s">
        <v>936</v>
      </c>
      <c r="B857" t="s">
        <v>22</v>
      </c>
      <c r="C857">
        <v>3</v>
      </c>
      <c r="D857">
        <v>34.700000000000003</v>
      </c>
      <c r="E857">
        <v>104.10000000000001</v>
      </c>
      <c r="F857" s="3">
        <v>45693</v>
      </c>
      <c r="G857" s="3">
        <v>45694</v>
      </c>
      <c r="H857" t="s">
        <v>2</v>
      </c>
      <c r="I857" t="s">
        <v>55</v>
      </c>
      <c r="J857">
        <v>3</v>
      </c>
      <c r="K857" t="s">
        <v>4</v>
      </c>
      <c r="L857" t="s">
        <v>18</v>
      </c>
      <c r="M857">
        <f>[1]!orders[[#This Row],[Ship Date]]-[1]!orders[[#This Row],[Order Date]]</f>
        <v>1</v>
      </c>
      <c r="N857">
        <f>WEEKNUM([1]!orders[[#This Row],[Order Date]])</f>
        <v>6</v>
      </c>
      <c r="O857" t="str" cm="1">
        <f t="array" ref="O857">_xlfn.IFS([1]!orders[[#This Row],[Customer Gender]]="M","Male", [1]!orders[[#This Row],[Customer Gender]]="F","Female", [1]!orders[[#This Row],[Customer Gender]]="O","Other", TRUE,"Unknown")</f>
        <v>Unknown</v>
      </c>
    </row>
    <row r="858" spans="1:15" x14ac:dyDescent="0.25">
      <c r="A858" s="1" t="s">
        <v>937</v>
      </c>
      <c r="B858" s="1" t="s">
        <v>29</v>
      </c>
      <c r="C858" s="1">
        <v>1</v>
      </c>
      <c r="D858" s="1">
        <v>16.8</v>
      </c>
      <c r="E858" s="1">
        <v>16.8</v>
      </c>
      <c r="F858" s="2">
        <v>45693</v>
      </c>
      <c r="G858" s="2">
        <v>45695</v>
      </c>
      <c r="H858" s="1" t="s">
        <v>12</v>
      </c>
      <c r="I858" s="1" t="s">
        <v>36</v>
      </c>
      <c r="J858" s="1">
        <v>4</v>
      </c>
      <c r="K858" s="1" t="s">
        <v>4</v>
      </c>
      <c r="L858" s="1" t="s">
        <v>18</v>
      </c>
      <c r="M858" s="1">
        <f>[1]!orders[[#This Row],[Ship Date]]-[1]!orders[[#This Row],[Order Date]]</f>
        <v>2</v>
      </c>
      <c r="N858" s="1">
        <f>WEEKNUM([1]!orders[[#This Row],[Order Date]])</f>
        <v>6</v>
      </c>
      <c r="O858" t="str" cm="1">
        <f t="array" ref="O858">_xlfn.IFS([1]!orders[[#This Row],[Customer Gender]]="M","Male", [1]!orders[[#This Row],[Customer Gender]]="F","Female", [1]!orders[[#This Row],[Customer Gender]]="O","Other", TRUE,"Unknown")</f>
        <v>Female</v>
      </c>
    </row>
    <row r="859" spans="1:15" x14ac:dyDescent="0.25">
      <c r="A859" t="s">
        <v>938</v>
      </c>
      <c r="B859" t="s">
        <v>29</v>
      </c>
      <c r="C859">
        <v>6</v>
      </c>
      <c r="D859">
        <v>18.3</v>
      </c>
      <c r="E859">
        <v>109.80000000000001</v>
      </c>
      <c r="F859" s="3">
        <v>45693</v>
      </c>
      <c r="G859" s="3">
        <v>45696</v>
      </c>
      <c r="H859" t="s">
        <v>12</v>
      </c>
      <c r="I859" t="s">
        <v>3</v>
      </c>
      <c r="J859">
        <v>4</v>
      </c>
      <c r="K859" t="s">
        <v>4</v>
      </c>
      <c r="L859" t="s">
        <v>18</v>
      </c>
      <c r="M859">
        <f>[1]!orders[[#This Row],[Ship Date]]-[1]!orders[[#This Row],[Order Date]]</f>
        <v>3</v>
      </c>
      <c r="N859">
        <f>WEEKNUM([1]!orders[[#This Row],[Order Date]])</f>
        <v>6</v>
      </c>
      <c r="O859" t="str" cm="1">
        <f t="array" ref="O859">_xlfn.IFS([1]!orders[[#This Row],[Customer Gender]]="M","Male", [1]!orders[[#This Row],[Customer Gender]]="F","Female", [1]!orders[[#This Row],[Customer Gender]]="O","Other", TRUE,"Unknown")</f>
        <v>Female</v>
      </c>
    </row>
    <row r="860" spans="1:15" x14ac:dyDescent="0.25">
      <c r="A860" s="1" t="s">
        <v>939</v>
      </c>
      <c r="B860" s="1" t="s">
        <v>131</v>
      </c>
      <c r="C860" s="1">
        <v>3</v>
      </c>
      <c r="D860" s="1">
        <v>55.9</v>
      </c>
      <c r="E860" s="1">
        <v>167.7</v>
      </c>
      <c r="F860" s="2">
        <v>45693</v>
      </c>
      <c r="G860" s="2">
        <v>45699</v>
      </c>
      <c r="H860" s="1" t="s">
        <v>8</v>
      </c>
      <c r="I860" s="1" t="s">
        <v>36</v>
      </c>
      <c r="J860" s="1">
        <v>3</v>
      </c>
      <c r="K860" s="1" t="s">
        <v>4</v>
      </c>
      <c r="L860" s="1" t="s">
        <v>18</v>
      </c>
      <c r="M860" s="1">
        <f>[1]!orders[[#This Row],[Ship Date]]-[1]!orders[[#This Row],[Order Date]]</f>
        <v>6</v>
      </c>
      <c r="N860" s="1">
        <f>WEEKNUM([1]!orders[[#This Row],[Order Date]])</f>
        <v>6</v>
      </c>
      <c r="O860" t="str" cm="1">
        <f t="array" ref="O860">_xlfn.IFS([1]!orders[[#This Row],[Customer Gender]]="M","Male", [1]!orders[[#This Row],[Customer Gender]]="F","Female", [1]!orders[[#This Row],[Customer Gender]]="O","Other", TRUE,"Unknown")</f>
        <v>Male</v>
      </c>
    </row>
    <row r="861" spans="1:15" x14ac:dyDescent="0.25">
      <c r="A861" t="s">
        <v>940</v>
      </c>
      <c r="B861" t="s">
        <v>29</v>
      </c>
      <c r="C861">
        <v>3</v>
      </c>
      <c r="D861">
        <v>39.200000000000003</v>
      </c>
      <c r="E861">
        <v>117.60000000000001</v>
      </c>
      <c r="F861" s="3">
        <v>45693</v>
      </c>
      <c r="G861" s="3">
        <v>45695</v>
      </c>
      <c r="H861" t="s">
        <v>12</v>
      </c>
      <c r="I861" t="s">
        <v>3</v>
      </c>
      <c r="J861">
        <v>3</v>
      </c>
      <c r="K861" t="s">
        <v>4</v>
      </c>
      <c r="L861" t="s">
        <v>18</v>
      </c>
      <c r="M861">
        <f>[1]!orders[[#This Row],[Ship Date]]-[1]!orders[[#This Row],[Order Date]]</f>
        <v>2</v>
      </c>
      <c r="N861">
        <f>WEEKNUM([1]!orders[[#This Row],[Order Date]])</f>
        <v>6</v>
      </c>
      <c r="O861" t="str" cm="1">
        <f t="array" ref="O861">_xlfn.IFS([1]!orders[[#This Row],[Customer Gender]]="M","Male", [1]!orders[[#This Row],[Customer Gender]]="F","Female", [1]!orders[[#This Row],[Customer Gender]]="O","Other", TRUE,"Unknown")</f>
        <v>Female</v>
      </c>
    </row>
    <row r="862" spans="1:15" x14ac:dyDescent="0.25">
      <c r="A862" s="1" t="s">
        <v>941</v>
      </c>
      <c r="B862" s="1" t="s">
        <v>108</v>
      </c>
      <c r="C862" s="1">
        <v>4</v>
      </c>
      <c r="D862" s="1">
        <v>66.5</v>
      </c>
      <c r="E862" s="1">
        <v>266</v>
      </c>
      <c r="F862" s="2">
        <v>45693</v>
      </c>
      <c r="G862" s="2">
        <v>45695</v>
      </c>
      <c r="H862" s="1" t="s">
        <v>2</v>
      </c>
      <c r="I862" s="1" t="s">
        <v>36</v>
      </c>
      <c r="J862" s="1">
        <v>3</v>
      </c>
      <c r="K862" s="1" t="s">
        <v>4</v>
      </c>
      <c r="L862" s="1" t="s">
        <v>18</v>
      </c>
      <c r="M862" s="1">
        <f>[1]!orders[[#This Row],[Ship Date]]-[1]!orders[[#This Row],[Order Date]]</f>
        <v>2</v>
      </c>
      <c r="N862" s="1">
        <f>WEEKNUM([1]!orders[[#This Row],[Order Date]])</f>
        <v>6</v>
      </c>
      <c r="O862" t="str" cm="1">
        <f t="array" ref="O862">_xlfn.IFS([1]!orders[[#This Row],[Customer Gender]]="M","Male", [1]!orders[[#This Row],[Customer Gender]]="F","Female", [1]!orders[[#This Row],[Customer Gender]]="O","Other", TRUE,"Unknown")</f>
        <v>Unknown</v>
      </c>
    </row>
    <row r="863" spans="1:15" x14ac:dyDescent="0.25">
      <c r="A863" t="s">
        <v>942</v>
      </c>
      <c r="B863" t="s">
        <v>24</v>
      </c>
      <c r="C863">
        <v>6</v>
      </c>
      <c r="D863">
        <v>52.1</v>
      </c>
      <c r="E863">
        <v>312.60000000000002</v>
      </c>
      <c r="F863" s="3">
        <v>45693</v>
      </c>
      <c r="G863" s="3">
        <v>45695</v>
      </c>
      <c r="H863" t="s">
        <v>8</v>
      </c>
      <c r="I863" t="s">
        <v>20</v>
      </c>
      <c r="J863">
        <v>3</v>
      </c>
      <c r="K863" t="s">
        <v>4</v>
      </c>
      <c r="L863" t="s">
        <v>83</v>
      </c>
      <c r="M863">
        <f>[1]!orders[[#This Row],[Ship Date]]-[1]!orders[[#This Row],[Order Date]]</f>
        <v>2</v>
      </c>
      <c r="N863">
        <f>WEEKNUM([1]!orders[[#This Row],[Order Date]])</f>
        <v>6</v>
      </c>
      <c r="O863" t="str" cm="1">
        <f t="array" ref="O863">_xlfn.IFS([1]!orders[[#This Row],[Customer Gender]]="M","Male", [1]!orders[[#This Row],[Customer Gender]]="F","Female", [1]!orders[[#This Row],[Customer Gender]]="O","Other", TRUE,"Unknown")</f>
        <v>Male</v>
      </c>
    </row>
    <row r="864" spans="1:15" x14ac:dyDescent="0.25">
      <c r="A864" s="1" t="s">
        <v>943</v>
      </c>
      <c r="B864" s="1" t="s">
        <v>29</v>
      </c>
      <c r="C864" s="1">
        <v>2</v>
      </c>
      <c r="D864" s="1">
        <v>19</v>
      </c>
      <c r="E864" s="1">
        <v>38</v>
      </c>
      <c r="F864" s="2">
        <v>45693</v>
      </c>
      <c r="G864" s="2">
        <v>45694</v>
      </c>
      <c r="H864" s="1" t="s">
        <v>8</v>
      </c>
      <c r="I864" s="1" t="s">
        <v>55</v>
      </c>
      <c r="J864" s="1">
        <v>5</v>
      </c>
      <c r="K864" s="1" t="s">
        <v>4</v>
      </c>
      <c r="L864" s="1" t="s">
        <v>40</v>
      </c>
      <c r="M864" s="1">
        <f>[1]!orders[[#This Row],[Ship Date]]-[1]!orders[[#This Row],[Order Date]]</f>
        <v>1</v>
      </c>
      <c r="N864" s="1">
        <f>WEEKNUM([1]!orders[[#This Row],[Order Date]])</f>
        <v>6</v>
      </c>
      <c r="O864" t="str" cm="1">
        <f t="array" ref="O864">_xlfn.IFS([1]!orders[[#This Row],[Customer Gender]]="M","Male", [1]!orders[[#This Row],[Customer Gender]]="F","Female", [1]!orders[[#This Row],[Customer Gender]]="O","Other", TRUE,"Unknown")</f>
        <v>Male</v>
      </c>
    </row>
    <row r="865" spans="1:15" x14ac:dyDescent="0.25">
      <c r="A865" t="s">
        <v>944</v>
      </c>
      <c r="B865" t="s">
        <v>27</v>
      </c>
      <c r="C865">
        <v>3</v>
      </c>
      <c r="D865">
        <v>84.8</v>
      </c>
      <c r="E865">
        <v>254.39999999999998</v>
      </c>
      <c r="F865" s="3">
        <v>45693</v>
      </c>
      <c r="G865" s="3">
        <v>45695</v>
      </c>
      <c r="H865" t="s">
        <v>12</v>
      </c>
      <c r="I865" t="s">
        <v>25</v>
      </c>
      <c r="J865">
        <v>4</v>
      </c>
      <c r="K865" t="s">
        <v>4</v>
      </c>
      <c r="L865" t="s">
        <v>47</v>
      </c>
      <c r="M865">
        <f>[1]!orders[[#This Row],[Ship Date]]-[1]!orders[[#This Row],[Order Date]]</f>
        <v>2</v>
      </c>
      <c r="N865">
        <f>WEEKNUM([1]!orders[[#This Row],[Order Date]])</f>
        <v>6</v>
      </c>
      <c r="O865" t="str" cm="1">
        <f t="array" ref="O865">_xlfn.IFS([1]!orders[[#This Row],[Customer Gender]]="M","Male", [1]!orders[[#This Row],[Customer Gender]]="F","Female", [1]!orders[[#This Row],[Customer Gender]]="O","Other", TRUE,"Unknown")</f>
        <v>Female</v>
      </c>
    </row>
    <row r="866" spans="1:15" x14ac:dyDescent="0.25">
      <c r="A866" s="1" t="s">
        <v>945</v>
      </c>
      <c r="B866" s="1" t="s">
        <v>11</v>
      </c>
      <c r="C866" s="1">
        <v>4</v>
      </c>
      <c r="D866" s="1">
        <v>63.9</v>
      </c>
      <c r="E866" s="1">
        <v>255.6</v>
      </c>
      <c r="F866" s="2">
        <v>45693</v>
      </c>
      <c r="G866" s="2">
        <v>45696</v>
      </c>
      <c r="H866" s="1" t="s">
        <v>12</v>
      </c>
      <c r="I866" s="1" t="s">
        <v>3</v>
      </c>
      <c r="J866" s="1">
        <v>4</v>
      </c>
      <c r="K866" s="1" t="s">
        <v>4</v>
      </c>
      <c r="L866" s="1" t="s">
        <v>47</v>
      </c>
      <c r="M866" s="1">
        <f>[1]!orders[[#This Row],[Ship Date]]-[1]!orders[[#This Row],[Order Date]]</f>
        <v>3</v>
      </c>
      <c r="N866" s="1">
        <f>WEEKNUM([1]!orders[[#This Row],[Order Date]])</f>
        <v>6</v>
      </c>
      <c r="O866" t="str" cm="1">
        <f t="array" ref="O866">_xlfn.IFS([1]!orders[[#This Row],[Customer Gender]]="M","Male", [1]!orders[[#This Row],[Customer Gender]]="F","Female", [1]!orders[[#This Row],[Customer Gender]]="O","Other", TRUE,"Unknown")</f>
        <v>Female</v>
      </c>
    </row>
    <row r="867" spans="1:15" x14ac:dyDescent="0.25">
      <c r="A867" t="s">
        <v>946</v>
      </c>
      <c r="B867" t="s">
        <v>11</v>
      </c>
      <c r="C867">
        <v>3</v>
      </c>
      <c r="D867">
        <v>65.5</v>
      </c>
      <c r="E867">
        <v>196.5</v>
      </c>
      <c r="F867" s="3">
        <v>45693</v>
      </c>
      <c r="G867" s="3">
        <v>45693</v>
      </c>
      <c r="H867" t="s">
        <v>12</v>
      </c>
      <c r="I867" t="s">
        <v>20</v>
      </c>
      <c r="J867">
        <v>3</v>
      </c>
      <c r="K867" t="s">
        <v>4</v>
      </c>
      <c r="L867" t="s">
        <v>47</v>
      </c>
      <c r="M867">
        <f>[1]!orders[[#This Row],[Ship Date]]-[1]!orders[[#This Row],[Order Date]]</f>
        <v>0</v>
      </c>
      <c r="N867">
        <f>WEEKNUM([1]!orders[[#This Row],[Order Date]])</f>
        <v>6</v>
      </c>
      <c r="O867" t="str" cm="1">
        <f t="array" ref="O867">_xlfn.IFS([1]!orders[[#This Row],[Customer Gender]]="M","Male", [1]!orders[[#This Row],[Customer Gender]]="F","Female", [1]!orders[[#This Row],[Customer Gender]]="O","Other", TRUE,"Unknown")</f>
        <v>Female</v>
      </c>
    </row>
    <row r="868" spans="1:15" x14ac:dyDescent="0.25">
      <c r="A868" s="1" t="s">
        <v>947</v>
      </c>
      <c r="B868" s="1" t="s">
        <v>54</v>
      </c>
      <c r="C868" s="1">
        <v>2</v>
      </c>
      <c r="D868" s="1">
        <v>116.2</v>
      </c>
      <c r="E868" s="1">
        <v>232.4</v>
      </c>
      <c r="F868" s="2">
        <v>45693</v>
      </c>
      <c r="G868" s="2">
        <v>45699</v>
      </c>
      <c r="H868" s="1" t="s">
        <v>8</v>
      </c>
      <c r="I868" s="1" t="s">
        <v>36</v>
      </c>
      <c r="J868" s="1">
        <v>4</v>
      </c>
      <c r="K868" s="1" t="s">
        <v>4</v>
      </c>
      <c r="L868" s="1" t="s">
        <v>88</v>
      </c>
      <c r="M868" s="1">
        <f>[1]!orders[[#This Row],[Ship Date]]-[1]!orders[[#This Row],[Order Date]]</f>
        <v>6</v>
      </c>
      <c r="N868" s="1">
        <f>WEEKNUM([1]!orders[[#This Row],[Order Date]])</f>
        <v>6</v>
      </c>
      <c r="O868" t="str" cm="1">
        <f t="array" ref="O868">_xlfn.IFS([1]!orders[[#This Row],[Customer Gender]]="M","Male", [1]!orders[[#This Row],[Customer Gender]]="F","Female", [1]!orders[[#This Row],[Customer Gender]]="O","Other", TRUE,"Unknown")</f>
        <v>Male</v>
      </c>
    </row>
    <row r="869" spans="1:15" x14ac:dyDescent="0.25">
      <c r="A869" t="s">
        <v>948</v>
      </c>
      <c r="B869" t="s">
        <v>39</v>
      </c>
      <c r="C869">
        <v>4</v>
      </c>
      <c r="D869">
        <v>22.9</v>
      </c>
      <c r="E869">
        <v>91.6</v>
      </c>
      <c r="F869" s="3">
        <v>45693</v>
      </c>
      <c r="G869" s="3">
        <v>45695</v>
      </c>
      <c r="H869" t="s">
        <v>12</v>
      </c>
      <c r="I869" t="s">
        <v>25</v>
      </c>
      <c r="J869">
        <v>3</v>
      </c>
      <c r="K869" t="s">
        <v>4</v>
      </c>
      <c r="L869" t="s">
        <v>362</v>
      </c>
      <c r="M869">
        <f>[1]!orders[[#This Row],[Ship Date]]-[1]!orders[[#This Row],[Order Date]]</f>
        <v>2</v>
      </c>
      <c r="N869">
        <f>WEEKNUM([1]!orders[[#This Row],[Order Date]])</f>
        <v>6</v>
      </c>
      <c r="O869" t="str" cm="1">
        <f t="array" ref="O869">_xlfn.IFS([1]!orders[[#This Row],[Customer Gender]]="M","Male", [1]!orders[[#This Row],[Customer Gender]]="F","Female", [1]!orders[[#This Row],[Customer Gender]]="O","Other", TRUE,"Unknown")</f>
        <v>Female</v>
      </c>
    </row>
    <row r="870" spans="1:15" x14ac:dyDescent="0.25">
      <c r="A870" s="1" t="s">
        <v>949</v>
      </c>
      <c r="B870" s="1" t="s">
        <v>39</v>
      </c>
      <c r="C870" s="1">
        <v>3</v>
      </c>
      <c r="D870" s="1">
        <v>53.7</v>
      </c>
      <c r="E870" s="1">
        <v>161.10000000000002</v>
      </c>
      <c r="F870" s="2">
        <v>45693</v>
      </c>
      <c r="G870" s="2">
        <v>45694</v>
      </c>
      <c r="H870" s="1" t="s">
        <v>8</v>
      </c>
      <c r="I870" s="1" t="s">
        <v>3</v>
      </c>
      <c r="J870" s="1">
        <v>2</v>
      </c>
      <c r="K870" s="1" t="s">
        <v>4</v>
      </c>
      <c r="L870" s="1" t="s">
        <v>93</v>
      </c>
      <c r="M870" s="1">
        <f>[1]!orders[[#This Row],[Ship Date]]-[1]!orders[[#This Row],[Order Date]]</f>
        <v>1</v>
      </c>
      <c r="N870" s="1">
        <f>WEEKNUM([1]!orders[[#This Row],[Order Date]])</f>
        <v>6</v>
      </c>
      <c r="O870" t="str" cm="1">
        <f t="array" ref="O870">_xlfn.IFS([1]!orders[[#This Row],[Customer Gender]]="M","Male", [1]!orders[[#This Row],[Customer Gender]]="F","Female", [1]!orders[[#This Row],[Customer Gender]]="O","Other", TRUE,"Unknown")</f>
        <v>Male</v>
      </c>
    </row>
    <row r="871" spans="1:15" x14ac:dyDescent="0.25">
      <c r="A871" t="s">
        <v>950</v>
      </c>
      <c r="B871" t="s">
        <v>24</v>
      </c>
      <c r="C871">
        <v>5</v>
      </c>
      <c r="D871">
        <v>43.2</v>
      </c>
      <c r="E871">
        <v>216</v>
      </c>
      <c r="F871" s="3">
        <v>45693</v>
      </c>
      <c r="G871" s="3">
        <v>45695</v>
      </c>
      <c r="H871" t="s">
        <v>12</v>
      </c>
      <c r="I871" t="s">
        <v>3</v>
      </c>
      <c r="J871">
        <v>4</v>
      </c>
      <c r="K871" t="s">
        <v>4</v>
      </c>
      <c r="L871" t="s">
        <v>95</v>
      </c>
      <c r="M871">
        <f>[1]!orders[[#This Row],[Ship Date]]-[1]!orders[[#This Row],[Order Date]]</f>
        <v>2</v>
      </c>
      <c r="N871">
        <f>WEEKNUM([1]!orders[[#This Row],[Order Date]])</f>
        <v>6</v>
      </c>
      <c r="O871" t="str" cm="1">
        <f t="array" ref="O871">_xlfn.IFS([1]!orders[[#This Row],[Customer Gender]]="M","Male", [1]!orders[[#This Row],[Customer Gender]]="F","Female", [1]!orders[[#This Row],[Customer Gender]]="O","Other", TRUE,"Unknown")</f>
        <v>Female</v>
      </c>
    </row>
    <row r="872" spans="1:15" x14ac:dyDescent="0.25">
      <c r="A872" s="1" t="s">
        <v>951</v>
      </c>
      <c r="B872" s="1" t="s">
        <v>7</v>
      </c>
      <c r="C872" s="1">
        <v>3</v>
      </c>
      <c r="D872" s="1">
        <v>84.5</v>
      </c>
      <c r="E872" s="1">
        <v>253.5</v>
      </c>
      <c r="F872" s="2">
        <v>45693</v>
      </c>
      <c r="G872" s="2">
        <v>45695</v>
      </c>
      <c r="H872" s="1" t="s">
        <v>8</v>
      </c>
      <c r="I872" s="1" t="s">
        <v>25</v>
      </c>
      <c r="J872" s="1">
        <v>5</v>
      </c>
      <c r="K872" s="1" t="s">
        <v>4</v>
      </c>
      <c r="L872" s="1" t="s">
        <v>952</v>
      </c>
      <c r="M872" s="1">
        <f>[1]!orders[[#This Row],[Ship Date]]-[1]!orders[[#This Row],[Order Date]]</f>
        <v>2</v>
      </c>
      <c r="N872" s="1">
        <f>WEEKNUM([1]!orders[[#This Row],[Order Date]])</f>
        <v>6</v>
      </c>
      <c r="O872" t="str" cm="1">
        <f t="array" ref="O872">_xlfn.IFS([1]!orders[[#This Row],[Customer Gender]]="M","Male", [1]!orders[[#This Row],[Customer Gender]]="F","Female", [1]!orders[[#This Row],[Customer Gender]]="O","Other", TRUE,"Unknown")</f>
        <v>Male</v>
      </c>
    </row>
    <row r="873" spans="1:15" x14ac:dyDescent="0.25">
      <c r="A873" t="s">
        <v>953</v>
      </c>
      <c r="B873" t="s">
        <v>15</v>
      </c>
      <c r="C873">
        <v>2</v>
      </c>
      <c r="D873">
        <v>42.2</v>
      </c>
      <c r="E873">
        <v>84.4</v>
      </c>
      <c r="F873" s="3">
        <v>45693</v>
      </c>
      <c r="G873" s="3">
        <v>45694</v>
      </c>
      <c r="H873" t="s">
        <v>12</v>
      </c>
      <c r="I873" t="s">
        <v>20</v>
      </c>
      <c r="J873">
        <v>5</v>
      </c>
      <c r="K873" t="s">
        <v>4</v>
      </c>
      <c r="L873" t="s">
        <v>9</v>
      </c>
      <c r="M873">
        <f>[1]!orders[[#This Row],[Ship Date]]-[1]!orders[[#This Row],[Order Date]]</f>
        <v>1</v>
      </c>
      <c r="N873">
        <f>WEEKNUM([1]!orders[[#This Row],[Order Date]])</f>
        <v>6</v>
      </c>
      <c r="O873" t="str" cm="1">
        <f t="array" ref="O873">_xlfn.IFS([1]!orders[[#This Row],[Customer Gender]]="M","Male", [1]!orders[[#This Row],[Customer Gender]]="F","Female", [1]!orders[[#This Row],[Customer Gender]]="O","Other", TRUE,"Unknown")</f>
        <v>Female</v>
      </c>
    </row>
    <row r="874" spans="1:15" x14ac:dyDescent="0.25">
      <c r="A874" s="1" t="s">
        <v>954</v>
      </c>
      <c r="B874" s="1" t="s">
        <v>11</v>
      </c>
      <c r="C874" s="1">
        <v>6</v>
      </c>
      <c r="D874" s="1">
        <v>94.7</v>
      </c>
      <c r="E874" s="1">
        <v>568.20000000000005</v>
      </c>
      <c r="F874" s="2">
        <v>45693</v>
      </c>
      <c r="G874" s="2">
        <v>45696</v>
      </c>
      <c r="H874" s="1" t="s">
        <v>12</v>
      </c>
      <c r="I874" s="1" t="s">
        <v>20</v>
      </c>
      <c r="J874" s="1">
        <v>5</v>
      </c>
      <c r="K874" s="1" t="s">
        <v>4</v>
      </c>
      <c r="L874" s="1" t="s">
        <v>13</v>
      </c>
      <c r="M874" s="1">
        <f>[1]!orders[[#This Row],[Ship Date]]-[1]!orders[[#This Row],[Order Date]]</f>
        <v>3</v>
      </c>
      <c r="N874" s="1">
        <f>WEEKNUM([1]!orders[[#This Row],[Order Date]])</f>
        <v>6</v>
      </c>
      <c r="O874" t="str" cm="1">
        <f t="array" ref="O874">_xlfn.IFS([1]!orders[[#This Row],[Customer Gender]]="M","Male", [1]!orders[[#This Row],[Customer Gender]]="F","Female", [1]!orders[[#This Row],[Customer Gender]]="O","Other", TRUE,"Unknown")</f>
        <v>Female</v>
      </c>
    </row>
    <row r="875" spans="1:15" x14ac:dyDescent="0.25">
      <c r="A875" t="s">
        <v>955</v>
      </c>
      <c r="B875" t="s">
        <v>29</v>
      </c>
      <c r="C875">
        <v>18</v>
      </c>
      <c r="D875">
        <v>16.7</v>
      </c>
      <c r="E875">
        <v>300.59999999999997</v>
      </c>
      <c r="F875" s="3">
        <v>45693</v>
      </c>
      <c r="G875" s="3">
        <v>45705</v>
      </c>
      <c r="H875" t="s">
        <v>12</v>
      </c>
      <c r="I875" t="s">
        <v>3</v>
      </c>
      <c r="J875">
        <v>5</v>
      </c>
      <c r="K875" t="s">
        <v>4</v>
      </c>
      <c r="L875" t="s">
        <v>13</v>
      </c>
      <c r="M875">
        <f>[1]!orders[[#This Row],[Ship Date]]-[1]!orders[[#This Row],[Order Date]]</f>
        <v>12</v>
      </c>
      <c r="N875">
        <f>WEEKNUM([1]!orders[[#This Row],[Order Date]])</f>
        <v>6</v>
      </c>
      <c r="O875" t="str" cm="1">
        <f t="array" ref="O875">_xlfn.IFS([1]!orders[[#This Row],[Customer Gender]]="M","Male", [1]!orders[[#This Row],[Customer Gender]]="F","Female", [1]!orders[[#This Row],[Customer Gender]]="O","Other", TRUE,"Unknown")</f>
        <v>Female</v>
      </c>
    </row>
    <row r="876" spans="1:15" x14ac:dyDescent="0.25">
      <c r="A876" s="1" t="s">
        <v>956</v>
      </c>
      <c r="B876" s="1" t="s">
        <v>11</v>
      </c>
      <c r="C876" s="1">
        <v>2</v>
      </c>
      <c r="D876" s="1">
        <v>83.6</v>
      </c>
      <c r="E876" s="1">
        <v>167.2</v>
      </c>
      <c r="F876" s="2">
        <v>45693</v>
      </c>
      <c r="G876" s="2">
        <v>45699</v>
      </c>
      <c r="H876" s="1" t="s">
        <v>12</v>
      </c>
      <c r="I876" s="1" t="s">
        <v>20</v>
      </c>
      <c r="J876" s="1">
        <v>4</v>
      </c>
      <c r="K876" s="1" t="s">
        <v>4</v>
      </c>
      <c r="L876" s="1" t="s">
        <v>18</v>
      </c>
      <c r="M876" s="1">
        <f>[1]!orders[[#This Row],[Ship Date]]-[1]!orders[[#This Row],[Order Date]]</f>
        <v>6</v>
      </c>
      <c r="N876" s="1">
        <f>WEEKNUM([1]!orders[[#This Row],[Order Date]])</f>
        <v>6</v>
      </c>
      <c r="O876" t="str" cm="1">
        <f t="array" ref="O876">_xlfn.IFS([1]!orders[[#This Row],[Customer Gender]]="M","Male", [1]!orders[[#This Row],[Customer Gender]]="F","Female", [1]!orders[[#This Row],[Customer Gender]]="O","Other", TRUE,"Unknown")</f>
        <v>Female</v>
      </c>
    </row>
    <row r="877" spans="1:15" x14ac:dyDescent="0.25">
      <c r="A877" t="s">
        <v>957</v>
      </c>
      <c r="B877" t="s">
        <v>27</v>
      </c>
      <c r="C877">
        <v>6</v>
      </c>
      <c r="D877">
        <v>33.6</v>
      </c>
      <c r="E877">
        <v>201.60000000000002</v>
      </c>
      <c r="F877" s="3">
        <v>45694</v>
      </c>
      <c r="G877" s="3">
        <v>45695</v>
      </c>
      <c r="H877" t="s">
        <v>12</v>
      </c>
      <c r="I877" t="s">
        <v>36</v>
      </c>
      <c r="J877">
        <v>4</v>
      </c>
      <c r="K877" t="s">
        <v>4</v>
      </c>
      <c r="L877" t="s">
        <v>18</v>
      </c>
      <c r="M877">
        <f>[1]!orders[[#This Row],[Ship Date]]-[1]!orders[[#This Row],[Order Date]]</f>
        <v>1</v>
      </c>
      <c r="N877">
        <f>WEEKNUM([1]!orders[[#This Row],[Order Date]])</f>
        <v>6</v>
      </c>
      <c r="O877" t="str" cm="1">
        <f t="array" ref="O877">_xlfn.IFS([1]!orders[[#This Row],[Customer Gender]]="M","Male", [1]!orders[[#This Row],[Customer Gender]]="F","Female", [1]!orders[[#This Row],[Customer Gender]]="O","Other", TRUE,"Unknown")</f>
        <v>Female</v>
      </c>
    </row>
    <row r="878" spans="1:15" x14ac:dyDescent="0.25">
      <c r="A878" s="1" t="s">
        <v>958</v>
      </c>
      <c r="B878" s="1" t="s">
        <v>27</v>
      </c>
      <c r="C878" s="1">
        <v>2</v>
      </c>
      <c r="D878" s="1">
        <v>64.7</v>
      </c>
      <c r="E878" s="1">
        <v>129.4</v>
      </c>
      <c r="F878" s="2">
        <v>45694</v>
      </c>
      <c r="G878" s="2">
        <v>45696</v>
      </c>
      <c r="H878" s="1" t="s">
        <v>8</v>
      </c>
      <c r="I878" s="1" t="s">
        <v>20</v>
      </c>
      <c r="J878" s="1">
        <v>5</v>
      </c>
      <c r="K878" s="1" t="s">
        <v>4</v>
      </c>
      <c r="L878" s="1" t="s">
        <v>18</v>
      </c>
      <c r="M878" s="1">
        <f>[1]!orders[[#This Row],[Ship Date]]-[1]!orders[[#This Row],[Order Date]]</f>
        <v>2</v>
      </c>
      <c r="N878" s="1">
        <f>WEEKNUM([1]!orders[[#This Row],[Order Date]])</f>
        <v>6</v>
      </c>
      <c r="O878" t="str" cm="1">
        <f t="array" ref="O878">_xlfn.IFS([1]!orders[[#This Row],[Customer Gender]]="M","Male", [1]!orders[[#This Row],[Customer Gender]]="F","Female", [1]!orders[[#This Row],[Customer Gender]]="O","Other", TRUE,"Unknown")</f>
        <v>Male</v>
      </c>
    </row>
    <row r="879" spans="1:15" x14ac:dyDescent="0.25">
      <c r="A879" t="s">
        <v>959</v>
      </c>
      <c r="B879" t="s">
        <v>1</v>
      </c>
      <c r="C879">
        <v>3</v>
      </c>
      <c r="D879">
        <v>15.7</v>
      </c>
      <c r="E879">
        <v>47.099999999999994</v>
      </c>
      <c r="F879" s="3">
        <v>45694</v>
      </c>
      <c r="G879" s="3">
        <v>45700</v>
      </c>
      <c r="H879" t="s">
        <v>12</v>
      </c>
      <c r="I879" t="s">
        <v>3</v>
      </c>
      <c r="J879">
        <v>4</v>
      </c>
      <c r="K879" t="s">
        <v>4</v>
      </c>
      <c r="L879" t="s">
        <v>18</v>
      </c>
      <c r="M879">
        <f>[1]!orders[[#This Row],[Ship Date]]-[1]!orders[[#This Row],[Order Date]]</f>
        <v>6</v>
      </c>
      <c r="N879">
        <f>WEEKNUM([1]!orders[[#This Row],[Order Date]])</f>
        <v>6</v>
      </c>
      <c r="O879" t="str" cm="1">
        <f t="array" ref="O879">_xlfn.IFS([1]!orders[[#This Row],[Customer Gender]]="M","Male", [1]!orders[[#This Row],[Customer Gender]]="F","Female", [1]!orders[[#This Row],[Customer Gender]]="O","Other", TRUE,"Unknown")</f>
        <v>Female</v>
      </c>
    </row>
    <row r="880" spans="1:15" x14ac:dyDescent="0.25">
      <c r="A880" s="1" t="s">
        <v>960</v>
      </c>
      <c r="B880" s="1" t="s">
        <v>108</v>
      </c>
      <c r="C880" s="1">
        <v>6</v>
      </c>
      <c r="D880" s="1">
        <v>49.4</v>
      </c>
      <c r="E880" s="1">
        <v>296.39999999999998</v>
      </c>
      <c r="F880" s="2">
        <v>45694</v>
      </c>
      <c r="G880" s="2">
        <v>45694</v>
      </c>
      <c r="H880" s="1" t="s">
        <v>8</v>
      </c>
      <c r="I880" s="1" t="s">
        <v>20</v>
      </c>
      <c r="J880" s="1">
        <v>4</v>
      </c>
      <c r="K880" s="1" t="s">
        <v>4</v>
      </c>
      <c r="L880" s="1" t="s">
        <v>18</v>
      </c>
      <c r="M880" s="1">
        <f>[1]!orders[[#This Row],[Ship Date]]-[1]!orders[[#This Row],[Order Date]]</f>
        <v>0</v>
      </c>
      <c r="N880" s="1">
        <f>WEEKNUM([1]!orders[[#This Row],[Order Date]])</f>
        <v>6</v>
      </c>
      <c r="O880" t="str" cm="1">
        <f t="array" ref="O880">_xlfn.IFS([1]!orders[[#This Row],[Customer Gender]]="M","Male", [1]!orders[[#This Row],[Customer Gender]]="F","Female", [1]!orders[[#This Row],[Customer Gender]]="O","Other", TRUE,"Unknown")</f>
        <v>Male</v>
      </c>
    </row>
    <row r="881" spans="1:15" x14ac:dyDescent="0.25">
      <c r="A881" t="s">
        <v>961</v>
      </c>
      <c r="B881" t="s">
        <v>39</v>
      </c>
      <c r="C881">
        <v>6</v>
      </c>
      <c r="D881">
        <v>37</v>
      </c>
      <c r="E881">
        <v>222</v>
      </c>
      <c r="F881" s="3">
        <v>45694</v>
      </c>
      <c r="G881" s="3">
        <v>45697</v>
      </c>
      <c r="H881" t="s">
        <v>12</v>
      </c>
      <c r="I881" t="s">
        <v>20</v>
      </c>
      <c r="J881">
        <v>5</v>
      </c>
      <c r="K881" t="s">
        <v>4</v>
      </c>
      <c r="L881" t="s">
        <v>18</v>
      </c>
      <c r="M881">
        <f>[1]!orders[[#This Row],[Ship Date]]-[1]!orders[[#This Row],[Order Date]]</f>
        <v>3</v>
      </c>
      <c r="N881">
        <f>WEEKNUM([1]!orders[[#This Row],[Order Date]])</f>
        <v>6</v>
      </c>
      <c r="O881" t="str" cm="1">
        <f t="array" ref="O881">_xlfn.IFS([1]!orders[[#This Row],[Customer Gender]]="M","Male", [1]!orders[[#This Row],[Customer Gender]]="F","Female", [1]!orders[[#This Row],[Customer Gender]]="O","Other", TRUE,"Unknown")</f>
        <v>Female</v>
      </c>
    </row>
    <row r="882" spans="1:15" x14ac:dyDescent="0.25">
      <c r="A882" s="1" t="s">
        <v>962</v>
      </c>
      <c r="B882" s="1" t="s">
        <v>11</v>
      </c>
      <c r="C882" s="1">
        <v>2</v>
      </c>
      <c r="D882" s="1">
        <v>83.7</v>
      </c>
      <c r="E882" s="1">
        <v>167.4</v>
      </c>
      <c r="F882" s="2">
        <v>45694</v>
      </c>
      <c r="G882" s="2">
        <v>45696</v>
      </c>
      <c r="H882" s="1" t="s">
        <v>12</v>
      </c>
      <c r="I882" s="1" t="s">
        <v>36</v>
      </c>
      <c r="J882" s="1">
        <v>5</v>
      </c>
      <c r="K882" s="1" t="s">
        <v>4</v>
      </c>
      <c r="L882" s="1" t="s">
        <v>18</v>
      </c>
      <c r="M882" s="1">
        <f>[1]!orders[[#This Row],[Ship Date]]-[1]!orders[[#This Row],[Order Date]]</f>
        <v>2</v>
      </c>
      <c r="N882" s="1">
        <f>WEEKNUM([1]!orders[[#This Row],[Order Date]])</f>
        <v>6</v>
      </c>
      <c r="O882" t="str" cm="1">
        <f t="array" ref="O882">_xlfn.IFS([1]!orders[[#This Row],[Customer Gender]]="M","Male", [1]!orders[[#This Row],[Customer Gender]]="F","Female", [1]!orders[[#This Row],[Customer Gender]]="O","Other", TRUE,"Unknown")</f>
        <v>Female</v>
      </c>
    </row>
    <row r="883" spans="1:15" x14ac:dyDescent="0.25">
      <c r="A883" t="s">
        <v>963</v>
      </c>
      <c r="B883" t="s">
        <v>7</v>
      </c>
      <c r="C883">
        <v>5</v>
      </c>
      <c r="D883">
        <v>35.1</v>
      </c>
      <c r="E883">
        <v>175.5</v>
      </c>
      <c r="F883" s="3">
        <v>45694</v>
      </c>
      <c r="G883" s="3">
        <v>45695</v>
      </c>
      <c r="H883" t="s">
        <v>12</v>
      </c>
      <c r="I883" t="s">
        <v>3</v>
      </c>
      <c r="J883">
        <v>4</v>
      </c>
      <c r="K883" t="s">
        <v>4</v>
      </c>
      <c r="L883" t="s">
        <v>18</v>
      </c>
      <c r="M883">
        <f>[1]!orders[[#This Row],[Ship Date]]-[1]!orders[[#This Row],[Order Date]]</f>
        <v>1</v>
      </c>
      <c r="N883">
        <f>WEEKNUM([1]!orders[[#This Row],[Order Date]])</f>
        <v>6</v>
      </c>
      <c r="O883" t="str" cm="1">
        <f t="array" ref="O883">_xlfn.IFS([1]!orders[[#This Row],[Customer Gender]]="M","Male", [1]!orders[[#This Row],[Customer Gender]]="F","Female", [1]!orders[[#This Row],[Customer Gender]]="O","Other", TRUE,"Unknown")</f>
        <v>Female</v>
      </c>
    </row>
    <row r="884" spans="1:15" x14ac:dyDescent="0.25">
      <c r="A884" s="1" t="s">
        <v>964</v>
      </c>
      <c r="B884" s="1" t="s">
        <v>113</v>
      </c>
      <c r="C884" s="1">
        <v>8</v>
      </c>
      <c r="D884" s="1">
        <v>74</v>
      </c>
      <c r="E884" s="1">
        <v>592</v>
      </c>
      <c r="F884" s="2">
        <v>45694</v>
      </c>
      <c r="G884" s="2">
        <v>45695</v>
      </c>
      <c r="H884" s="1" t="s">
        <v>12</v>
      </c>
      <c r="I884" s="1" t="s">
        <v>55</v>
      </c>
      <c r="J884" s="1">
        <v>4</v>
      </c>
      <c r="K884" s="1" t="s">
        <v>4</v>
      </c>
      <c r="L884" s="1" t="s">
        <v>349</v>
      </c>
      <c r="M884" s="1">
        <f>[1]!orders[[#This Row],[Ship Date]]-[1]!orders[[#This Row],[Order Date]]</f>
        <v>1</v>
      </c>
      <c r="N884" s="1">
        <f>WEEKNUM([1]!orders[[#This Row],[Order Date]])</f>
        <v>6</v>
      </c>
      <c r="O884" t="str" cm="1">
        <f t="array" ref="O884">_xlfn.IFS([1]!orders[[#This Row],[Customer Gender]]="M","Male", [1]!orders[[#This Row],[Customer Gender]]="F","Female", [1]!orders[[#This Row],[Customer Gender]]="O","Other", TRUE,"Unknown")</f>
        <v>Female</v>
      </c>
    </row>
    <row r="885" spans="1:15" x14ac:dyDescent="0.25">
      <c r="A885" t="s">
        <v>965</v>
      </c>
      <c r="B885" t="s">
        <v>24</v>
      </c>
      <c r="C885">
        <v>24</v>
      </c>
      <c r="D885">
        <v>55.5</v>
      </c>
      <c r="E885">
        <v>1332</v>
      </c>
      <c r="F885" s="3">
        <v>45694</v>
      </c>
      <c r="G885" s="3">
        <v>45697</v>
      </c>
      <c r="H885" t="s">
        <v>8</v>
      </c>
      <c r="I885" t="s">
        <v>36</v>
      </c>
      <c r="J885">
        <v>4</v>
      </c>
      <c r="K885" t="s">
        <v>4</v>
      </c>
      <c r="L885" t="s">
        <v>787</v>
      </c>
      <c r="M885">
        <f>[1]!orders[[#This Row],[Ship Date]]-[1]!orders[[#This Row],[Order Date]]</f>
        <v>3</v>
      </c>
      <c r="N885">
        <f>WEEKNUM([1]!orders[[#This Row],[Order Date]])</f>
        <v>6</v>
      </c>
      <c r="O885" t="str" cm="1">
        <f t="array" ref="O885">_xlfn.IFS([1]!orders[[#This Row],[Customer Gender]]="M","Male", [1]!orders[[#This Row],[Customer Gender]]="F","Female", [1]!orders[[#This Row],[Customer Gender]]="O","Other", TRUE,"Unknown")</f>
        <v>Male</v>
      </c>
    </row>
    <row r="886" spans="1:15" x14ac:dyDescent="0.25">
      <c r="A886" s="1" t="s">
        <v>966</v>
      </c>
      <c r="B886" s="1" t="s">
        <v>52</v>
      </c>
      <c r="C886" s="1">
        <v>2</v>
      </c>
      <c r="D886" s="1">
        <v>38.9</v>
      </c>
      <c r="E886" s="1">
        <v>77.8</v>
      </c>
      <c r="F886" s="2">
        <v>45694</v>
      </c>
      <c r="G886" s="2">
        <v>45696</v>
      </c>
      <c r="H886" s="1" t="s">
        <v>12</v>
      </c>
      <c r="I886" s="1" t="s">
        <v>20</v>
      </c>
      <c r="J886" s="1">
        <v>5</v>
      </c>
      <c r="K886" s="1" t="s">
        <v>4</v>
      </c>
      <c r="L886" s="1" t="s">
        <v>173</v>
      </c>
      <c r="M886" s="1">
        <f>[1]!orders[[#This Row],[Ship Date]]-[1]!orders[[#This Row],[Order Date]]</f>
        <v>2</v>
      </c>
      <c r="N886" s="1">
        <f>WEEKNUM([1]!orders[[#This Row],[Order Date]])</f>
        <v>6</v>
      </c>
      <c r="O886" t="str" cm="1">
        <f t="array" ref="O886">_xlfn.IFS([1]!orders[[#This Row],[Customer Gender]]="M","Male", [1]!orders[[#This Row],[Customer Gender]]="F","Female", [1]!orders[[#This Row],[Customer Gender]]="O","Other", TRUE,"Unknown")</f>
        <v>Female</v>
      </c>
    </row>
    <row r="887" spans="1:15" x14ac:dyDescent="0.25">
      <c r="A887" t="s">
        <v>967</v>
      </c>
      <c r="B887" t="s">
        <v>113</v>
      </c>
      <c r="C887">
        <v>2</v>
      </c>
      <c r="D887">
        <v>64.599999999999994</v>
      </c>
      <c r="E887">
        <v>129.19999999999999</v>
      </c>
      <c r="F887" s="3">
        <v>45694</v>
      </c>
      <c r="G887" s="3">
        <v>45701</v>
      </c>
      <c r="H887" t="s">
        <v>8</v>
      </c>
      <c r="I887" t="s">
        <v>25</v>
      </c>
      <c r="J887">
        <v>3</v>
      </c>
      <c r="K887" t="s">
        <v>4</v>
      </c>
      <c r="L887" t="s">
        <v>173</v>
      </c>
      <c r="M887">
        <f>[1]!orders[[#This Row],[Ship Date]]-[1]!orders[[#This Row],[Order Date]]</f>
        <v>7</v>
      </c>
      <c r="N887">
        <f>WEEKNUM([1]!orders[[#This Row],[Order Date]])</f>
        <v>6</v>
      </c>
      <c r="O887" t="str" cm="1">
        <f t="array" ref="O887">_xlfn.IFS([1]!orders[[#This Row],[Customer Gender]]="M","Male", [1]!orders[[#This Row],[Customer Gender]]="F","Female", [1]!orders[[#This Row],[Customer Gender]]="O","Other", TRUE,"Unknown")</f>
        <v>Male</v>
      </c>
    </row>
    <row r="888" spans="1:15" x14ac:dyDescent="0.25">
      <c r="A888" s="1" t="s">
        <v>968</v>
      </c>
      <c r="B888" s="1" t="s">
        <v>11</v>
      </c>
      <c r="C888" s="1">
        <v>3</v>
      </c>
      <c r="D888" s="1">
        <v>95.3</v>
      </c>
      <c r="E888" s="1">
        <v>285.89999999999998</v>
      </c>
      <c r="F888" s="2">
        <v>45694</v>
      </c>
      <c r="G888" s="2">
        <v>45695</v>
      </c>
      <c r="H888" s="1" t="s">
        <v>8</v>
      </c>
      <c r="I888" s="1" t="s">
        <v>3</v>
      </c>
      <c r="J888" s="1">
        <v>4</v>
      </c>
      <c r="K888" s="1" t="s">
        <v>4</v>
      </c>
      <c r="L888" s="1" t="s">
        <v>37</v>
      </c>
      <c r="M888" s="1">
        <f>[1]!orders[[#This Row],[Ship Date]]-[1]!orders[[#This Row],[Order Date]]</f>
        <v>1</v>
      </c>
      <c r="N888" s="1">
        <f>WEEKNUM([1]!orders[[#This Row],[Order Date]])</f>
        <v>6</v>
      </c>
      <c r="O888" t="str" cm="1">
        <f t="array" ref="O888">_xlfn.IFS([1]!orders[[#This Row],[Customer Gender]]="M","Male", [1]!orders[[#This Row],[Customer Gender]]="F","Female", [1]!orders[[#This Row],[Customer Gender]]="O","Other", TRUE,"Unknown")</f>
        <v>Male</v>
      </c>
    </row>
    <row r="889" spans="1:15" x14ac:dyDescent="0.25">
      <c r="A889" t="s">
        <v>969</v>
      </c>
      <c r="B889" t="s">
        <v>61</v>
      </c>
      <c r="C889">
        <v>3</v>
      </c>
      <c r="D889">
        <v>25.8</v>
      </c>
      <c r="E889">
        <v>77.400000000000006</v>
      </c>
      <c r="F889" s="3">
        <v>45694</v>
      </c>
      <c r="G889" s="3">
        <v>45695</v>
      </c>
      <c r="H889" t="s">
        <v>12</v>
      </c>
      <c r="I889" t="s">
        <v>20</v>
      </c>
      <c r="J889">
        <v>3</v>
      </c>
      <c r="K889" t="s">
        <v>4</v>
      </c>
      <c r="L889" t="s">
        <v>40</v>
      </c>
      <c r="M889">
        <f>[1]!orders[[#This Row],[Ship Date]]-[1]!orders[[#This Row],[Order Date]]</f>
        <v>1</v>
      </c>
      <c r="N889">
        <f>WEEKNUM([1]!orders[[#This Row],[Order Date]])</f>
        <v>6</v>
      </c>
      <c r="O889" t="str" cm="1">
        <f t="array" ref="O889">_xlfn.IFS([1]!orders[[#This Row],[Customer Gender]]="M","Male", [1]!orders[[#This Row],[Customer Gender]]="F","Female", [1]!orders[[#This Row],[Customer Gender]]="O","Other", TRUE,"Unknown")</f>
        <v>Female</v>
      </c>
    </row>
    <row r="890" spans="1:15" x14ac:dyDescent="0.25">
      <c r="A890" s="1" t="s">
        <v>970</v>
      </c>
      <c r="B890" s="1" t="s">
        <v>1</v>
      </c>
      <c r="C890" s="1">
        <v>2</v>
      </c>
      <c r="D890" s="1">
        <v>11.6</v>
      </c>
      <c r="E890" s="1">
        <v>23.2</v>
      </c>
      <c r="F890" s="2">
        <v>45694</v>
      </c>
      <c r="G890" s="2">
        <v>45698</v>
      </c>
      <c r="H890" s="1" t="s">
        <v>12</v>
      </c>
      <c r="I890" s="1" t="s">
        <v>20</v>
      </c>
      <c r="J890" s="1">
        <v>3</v>
      </c>
      <c r="K890" s="1" t="s">
        <v>4</v>
      </c>
      <c r="L890" s="1" t="s">
        <v>40</v>
      </c>
      <c r="M890" s="1">
        <f>[1]!orders[[#This Row],[Ship Date]]-[1]!orders[[#This Row],[Order Date]]</f>
        <v>4</v>
      </c>
      <c r="N890" s="1">
        <f>WEEKNUM([1]!orders[[#This Row],[Order Date]])</f>
        <v>6</v>
      </c>
      <c r="O890" t="str" cm="1">
        <f t="array" ref="O890">_xlfn.IFS([1]!orders[[#This Row],[Customer Gender]]="M","Male", [1]!orders[[#This Row],[Customer Gender]]="F","Female", [1]!orders[[#This Row],[Customer Gender]]="O","Other", TRUE,"Unknown")</f>
        <v>Female</v>
      </c>
    </row>
    <row r="891" spans="1:15" x14ac:dyDescent="0.25">
      <c r="A891" t="s">
        <v>971</v>
      </c>
      <c r="B891" t="s">
        <v>27</v>
      </c>
      <c r="C891">
        <v>1</v>
      </c>
      <c r="D891">
        <v>52.3</v>
      </c>
      <c r="E891">
        <v>52.3</v>
      </c>
      <c r="F891" s="3">
        <v>45694</v>
      </c>
      <c r="G891" s="3">
        <v>45695</v>
      </c>
      <c r="H891" t="s">
        <v>12</v>
      </c>
      <c r="I891" t="s">
        <v>20</v>
      </c>
      <c r="J891">
        <v>4</v>
      </c>
      <c r="K891" t="s">
        <v>4</v>
      </c>
      <c r="L891" t="s">
        <v>47</v>
      </c>
      <c r="M891">
        <f>[1]!orders[[#This Row],[Ship Date]]-[1]!orders[[#This Row],[Order Date]]</f>
        <v>1</v>
      </c>
      <c r="N891">
        <f>WEEKNUM([1]!orders[[#This Row],[Order Date]])</f>
        <v>6</v>
      </c>
      <c r="O891" t="str" cm="1">
        <f t="array" ref="O891">_xlfn.IFS([1]!orders[[#This Row],[Customer Gender]]="M","Male", [1]!orders[[#This Row],[Customer Gender]]="F","Female", [1]!orders[[#This Row],[Customer Gender]]="O","Other", TRUE,"Unknown")</f>
        <v>Female</v>
      </c>
    </row>
    <row r="892" spans="1:15" x14ac:dyDescent="0.25">
      <c r="A892" s="1" t="s">
        <v>972</v>
      </c>
      <c r="B892" s="1" t="s">
        <v>11</v>
      </c>
      <c r="C892" s="1">
        <v>10</v>
      </c>
      <c r="D892" s="1">
        <v>112.2</v>
      </c>
      <c r="E892" s="1">
        <v>1122</v>
      </c>
      <c r="F892" s="2">
        <v>45694</v>
      </c>
      <c r="G892" s="2">
        <v>45695</v>
      </c>
      <c r="H892" s="1" t="s">
        <v>12</v>
      </c>
      <c r="I892" s="1" t="s">
        <v>20</v>
      </c>
      <c r="J892" s="1">
        <v>3</v>
      </c>
      <c r="K892" s="1" t="s">
        <v>4</v>
      </c>
      <c r="L892" s="1" t="s">
        <v>47</v>
      </c>
      <c r="M892" s="1">
        <f>[1]!orders[[#This Row],[Ship Date]]-[1]!orders[[#This Row],[Order Date]]</f>
        <v>1</v>
      </c>
      <c r="N892" s="1">
        <f>WEEKNUM([1]!orders[[#This Row],[Order Date]])</f>
        <v>6</v>
      </c>
      <c r="O892" t="str" cm="1">
        <f t="array" ref="O892">_xlfn.IFS([1]!orders[[#This Row],[Customer Gender]]="M","Male", [1]!orders[[#This Row],[Customer Gender]]="F","Female", [1]!orders[[#This Row],[Customer Gender]]="O","Other", TRUE,"Unknown")</f>
        <v>Female</v>
      </c>
    </row>
    <row r="893" spans="1:15" x14ac:dyDescent="0.25">
      <c r="A893" t="s">
        <v>973</v>
      </c>
      <c r="B893" t="s">
        <v>17</v>
      </c>
      <c r="C893">
        <v>5</v>
      </c>
      <c r="D893">
        <v>34.6</v>
      </c>
      <c r="E893">
        <v>173</v>
      </c>
      <c r="F893" s="3">
        <v>45694</v>
      </c>
      <c r="G893" s="3">
        <v>45696</v>
      </c>
      <c r="H893" t="s">
        <v>8</v>
      </c>
      <c r="I893" t="s">
        <v>25</v>
      </c>
      <c r="J893">
        <v>4</v>
      </c>
      <c r="K893" t="s">
        <v>4</v>
      </c>
      <c r="L893" t="s">
        <v>47</v>
      </c>
      <c r="M893">
        <f>[1]!orders[[#This Row],[Ship Date]]-[1]!orders[[#This Row],[Order Date]]</f>
        <v>2</v>
      </c>
      <c r="N893">
        <f>WEEKNUM([1]!orders[[#This Row],[Order Date]])</f>
        <v>6</v>
      </c>
      <c r="O893" t="str" cm="1">
        <f t="array" ref="O893">_xlfn.IFS([1]!orders[[#This Row],[Customer Gender]]="M","Male", [1]!orders[[#This Row],[Customer Gender]]="F","Female", [1]!orders[[#This Row],[Customer Gender]]="O","Other", TRUE,"Unknown")</f>
        <v>Male</v>
      </c>
    </row>
    <row r="894" spans="1:15" x14ac:dyDescent="0.25">
      <c r="A894" s="1" t="s">
        <v>974</v>
      </c>
      <c r="B894" s="1" t="s">
        <v>66</v>
      </c>
      <c r="C894" s="1">
        <v>4</v>
      </c>
      <c r="D894" s="1">
        <v>20.100000000000001</v>
      </c>
      <c r="E894" s="1">
        <v>80.400000000000006</v>
      </c>
      <c r="F894" s="2">
        <v>45694</v>
      </c>
      <c r="G894" s="2">
        <v>45700</v>
      </c>
      <c r="H894" s="1" t="s">
        <v>8</v>
      </c>
      <c r="I894" s="1" t="s">
        <v>20</v>
      </c>
      <c r="J894" s="1">
        <v>5</v>
      </c>
      <c r="K894" s="1" t="s">
        <v>4</v>
      </c>
      <c r="L894" s="1" t="s">
        <v>47</v>
      </c>
      <c r="M894" s="1">
        <f>[1]!orders[[#This Row],[Ship Date]]-[1]!orders[[#This Row],[Order Date]]</f>
        <v>6</v>
      </c>
      <c r="N894" s="1">
        <f>WEEKNUM([1]!orders[[#This Row],[Order Date]])</f>
        <v>6</v>
      </c>
      <c r="O894" t="str" cm="1">
        <f t="array" ref="O894">_xlfn.IFS([1]!orders[[#This Row],[Customer Gender]]="M","Male", [1]!orders[[#This Row],[Customer Gender]]="F","Female", [1]!orders[[#This Row],[Customer Gender]]="O","Other", TRUE,"Unknown")</f>
        <v>Male</v>
      </c>
    </row>
    <row r="895" spans="1:15" x14ac:dyDescent="0.25">
      <c r="A895" t="s">
        <v>975</v>
      </c>
      <c r="B895" t="s">
        <v>11</v>
      </c>
      <c r="C895">
        <v>4</v>
      </c>
      <c r="D895">
        <v>56.4</v>
      </c>
      <c r="E895">
        <v>225.6</v>
      </c>
      <c r="F895" s="3">
        <v>45694</v>
      </c>
      <c r="G895" s="3">
        <v>45696</v>
      </c>
      <c r="H895" t="s">
        <v>12</v>
      </c>
      <c r="I895" t="s">
        <v>25</v>
      </c>
      <c r="J895">
        <v>4</v>
      </c>
      <c r="K895" t="s">
        <v>4</v>
      </c>
      <c r="L895" t="s">
        <v>59</v>
      </c>
      <c r="M895">
        <f>[1]!orders[[#This Row],[Ship Date]]-[1]!orders[[#This Row],[Order Date]]</f>
        <v>2</v>
      </c>
      <c r="N895">
        <f>WEEKNUM([1]!orders[[#This Row],[Order Date]])</f>
        <v>6</v>
      </c>
      <c r="O895" t="str" cm="1">
        <f t="array" ref="O895">_xlfn.IFS([1]!orders[[#This Row],[Customer Gender]]="M","Male", [1]!orders[[#This Row],[Customer Gender]]="F","Female", [1]!orders[[#This Row],[Customer Gender]]="O","Other", TRUE,"Unknown")</f>
        <v>Female</v>
      </c>
    </row>
    <row r="896" spans="1:15" x14ac:dyDescent="0.25">
      <c r="A896" s="1" t="s">
        <v>976</v>
      </c>
      <c r="B896" s="1" t="s">
        <v>61</v>
      </c>
      <c r="C896" s="1">
        <v>9</v>
      </c>
      <c r="D896" s="1">
        <v>55.3</v>
      </c>
      <c r="E896" s="1">
        <v>497.7</v>
      </c>
      <c r="F896" s="2">
        <v>45694</v>
      </c>
      <c r="G896" s="2">
        <v>45696</v>
      </c>
      <c r="H896" s="1" t="s">
        <v>12</v>
      </c>
      <c r="I896" s="1" t="s">
        <v>20</v>
      </c>
      <c r="J896" s="1">
        <v>2</v>
      </c>
      <c r="K896" s="1" t="s">
        <v>4</v>
      </c>
      <c r="L896" s="1" t="s">
        <v>62</v>
      </c>
      <c r="M896" s="1">
        <f>[1]!orders[[#This Row],[Ship Date]]-[1]!orders[[#This Row],[Order Date]]</f>
        <v>2</v>
      </c>
      <c r="N896" s="1">
        <f>WEEKNUM([1]!orders[[#This Row],[Order Date]])</f>
        <v>6</v>
      </c>
      <c r="O896" t="str" cm="1">
        <f t="array" ref="O896">_xlfn.IFS([1]!orders[[#This Row],[Customer Gender]]="M","Male", [1]!orders[[#This Row],[Customer Gender]]="F","Female", [1]!orders[[#This Row],[Customer Gender]]="O","Other", TRUE,"Unknown")</f>
        <v>Female</v>
      </c>
    </row>
    <row r="897" spans="1:15" x14ac:dyDescent="0.25">
      <c r="A897" t="s">
        <v>977</v>
      </c>
      <c r="B897" t="s">
        <v>11</v>
      </c>
      <c r="C897">
        <v>28</v>
      </c>
      <c r="D897">
        <v>75.5</v>
      </c>
      <c r="E897">
        <v>2114</v>
      </c>
      <c r="F897" s="3">
        <v>45694</v>
      </c>
      <c r="G897" s="3">
        <v>45695</v>
      </c>
      <c r="H897" t="s">
        <v>12</v>
      </c>
      <c r="I897" t="s">
        <v>3</v>
      </c>
      <c r="J897">
        <v>4</v>
      </c>
      <c r="K897" t="s">
        <v>4</v>
      </c>
      <c r="L897" t="s">
        <v>62</v>
      </c>
      <c r="M897">
        <f>[1]!orders[[#This Row],[Ship Date]]-[1]!orders[[#This Row],[Order Date]]</f>
        <v>1</v>
      </c>
      <c r="N897">
        <f>WEEKNUM([1]!orders[[#This Row],[Order Date]])</f>
        <v>6</v>
      </c>
      <c r="O897" t="str" cm="1">
        <f t="array" ref="O897">_xlfn.IFS([1]!orders[[#This Row],[Customer Gender]]="M","Male", [1]!orders[[#This Row],[Customer Gender]]="F","Female", [1]!orders[[#This Row],[Customer Gender]]="O","Other", TRUE,"Unknown")</f>
        <v>Female</v>
      </c>
    </row>
    <row r="898" spans="1:15" x14ac:dyDescent="0.25">
      <c r="A898" s="1" t="s">
        <v>978</v>
      </c>
      <c r="B898" s="1" t="s">
        <v>29</v>
      </c>
      <c r="C898" s="1">
        <v>1</v>
      </c>
      <c r="D898" s="1">
        <v>23.6</v>
      </c>
      <c r="E898" s="1">
        <v>23.6</v>
      </c>
      <c r="F898" s="2">
        <v>45694</v>
      </c>
      <c r="G898" s="2">
        <v>45699</v>
      </c>
      <c r="H898" s="1" t="s">
        <v>12</v>
      </c>
      <c r="I898" s="1" t="s">
        <v>3</v>
      </c>
      <c r="J898" s="1">
        <v>4</v>
      </c>
      <c r="K898" s="1" t="s">
        <v>4</v>
      </c>
      <c r="L898" s="1" t="s">
        <v>95</v>
      </c>
      <c r="M898" s="1">
        <f>[1]!orders[[#This Row],[Ship Date]]-[1]!orders[[#This Row],[Order Date]]</f>
        <v>5</v>
      </c>
      <c r="N898" s="1">
        <f>WEEKNUM([1]!orders[[#This Row],[Order Date]])</f>
        <v>6</v>
      </c>
      <c r="O898" t="str" cm="1">
        <f t="array" ref="O898">_xlfn.IFS([1]!orders[[#This Row],[Customer Gender]]="M","Male", [1]!orders[[#This Row],[Customer Gender]]="F","Female", [1]!orders[[#This Row],[Customer Gender]]="O","Other", TRUE,"Unknown")</f>
        <v>Female</v>
      </c>
    </row>
    <row r="899" spans="1:15" x14ac:dyDescent="0.25">
      <c r="A899" t="s">
        <v>979</v>
      </c>
      <c r="B899" t="s">
        <v>31</v>
      </c>
      <c r="C899">
        <v>2</v>
      </c>
      <c r="D899">
        <v>70.7</v>
      </c>
      <c r="E899">
        <v>141.4</v>
      </c>
      <c r="F899" s="3">
        <v>45694</v>
      </c>
      <c r="G899" s="3">
        <v>45696</v>
      </c>
      <c r="H899" t="s">
        <v>12</v>
      </c>
      <c r="I899" t="s">
        <v>25</v>
      </c>
      <c r="J899">
        <v>4</v>
      </c>
      <c r="K899" t="s">
        <v>4</v>
      </c>
      <c r="L899" t="s">
        <v>95</v>
      </c>
      <c r="M899">
        <f>[1]!orders[[#This Row],[Ship Date]]-[1]!orders[[#This Row],[Order Date]]</f>
        <v>2</v>
      </c>
      <c r="N899">
        <f>WEEKNUM([1]!orders[[#This Row],[Order Date]])</f>
        <v>6</v>
      </c>
      <c r="O899" t="str" cm="1">
        <f t="array" ref="O899">_xlfn.IFS([1]!orders[[#This Row],[Customer Gender]]="M","Male", [1]!orders[[#This Row],[Customer Gender]]="F","Female", [1]!orders[[#This Row],[Customer Gender]]="O","Other", TRUE,"Unknown")</f>
        <v>Female</v>
      </c>
    </row>
    <row r="900" spans="1:15" x14ac:dyDescent="0.25">
      <c r="A900" s="1" t="s">
        <v>980</v>
      </c>
      <c r="B900" s="1" t="s">
        <v>54</v>
      </c>
      <c r="C900" s="1">
        <v>2</v>
      </c>
      <c r="D900" s="1">
        <v>43.2</v>
      </c>
      <c r="E900" s="1">
        <v>86.4</v>
      </c>
      <c r="F900" s="2">
        <v>45694</v>
      </c>
      <c r="G900" s="2">
        <v>45695</v>
      </c>
      <c r="H900" s="1" t="s">
        <v>12</v>
      </c>
      <c r="I900" s="1" t="s">
        <v>25</v>
      </c>
      <c r="J900" s="1">
        <v>4</v>
      </c>
      <c r="K900" s="1" t="s">
        <v>4</v>
      </c>
      <c r="L900" s="1" t="s">
        <v>277</v>
      </c>
      <c r="M900" s="1">
        <f>[1]!orders[[#This Row],[Ship Date]]-[1]!orders[[#This Row],[Order Date]]</f>
        <v>1</v>
      </c>
      <c r="N900" s="1">
        <f>WEEKNUM([1]!orders[[#This Row],[Order Date]])</f>
        <v>6</v>
      </c>
      <c r="O900" t="str" cm="1">
        <f t="array" ref="O900">_xlfn.IFS([1]!orders[[#This Row],[Customer Gender]]="M","Male", [1]!orders[[#This Row],[Customer Gender]]="F","Female", [1]!orders[[#This Row],[Customer Gender]]="O","Other", TRUE,"Unknown")</f>
        <v>Female</v>
      </c>
    </row>
    <row r="901" spans="1:15" x14ac:dyDescent="0.25">
      <c r="A901" t="s">
        <v>981</v>
      </c>
      <c r="B901" t="s">
        <v>31</v>
      </c>
      <c r="C901">
        <v>9</v>
      </c>
      <c r="D901">
        <v>70</v>
      </c>
      <c r="E901">
        <v>630</v>
      </c>
      <c r="F901" s="3">
        <v>45694</v>
      </c>
      <c r="G901" s="3">
        <v>45695</v>
      </c>
      <c r="H901" t="s">
        <v>2</v>
      </c>
      <c r="I901" t="s">
        <v>20</v>
      </c>
      <c r="J901">
        <v>4</v>
      </c>
      <c r="K901" t="s">
        <v>4</v>
      </c>
      <c r="L901" t="s">
        <v>982</v>
      </c>
      <c r="M901">
        <f>[1]!orders[[#This Row],[Ship Date]]-[1]!orders[[#This Row],[Order Date]]</f>
        <v>1</v>
      </c>
      <c r="N901">
        <f>WEEKNUM([1]!orders[[#This Row],[Order Date]])</f>
        <v>6</v>
      </c>
      <c r="O901" t="str" cm="1">
        <f t="array" ref="O901">_xlfn.IFS([1]!orders[[#This Row],[Customer Gender]]="M","Male", [1]!orders[[#This Row],[Customer Gender]]="F","Female", [1]!orders[[#This Row],[Customer Gender]]="O","Other", TRUE,"Unknown")</f>
        <v>Unknown</v>
      </c>
    </row>
    <row r="902" spans="1:15" x14ac:dyDescent="0.25">
      <c r="A902" s="1" t="s">
        <v>983</v>
      </c>
      <c r="B902" s="1" t="s">
        <v>1</v>
      </c>
      <c r="C902" s="1">
        <v>2</v>
      </c>
      <c r="D902" s="1">
        <v>20.5</v>
      </c>
      <c r="E902" s="1">
        <v>41</v>
      </c>
      <c r="F902" s="2">
        <v>45694</v>
      </c>
      <c r="G902" s="2">
        <v>45696</v>
      </c>
      <c r="H902" s="1" t="s">
        <v>12</v>
      </c>
      <c r="I902" s="1" t="s">
        <v>25</v>
      </c>
      <c r="J902" s="1">
        <v>2</v>
      </c>
      <c r="K902" s="1" t="s">
        <v>4</v>
      </c>
      <c r="L902" s="1" t="s">
        <v>67</v>
      </c>
      <c r="M902" s="1">
        <f>[1]!orders[[#This Row],[Ship Date]]-[1]!orders[[#This Row],[Order Date]]</f>
        <v>2</v>
      </c>
      <c r="N902" s="1">
        <f>WEEKNUM([1]!orders[[#This Row],[Order Date]])</f>
        <v>6</v>
      </c>
      <c r="O902" t="str" cm="1">
        <f t="array" ref="O902">_xlfn.IFS([1]!orders[[#This Row],[Customer Gender]]="M","Male", [1]!orders[[#This Row],[Customer Gender]]="F","Female", [1]!orders[[#This Row],[Customer Gender]]="O","Other", TRUE,"Unknown")</f>
        <v>Female</v>
      </c>
    </row>
    <row r="903" spans="1:15" x14ac:dyDescent="0.25">
      <c r="A903" t="s">
        <v>984</v>
      </c>
      <c r="B903" t="s">
        <v>1</v>
      </c>
      <c r="C903">
        <v>4</v>
      </c>
      <c r="D903">
        <v>29.1</v>
      </c>
      <c r="E903">
        <v>116.4</v>
      </c>
      <c r="F903" s="3">
        <v>45694</v>
      </c>
      <c r="G903" s="3">
        <v>45695</v>
      </c>
      <c r="H903" t="s">
        <v>12</v>
      </c>
      <c r="I903" t="s">
        <v>36</v>
      </c>
      <c r="J903">
        <v>4</v>
      </c>
      <c r="K903" t="s">
        <v>4</v>
      </c>
      <c r="L903" t="s">
        <v>228</v>
      </c>
      <c r="M903">
        <f>[1]!orders[[#This Row],[Ship Date]]-[1]!orders[[#This Row],[Order Date]]</f>
        <v>1</v>
      </c>
      <c r="N903">
        <f>WEEKNUM([1]!orders[[#This Row],[Order Date]])</f>
        <v>6</v>
      </c>
      <c r="O903" t="str" cm="1">
        <f t="array" ref="O903">_xlfn.IFS([1]!orders[[#This Row],[Customer Gender]]="M","Male", [1]!orders[[#This Row],[Customer Gender]]="F","Female", [1]!orders[[#This Row],[Customer Gender]]="O","Other", TRUE,"Unknown")</f>
        <v>Female</v>
      </c>
    </row>
    <row r="904" spans="1:15" x14ac:dyDescent="0.25">
      <c r="A904" s="1" t="s">
        <v>985</v>
      </c>
      <c r="B904" s="1" t="s">
        <v>24</v>
      </c>
      <c r="C904" s="1">
        <v>9</v>
      </c>
      <c r="D904" s="1">
        <v>53.6</v>
      </c>
      <c r="E904" s="1">
        <v>482.40000000000003</v>
      </c>
      <c r="F904" s="2">
        <v>45694</v>
      </c>
      <c r="G904" s="2">
        <v>45695</v>
      </c>
      <c r="H904" s="1" t="s">
        <v>8</v>
      </c>
      <c r="I904" s="1" t="s">
        <v>25</v>
      </c>
      <c r="J904" s="1">
        <v>3</v>
      </c>
      <c r="K904" s="1" t="s">
        <v>4</v>
      </c>
      <c r="L904" s="1" t="s">
        <v>18</v>
      </c>
      <c r="M904" s="1">
        <f>[1]!orders[[#This Row],[Ship Date]]-[1]!orders[[#This Row],[Order Date]]</f>
        <v>1</v>
      </c>
      <c r="N904" s="1">
        <f>WEEKNUM([1]!orders[[#This Row],[Order Date]])</f>
        <v>6</v>
      </c>
      <c r="O904" t="str" cm="1">
        <f t="array" ref="O904">_xlfn.IFS([1]!orders[[#This Row],[Customer Gender]]="M","Male", [1]!orders[[#This Row],[Customer Gender]]="F","Female", [1]!orders[[#This Row],[Customer Gender]]="O","Other", TRUE,"Unknown")</f>
        <v>Male</v>
      </c>
    </row>
    <row r="905" spans="1:15" x14ac:dyDescent="0.25">
      <c r="A905" t="s">
        <v>986</v>
      </c>
      <c r="B905" t="s">
        <v>24</v>
      </c>
      <c r="C905">
        <v>5</v>
      </c>
      <c r="D905">
        <v>72.3</v>
      </c>
      <c r="E905">
        <v>361.5</v>
      </c>
      <c r="F905" s="3">
        <v>45694</v>
      </c>
      <c r="G905" s="3">
        <v>45696</v>
      </c>
      <c r="H905" t="s">
        <v>12</v>
      </c>
      <c r="I905" t="s">
        <v>20</v>
      </c>
      <c r="J905">
        <v>4</v>
      </c>
      <c r="K905" t="s">
        <v>4</v>
      </c>
      <c r="L905" t="s">
        <v>18</v>
      </c>
      <c r="M905">
        <f>[1]!orders[[#This Row],[Ship Date]]-[1]!orders[[#This Row],[Order Date]]</f>
        <v>2</v>
      </c>
      <c r="N905">
        <f>WEEKNUM([1]!orders[[#This Row],[Order Date]])</f>
        <v>6</v>
      </c>
      <c r="O905" t="str" cm="1">
        <f t="array" ref="O905">_xlfn.IFS([1]!orders[[#This Row],[Customer Gender]]="M","Male", [1]!orders[[#This Row],[Customer Gender]]="F","Female", [1]!orders[[#This Row],[Customer Gender]]="O","Other", TRUE,"Unknown")</f>
        <v>Female</v>
      </c>
    </row>
    <row r="906" spans="1:15" x14ac:dyDescent="0.25">
      <c r="A906" s="1" t="s">
        <v>987</v>
      </c>
      <c r="B906" s="1" t="s">
        <v>61</v>
      </c>
      <c r="C906" s="1">
        <v>4</v>
      </c>
      <c r="D906" s="1">
        <v>22.6</v>
      </c>
      <c r="E906" s="1">
        <v>90.4</v>
      </c>
      <c r="F906" s="2">
        <v>45694</v>
      </c>
      <c r="G906" s="2">
        <v>45697</v>
      </c>
      <c r="H906" s="1" t="s">
        <v>74</v>
      </c>
      <c r="I906" s="1" t="s">
        <v>3</v>
      </c>
      <c r="J906" s="1">
        <v>3</v>
      </c>
      <c r="K906" s="1" t="s">
        <v>4</v>
      </c>
      <c r="L906" s="1" t="s">
        <v>18</v>
      </c>
      <c r="M906" s="1">
        <f>[1]!orders[[#This Row],[Ship Date]]-[1]!orders[[#This Row],[Order Date]]</f>
        <v>3</v>
      </c>
      <c r="N906" s="1">
        <f>WEEKNUM([1]!orders[[#This Row],[Order Date]])</f>
        <v>6</v>
      </c>
      <c r="O906" t="str" cm="1">
        <f t="array" ref="O906">_xlfn.IFS([1]!orders[[#This Row],[Customer Gender]]="M","Male", [1]!orders[[#This Row],[Customer Gender]]="F","Female", [1]!orders[[#This Row],[Customer Gender]]="O","Other", TRUE,"Unknown")</f>
        <v>Other</v>
      </c>
    </row>
    <row r="907" spans="1:15" x14ac:dyDescent="0.25">
      <c r="A907" t="s">
        <v>988</v>
      </c>
      <c r="B907" t="s">
        <v>31</v>
      </c>
      <c r="C907">
        <v>2</v>
      </c>
      <c r="D907">
        <v>44.2</v>
      </c>
      <c r="E907">
        <v>88.4</v>
      </c>
      <c r="F907" s="3">
        <v>45694</v>
      </c>
      <c r="G907" s="3">
        <v>45698</v>
      </c>
      <c r="H907" t="s">
        <v>2</v>
      </c>
      <c r="I907" t="s">
        <v>25</v>
      </c>
      <c r="J907">
        <v>2</v>
      </c>
      <c r="K907" t="s">
        <v>4</v>
      </c>
      <c r="L907" t="s">
        <v>18</v>
      </c>
      <c r="M907">
        <f>[1]!orders[[#This Row],[Ship Date]]-[1]!orders[[#This Row],[Order Date]]</f>
        <v>4</v>
      </c>
      <c r="N907">
        <f>WEEKNUM([1]!orders[[#This Row],[Order Date]])</f>
        <v>6</v>
      </c>
      <c r="O907" t="str" cm="1">
        <f t="array" ref="O907">_xlfn.IFS([1]!orders[[#This Row],[Customer Gender]]="M","Male", [1]!orders[[#This Row],[Customer Gender]]="F","Female", [1]!orders[[#This Row],[Customer Gender]]="O","Other", TRUE,"Unknown")</f>
        <v>Unknown</v>
      </c>
    </row>
    <row r="908" spans="1:15" x14ac:dyDescent="0.25">
      <c r="A908" s="1" t="s">
        <v>989</v>
      </c>
      <c r="B908" s="1" t="s">
        <v>31</v>
      </c>
      <c r="C908" s="1">
        <v>3</v>
      </c>
      <c r="D908" s="1">
        <v>94.1</v>
      </c>
      <c r="E908" s="1">
        <v>282.29999999999995</v>
      </c>
      <c r="F908" s="2">
        <v>45694</v>
      </c>
      <c r="G908" s="2">
        <v>45707</v>
      </c>
      <c r="H908" s="1" t="s">
        <v>12</v>
      </c>
      <c r="I908" s="1" t="s">
        <v>25</v>
      </c>
      <c r="J908" s="1">
        <v>5</v>
      </c>
      <c r="K908" s="1" t="s">
        <v>4</v>
      </c>
      <c r="L908" s="1" t="s">
        <v>18</v>
      </c>
      <c r="M908" s="1">
        <f>[1]!orders[[#This Row],[Ship Date]]-[1]!orders[[#This Row],[Order Date]]</f>
        <v>13</v>
      </c>
      <c r="N908" s="1">
        <f>WEEKNUM([1]!orders[[#This Row],[Order Date]])</f>
        <v>6</v>
      </c>
      <c r="O908" t="str" cm="1">
        <f t="array" ref="O908">_xlfn.IFS([1]!orders[[#This Row],[Customer Gender]]="M","Male", [1]!orders[[#This Row],[Customer Gender]]="F","Female", [1]!orders[[#This Row],[Customer Gender]]="O","Other", TRUE,"Unknown")</f>
        <v>Female</v>
      </c>
    </row>
    <row r="909" spans="1:15" x14ac:dyDescent="0.25">
      <c r="A909" t="s">
        <v>990</v>
      </c>
      <c r="B909" t="s">
        <v>29</v>
      </c>
      <c r="C909">
        <v>3</v>
      </c>
      <c r="D909">
        <v>17.899999999999999</v>
      </c>
      <c r="E909">
        <v>53.699999999999996</v>
      </c>
      <c r="F909" s="3">
        <v>45694</v>
      </c>
      <c r="G909" s="3">
        <v>45696</v>
      </c>
      <c r="H909" t="s">
        <v>8</v>
      </c>
      <c r="I909" t="s">
        <v>20</v>
      </c>
      <c r="J909">
        <v>3</v>
      </c>
      <c r="K909" t="s">
        <v>4</v>
      </c>
      <c r="L909" t="s">
        <v>18</v>
      </c>
      <c r="M909">
        <f>[1]!orders[[#This Row],[Ship Date]]-[1]!orders[[#This Row],[Order Date]]</f>
        <v>2</v>
      </c>
      <c r="N909">
        <f>WEEKNUM([1]!orders[[#This Row],[Order Date]])</f>
        <v>6</v>
      </c>
      <c r="O909" t="str" cm="1">
        <f t="array" ref="O909">_xlfn.IFS([1]!orders[[#This Row],[Customer Gender]]="M","Male", [1]!orders[[#This Row],[Customer Gender]]="F","Female", [1]!orders[[#This Row],[Customer Gender]]="O","Other", TRUE,"Unknown")</f>
        <v>Male</v>
      </c>
    </row>
    <row r="910" spans="1:15" x14ac:dyDescent="0.25">
      <c r="A910" s="1" t="s">
        <v>991</v>
      </c>
      <c r="B910" s="1" t="s">
        <v>54</v>
      </c>
      <c r="C910" s="1">
        <v>7</v>
      </c>
      <c r="D910" s="1">
        <v>52.7</v>
      </c>
      <c r="E910" s="1">
        <v>368.90000000000003</v>
      </c>
      <c r="F910" s="2">
        <v>45694</v>
      </c>
      <c r="G910" s="2">
        <v>45695</v>
      </c>
      <c r="H910" s="1" t="s">
        <v>8</v>
      </c>
      <c r="I910" s="1" t="s">
        <v>20</v>
      </c>
      <c r="J910" s="1">
        <v>3</v>
      </c>
      <c r="K910" s="1" t="s">
        <v>4</v>
      </c>
      <c r="L910" s="1" t="s">
        <v>18</v>
      </c>
      <c r="M910" s="1">
        <f>[1]!orders[[#This Row],[Ship Date]]-[1]!orders[[#This Row],[Order Date]]</f>
        <v>1</v>
      </c>
      <c r="N910" s="1">
        <f>WEEKNUM([1]!orders[[#This Row],[Order Date]])</f>
        <v>6</v>
      </c>
      <c r="O910" t="str" cm="1">
        <f t="array" ref="O910">_xlfn.IFS([1]!orders[[#This Row],[Customer Gender]]="M","Male", [1]!orders[[#This Row],[Customer Gender]]="F","Female", [1]!orders[[#This Row],[Customer Gender]]="O","Other", TRUE,"Unknown")</f>
        <v>Male</v>
      </c>
    </row>
    <row r="911" spans="1:15" x14ac:dyDescent="0.25">
      <c r="A911" t="s">
        <v>992</v>
      </c>
      <c r="B911" t="s">
        <v>29</v>
      </c>
      <c r="C911">
        <v>1</v>
      </c>
      <c r="D911">
        <v>36.799999999999997</v>
      </c>
      <c r="E911">
        <v>36.799999999999997</v>
      </c>
      <c r="F911" s="3">
        <v>45694</v>
      </c>
      <c r="G911" s="3">
        <v>45694</v>
      </c>
      <c r="H911" t="s">
        <v>2</v>
      </c>
      <c r="I911" t="s">
        <v>3</v>
      </c>
      <c r="J911">
        <v>5</v>
      </c>
      <c r="K911" t="s">
        <v>4</v>
      </c>
      <c r="L911" t="s">
        <v>18</v>
      </c>
      <c r="M911">
        <f>[1]!orders[[#This Row],[Ship Date]]-[1]!orders[[#This Row],[Order Date]]</f>
        <v>0</v>
      </c>
      <c r="N911">
        <f>WEEKNUM([1]!orders[[#This Row],[Order Date]])</f>
        <v>6</v>
      </c>
      <c r="O911" t="str" cm="1">
        <f t="array" ref="O911">_xlfn.IFS([1]!orders[[#This Row],[Customer Gender]]="M","Male", [1]!orders[[#This Row],[Customer Gender]]="F","Female", [1]!orders[[#This Row],[Customer Gender]]="O","Other", TRUE,"Unknown")</f>
        <v>Unknown</v>
      </c>
    </row>
    <row r="912" spans="1:15" x14ac:dyDescent="0.25">
      <c r="A912" s="1" t="s">
        <v>993</v>
      </c>
      <c r="B912" s="1" t="s">
        <v>17</v>
      </c>
      <c r="C912" s="1">
        <v>1</v>
      </c>
      <c r="D912" s="1">
        <v>52.5</v>
      </c>
      <c r="E912" s="1">
        <v>52.5</v>
      </c>
      <c r="F912" s="2">
        <v>45694</v>
      </c>
      <c r="G912" s="2">
        <v>45695</v>
      </c>
      <c r="H912" s="1" t="s">
        <v>8</v>
      </c>
      <c r="I912" s="1" t="s">
        <v>3</v>
      </c>
      <c r="J912" s="1">
        <v>3</v>
      </c>
      <c r="K912" s="1" t="s">
        <v>4</v>
      </c>
      <c r="L912" s="1" t="s">
        <v>40</v>
      </c>
      <c r="M912" s="1">
        <f>[1]!orders[[#This Row],[Ship Date]]-[1]!orders[[#This Row],[Order Date]]</f>
        <v>1</v>
      </c>
      <c r="N912" s="1">
        <f>WEEKNUM([1]!orders[[#This Row],[Order Date]])</f>
        <v>6</v>
      </c>
      <c r="O912" t="str" cm="1">
        <f t="array" ref="O912">_xlfn.IFS([1]!orders[[#This Row],[Customer Gender]]="M","Male", [1]!orders[[#This Row],[Customer Gender]]="F","Female", [1]!orders[[#This Row],[Customer Gender]]="O","Other", TRUE,"Unknown")</f>
        <v>Male</v>
      </c>
    </row>
    <row r="913" spans="1:15" x14ac:dyDescent="0.25">
      <c r="A913" t="s">
        <v>994</v>
      </c>
      <c r="B913" t="s">
        <v>11</v>
      </c>
      <c r="C913">
        <v>2</v>
      </c>
      <c r="D913">
        <v>133.80000000000001</v>
      </c>
      <c r="E913">
        <v>267.60000000000002</v>
      </c>
      <c r="F913" s="3">
        <v>45694</v>
      </c>
      <c r="G913" s="3">
        <v>45696</v>
      </c>
      <c r="H913" t="s">
        <v>8</v>
      </c>
      <c r="I913" t="s">
        <v>3</v>
      </c>
      <c r="J913">
        <v>3</v>
      </c>
      <c r="K913" t="s">
        <v>4</v>
      </c>
      <c r="L913" t="s">
        <v>44</v>
      </c>
      <c r="M913">
        <f>[1]!orders[[#This Row],[Ship Date]]-[1]!orders[[#This Row],[Order Date]]</f>
        <v>2</v>
      </c>
      <c r="N913">
        <f>WEEKNUM([1]!orders[[#This Row],[Order Date]])</f>
        <v>6</v>
      </c>
      <c r="O913" t="str" cm="1">
        <f t="array" ref="O913">_xlfn.IFS([1]!orders[[#This Row],[Customer Gender]]="M","Male", [1]!orders[[#This Row],[Customer Gender]]="F","Female", [1]!orders[[#This Row],[Customer Gender]]="O","Other", TRUE,"Unknown")</f>
        <v>Male</v>
      </c>
    </row>
    <row r="914" spans="1:15" x14ac:dyDescent="0.25">
      <c r="A914" s="1" t="s">
        <v>995</v>
      </c>
      <c r="B914" s="1" t="s">
        <v>24</v>
      </c>
      <c r="C914" s="1">
        <v>2</v>
      </c>
      <c r="D914" s="1">
        <v>53.2</v>
      </c>
      <c r="E914" s="1">
        <v>106.4</v>
      </c>
      <c r="F914" s="2">
        <v>45694</v>
      </c>
      <c r="G914" s="2">
        <v>45696</v>
      </c>
      <c r="H914" s="1" t="s">
        <v>8</v>
      </c>
      <c r="I914" s="1" t="s">
        <v>3</v>
      </c>
      <c r="J914" s="1">
        <v>4</v>
      </c>
      <c r="K914" s="1" t="s">
        <v>4</v>
      </c>
      <c r="L914" s="1" t="s">
        <v>88</v>
      </c>
      <c r="M914" s="1">
        <f>[1]!orders[[#This Row],[Ship Date]]-[1]!orders[[#This Row],[Order Date]]</f>
        <v>2</v>
      </c>
      <c r="N914" s="1">
        <f>WEEKNUM([1]!orders[[#This Row],[Order Date]])</f>
        <v>6</v>
      </c>
      <c r="O914" t="str" cm="1">
        <f t="array" ref="O914">_xlfn.IFS([1]!orders[[#This Row],[Customer Gender]]="M","Male", [1]!orders[[#This Row],[Customer Gender]]="F","Female", [1]!orders[[#This Row],[Customer Gender]]="O","Other", TRUE,"Unknown")</f>
        <v>Male</v>
      </c>
    </row>
    <row r="915" spans="1:15" x14ac:dyDescent="0.25">
      <c r="A915" t="s">
        <v>996</v>
      </c>
      <c r="B915" t="s">
        <v>66</v>
      </c>
      <c r="C915">
        <v>6</v>
      </c>
      <c r="D915">
        <v>18.7</v>
      </c>
      <c r="E915">
        <v>112.19999999999999</v>
      </c>
      <c r="F915" s="3">
        <v>45694</v>
      </c>
      <c r="G915" s="3">
        <v>45696</v>
      </c>
      <c r="H915" t="s">
        <v>2</v>
      </c>
      <c r="I915" t="s">
        <v>3</v>
      </c>
      <c r="J915">
        <v>3</v>
      </c>
      <c r="K915" t="s">
        <v>4</v>
      </c>
      <c r="L915" t="s">
        <v>59</v>
      </c>
      <c r="M915">
        <f>[1]!orders[[#This Row],[Ship Date]]-[1]!orders[[#This Row],[Order Date]]</f>
        <v>2</v>
      </c>
      <c r="N915">
        <f>WEEKNUM([1]!orders[[#This Row],[Order Date]])</f>
        <v>6</v>
      </c>
      <c r="O915" t="str" cm="1">
        <f t="array" ref="O915">_xlfn.IFS([1]!orders[[#This Row],[Customer Gender]]="M","Male", [1]!orders[[#This Row],[Customer Gender]]="F","Female", [1]!orders[[#This Row],[Customer Gender]]="O","Other", TRUE,"Unknown")</f>
        <v>Unknown</v>
      </c>
    </row>
    <row r="916" spans="1:15" x14ac:dyDescent="0.25">
      <c r="A916" s="1" t="s">
        <v>997</v>
      </c>
      <c r="B916" s="1" t="s">
        <v>24</v>
      </c>
      <c r="C916" s="1">
        <v>4</v>
      </c>
      <c r="D916" s="1">
        <v>108.8</v>
      </c>
      <c r="E916" s="1">
        <v>435.2</v>
      </c>
      <c r="F916" s="2">
        <v>45694</v>
      </c>
      <c r="G916" s="2">
        <v>45695</v>
      </c>
      <c r="H916" s="1" t="s">
        <v>12</v>
      </c>
      <c r="I916" s="1" t="s">
        <v>36</v>
      </c>
      <c r="J916" s="1">
        <v>5</v>
      </c>
      <c r="K916" s="1" t="s">
        <v>4</v>
      </c>
      <c r="L916" s="1" t="s">
        <v>62</v>
      </c>
      <c r="M916" s="1">
        <f>[1]!orders[[#This Row],[Ship Date]]-[1]!orders[[#This Row],[Order Date]]</f>
        <v>1</v>
      </c>
      <c r="N916" s="1">
        <f>WEEKNUM([1]!orders[[#This Row],[Order Date]])</f>
        <v>6</v>
      </c>
      <c r="O916" t="str" cm="1">
        <f t="array" ref="O916">_xlfn.IFS([1]!orders[[#This Row],[Customer Gender]]="M","Male", [1]!orders[[#This Row],[Customer Gender]]="F","Female", [1]!orders[[#This Row],[Customer Gender]]="O","Other", TRUE,"Unknown")</f>
        <v>Female</v>
      </c>
    </row>
    <row r="917" spans="1:15" x14ac:dyDescent="0.25">
      <c r="A917" t="s">
        <v>998</v>
      </c>
      <c r="B917" t="s">
        <v>108</v>
      </c>
      <c r="C917">
        <v>5</v>
      </c>
      <c r="D917">
        <v>38.5</v>
      </c>
      <c r="E917">
        <v>192.5</v>
      </c>
      <c r="F917" s="3">
        <v>45694</v>
      </c>
      <c r="G917" s="3">
        <v>45698</v>
      </c>
      <c r="H917" t="s">
        <v>12</v>
      </c>
      <c r="I917" t="s">
        <v>3</v>
      </c>
      <c r="J917">
        <v>3</v>
      </c>
      <c r="K917" t="s">
        <v>4</v>
      </c>
      <c r="L917" t="s">
        <v>69</v>
      </c>
      <c r="M917">
        <f>[1]!orders[[#This Row],[Ship Date]]-[1]!orders[[#This Row],[Order Date]]</f>
        <v>4</v>
      </c>
      <c r="N917">
        <f>WEEKNUM([1]!orders[[#This Row],[Order Date]])</f>
        <v>6</v>
      </c>
      <c r="O917" t="str" cm="1">
        <f t="array" ref="O917">_xlfn.IFS([1]!orders[[#This Row],[Customer Gender]]="M","Male", [1]!orders[[#This Row],[Customer Gender]]="F","Female", [1]!orders[[#This Row],[Customer Gender]]="O","Other", TRUE,"Unknown")</f>
        <v>Female</v>
      </c>
    </row>
    <row r="918" spans="1:15" x14ac:dyDescent="0.25">
      <c r="A918" s="1" t="s">
        <v>999</v>
      </c>
      <c r="B918" s="1" t="s">
        <v>39</v>
      </c>
      <c r="C918" s="1">
        <v>10</v>
      </c>
      <c r="D918" s="1">
        <v>46.5</v>
      </c>
      <c r="E918" s="1">
        <v>465</v>
      </c>
      <c r="F918" s="2">
        <v>45694</v>
      </c>
      <c r="G918" s="2">
        <v>45696</v>
      </c>
      <c r="H918" s="1" t="s">
        <v>8</v>
      </c>
      <c r="I918" s="1" t="s">
        <v>25</v>
      </c>
      <c r="J918" s="1">
        <v>3</v>
      </c>
      <c r="K918" s="1" t="s">
        <v>4</v>
      </c>
      <c r="L918" s="1" t="s">
        <v>13</v>
      </c>
      <c r="M918" s="1">
        <f>[1]!orders[[#This Row],[Ship Date]]-[1]!orders[[#This Row],[Order Date]]</f>
        <v>2</v>
      </c>
      <c r="N918" s="1">
        <f>WEEKNUM([1]!orders[[#This Row],[Order Date]])</f>
        <v>6</v>
      </c>
      <c r="O918" t="str" cm="1">
        <f t="array" ref="O918">_xlfn.IFS([1]!orders[[#This Row],[Customer Gender]]="M","Male", [1]!orders[[#This Row],[Customer Gender]]="F","Female", [1]!orders[[#This Row],[Customer Gender]]="O","Other", TRUE,"Unknown")</f>
        <v>Male</v>
      </c>
    </row>
    <row r="919" spans="1:15" x14ac:dyDescent="0.25">
      <c r="A919" t="s">
        <v>1000</v>
      </c>
      <c r="B919" t="s">
        <v>11</v>
      </c>
      <c r="C919">
        <v>3</v>
      </c>
      <c r="D919">
        <v>75.8</v>
      </c>
      <c r="E919">
        <v>227.39999999999998</v>
      </c>
      <c r="F919" s="3">
        <v>45694</v>
      </c>
      <c r="G919" s="3">
        <v>45698</v>
      </c>
      <c r="H919" t="s">
        <v>12</v>
      </c>
      <c r="I919" t="s">
        <v>20</v>
      </c>
      <c r="J919">
        <v>2</v>
      </c>
      <c r="K919" t="s">
        <v>4</v>
      </c>
      <c r="L919" t="s">
        <v>572</v>
      </c>
      <c r="M919">
        <f>[1]!orders[[#This Row],[Ship Date]]-[1]!orders[[#This Row],[Order Date]]</f>
        <v>4</v>
      </c>
      <c r="N919">
        <f>WEEKNUM([1]!orders[[#This Row],[Order Date]])</f>
        <v>6</v>
      </c>
      <c r="O919" t="str" cm="1">
        <f t="array" ref="O919">_xlfn.IFS([1]!orders[[#This Row],[Customer Gender]]="M","Male", [1]!orders[[#This Row],[Customer Gender]]="F","Female", [1]!orders[[#This Row],[Customer Gender]]="O","Other", TRUE,"Unknown")</f>
        <v>Female</v>
      </c>
    </row>
    <row r="920" spans="1:15" x14ac:dyDescent="0.25">
      <c r="A920" s="1" t="s">
        <v>1001</v>
      </c>
      <c r="B920" s="1" t="s">
        <v>29</v>
      </c>
      <c r="C920" s="1">
        <v>1</v>
      </c>
      <c r="D920" s="1">
        <v>20.9</v>
      </c>
      <c r="E920" s="1">
        <v>20.9</v>
      </c>
      <c r="F920" s="2">
        <v>45694</v>
      </c>
      <c r="G920" s="2">
        <v>45698</v>
      </c>
      <c r="H920" s="1" t="s">
        <v>8</v>
      </c>
      <c r="I920" s="1" t="s">
        <v>3</v>
      </c>
      <c r="J920" s="1">
        <v>4</v>
      </c>
      <c r="K920" s="1" t="s">
        <v>4</v>
      </c>
      <c r="L920" s="1" t="s">
        <v>132</v>
      </c>
      <c r="M920" s="1">
        <f>[1]!orders[[#This Row],[Ship Date]]-[1]!orders[[#This Row],[Order Date]]</f>
        <v>4</v>
      </c>
      <c r="N920" s="1">
        <f>WEEKNUM([1]!orders[[#This Row],[Order Date]])</f>
        <v>6</v>
      </c>
      <c r="O920" t="str" cm="1">
        <f t="array" ref="O920">_xlfn.IFS([1]!orders[[#This Row],[Customer Gender]]="M","Male", [1]!orders[[#This Row],[Customer Gender]]="F","Female", [1]!orders[[#This Row],[Customer Gender]]="O","Other", TRUE,"Unknown")</f>
        <v>Male</v>
      </c>
    </row>
    <row r="921" spans="1:15" x14ac:dyDescent="0.25">
      <c r="A921" t="s">
        <v>1002</v>
      </c>
      <c r="B921" t="s">
        <v>131</v>
      </c>
      <c r="C921">
        <v>3</v>
      </c>
      <c r="D921">
        <v>47.4</v>
      </c>
      <c r="E921">
        <v>142.19999999999999</v>
      </c>
      <c r="F921" s="3">
        <v>45694</v>
      </c>
      <c r="G921" s="3">
        <v>45697</v>
      </c>
      <c r="H921" t="s">
        <v>12</v>
      </c>
      <c r="I921" t="s">
        <v>3</v>
      </c>
      <c r="J921">
        <v>4</v>
      </c>
      <c r="K921" t="s">
        <v>4</v>
      </c>
      <c r="L921" t="s">
        <v>18</v>
      </c>
      <c r="M921">
        <f>[1]!orders[[#This Row],[Ship Date]]-[1]!orders[[#This Row],[Order Date]]</f>
        <v>3</v>
      </c>
      <c r="N921">
        <f>WEEKNUM([1]!orders[[#This Row],[Order Date]])</f>
        <v>6</v>
      </c>
      <c r="O921" t="str" cm="1">
        <f t="array" ref="O921">_xlfn.IFS([1]!orders[[#This Row],[Customer Gender]]="M","Male", [1]!orders[[#This Row],[Customer Gender]]="F","Female", [1]!orders[[#This Row],[Customer Gender]]="O","Other", TRUE,"Unknown")</f>
        <v>Female</v>
      </c>
    </row>
    <row r="922" spans="1:15" x14ac:dyDescent="0.25">
      <c r="A922" s="1" t="s">
        <v>1003</v>
      </c>
      <c r="B922" s="1" t="s">
        <v>31</v>
      </c>
      <c r="C922" s="1">
        <v>2</v>
      </c>
      <c r="D922" s="1">
        <v>53.8</v>
      </c>
      <c r="E922" s="1">
        <v>107.6</v>
      </c>
      <c r="F922" s="2">
        <v>45694</v>
      </c>
      <c r="G922" s="2">
        <v>45695</v>
      </c>
      <c r="H922" s="1" t="s">
        <v>2</v>
      </c>
      <c r="I922" s="1" t="s">
        <v>3</v>
      </c>
      <c r="J922" s="1">
        <v>3</v>
      </c>
      <c r="K922" s="1" t="s">
        <v>4</v>
      </c>
      <c r="L922" s="1" t="s">
        <v>18</v>
      </c>
      <c r="M922" s="1">
        <f>[1]!orders[[#This Row],[Ship Date]]-[1]!orders[[#This Row],[Order Date]]</f>
        <v>1</v>
      </c>
      <c r="N922" s="1">
        <f>WEEKNUM([1]!orders[[#This Row],[Order Date]])</f>
        <v>6</v>
      </c>
      <c r="O922" t="str" cm="1">
        <f t="array" ref="O922">_xlfn.IFS([1]!orders[[#This Row],[Customer Gender]]="M","Male", [1]!orders[[#This Row],[Customer Gender]]="F","Female", [1]!orders[[#This Row],[Customer Gender]]="O","Other", TRUE,"Unknown")</f>
        <v>Unknown</v>
      </c>
    </row>
    <row r="923" spans="1:15" x14ac:dyDescent="0.25">
      <c r="A923" t="s">
        <v>1004</v>
      </c>
      <c r="B923" t="s">
        <v>29</v>
      </c>
      <c r="C923">
        <v>3</v>
      </c>
      <c r="D923">
        <v>24.6</v>
      </c>
      <c r="E923">
        <v>73.800000000000011</v>
      </c>
      <c r="F923" s="3">
        <v>45694</v>
      </c>
      <c r="G923" s="3">
        <v>45696</v>
      </c>
      <c r="H923" t="s">
        <v>74</v>
      </c>
      <c r="I923" t="s">
        <v>20</v>
      </c>
      <c r="J923">
        <v>5</v>
      </c>
      <c r="K923" t="s">
        <v>4</v>
      </c>
      <c r="L923" t="s">
        <v>18</v>
      </c>
      <c r="M923">
        <f>[1]!orders[[#This Row],[Ship Date]]-[1]!orders[[#This Row],[Order Date]]</f>
        <v>2</v>
      </c>
      <c r="N923">
        <f>WEEKNUM([1]!orders[[#This Row],[Order Date]])</f>
        <v>6</v>
      </c>
      <c r="O923" t="str" cm="1">
        <f t="array" ref="O923">_xlfn.IFS([1]!orders[[#This Row],[Customer Gender]]="M","Male", [1]!orders[[#This Row],[Customer Gender]]="F","Female", [1]!orders[[#This Row],[Customer Gender]]="O","Other", TRUE,"Unknown")</f>
        <v>Other</v>
      </c>
    </row>
    <row r="924" spans="1:15" x14ac:dyDescent="0.25">
      <c r="A924" s="1" t="s">
        <v>1005</v>
      </c>
      <c r="B924" s="1" t="s">
        <v>31</v>
      </c>
      <c r="C924" s="1">
        <v>3</v>
      </c>
      <c r="D924" s="1">
        <v>70.900000000000006</v>
      </c>
      <c r="E924" s="1">
        <v>212.70000000000002</v>
      </c>
      <c r="F924" s="2">
        <v>45694</v>
      </c>
      <c r="G924" s="2">
        <v>45699</v>
      </c>
      <c r="H924" s="1" t="s">
        <v>12</v>
      </c>
      <c r="I924" s="1" t="s">
        <v>25</v>
      </c>
      <c r="J924" s="1">
        <v>5</v>
      </c>
      <c r="K924" s="1" t="s">
        <v>4</v>
      </c>
      <c r="L924" s="1" t="s">
        <v>18</v>
      </c>
      <c r="M924" s="1">
        <f>[1]!orders[[#This Row],[Ship Date]]-[1]!orders[[#This Row],[Order Date]]</f>
        <v>5</v>
      </c>
      <c r="N924" s="1">
        <f>WEEKNUM([1]!orders[[#This Row],[Order Date]])</f>
        <v>6</v>
      </c>
      <c r="O924" t="str" cm="1">
        <f t="array" ref="O924">_xlfn.IFS([1]!orders[[#This Row],[Customer Gender]]="M","Male", [1]!orders[[#This Row],[Customer Gender]]="F","Female", [1]!orders[[#This Row],[Customer Gender]]="O","Other", TRUE,"Unknown")</f>
        <v>Female</v>
      </c>
    </row>
    <row r="925" spans="1:15" x14ac:dyDescent="0.25">
      <c r="A925" t="s">
        <v>1006</v>
      </c>
      <c r="B925" t="s">
        <v>120</v>
      </c>
      <c r="C925">
        <v>3</v>
      </c>
      <c r="D925">
        <v>31.9</v>
      </c>
      <c r="E925">
        <v>95.699999999999989</v>
      </c>
      <c r="F925" s="3">
        <v>45694</v>
      </c>
      <c r="G925" s="3">
        <v>45696</v>
      </c>
      <c r="H925" t="s">
        <v>12</v>
      </c>
      <c r="I925" t="s">
        <v>25</v>
      </c>
      <c r="J925">
        <v>5</v>
      </c>
      <c r="K925" t="s">
        <v>4</v>
      </c>
      <c r="L925" t="s">
        <v>18</v>
      </c>
      <c r="M925">
        <f>[1]!orders[[#This Row],[Ship Date]]-[1]!orders[[#This Row],[Order Date]]</f>
        <v>2</v>
      </c>
      <c r="N925">
        <f>WEEKNUM([1]!orders[[#This Row],[Order Date]])</f>
        <v>6</v>
      </c>
      <c r="O925" t="str" cm="1">
        <f t="array" ref="O925">_xlfn.IFS([1]!orders[[#This Row],[Customer Gender]]="M","Male", [1]!orders[[#This Row],[Customer Gender]]="F","Female", [1]!orders[[#This Row],[Customer Gender]]="O","Other", TRUE,"Unknown")</f>
        <v>Female</v>
      </c>
    </row>
    <row r="926" spans="1:15" x14ac:dyDescent="0.25">
      <c r="A926" s="1" t="s">
        <v>1007</v>
      </c>
      <c r="B926" s="1" t="s">
        <v>1</v>
      </c>
      <c r="C926" s="1">
        <v>2</v>
      </c>
      <c r="D926" s="1">
        <v>20.399999999999999</v>
      </c>
      <c r="E926" s="1">
        <v>40.799999999999997</v>
      </c>
      <c r="F926" s="2">
        <v>45694</v>
      </c>
      <c r="G926" s="2">
        <v>45698</v>
      </c>
      <c r="H926" s="1" t="s">
        <v>8</v>
      </c>
      <c r="I926" s="1" t="s">
        <v>36</v>
      </c>
      <c r="J926" s="1">
        <v>5</v>
      </c>
      <c r="K926" s="1" t="s">
        <v>4</v>
      </c>
      <c r="L926" s="1" t="s">
        <v>18</v>
      </c>
      <c r="M926" s="1">
        <f>[1]!orders[[#This Row],[Ship Date]]-[1]!orders[[#This Row],[Order Date]]</f>
        <v>4</v>
      </c>
      <c r="N926" s="1">
        <f>WEEKNUM([1]!orders[[#This Row],[Order Date]])</f>
        <v>6</v>
      </c>
      <c r="O926" t="str" cm="1">
        <f t="array" ref="O926">_xlfn.IFS([1]!orders[[#This Row],[Customer Gender]]="M","Male", [1]!orders[[#This Row],[Customer Gender]]="F","Female", [1]!orders[[#This Row],[Customer Gender]]="O","Other", TRUE,"Unknown")</f>
        <v>Male</v>
      </c>
    </row>
    <row r="927" spans="1:15" x14ac:dyDescent="0.25">
      <c r="A927" t="s">
        <v>1008</v>
      </c>
      <c r="B927" t="s">
        <v>29</v>
      </c>
      <c r="C927">
        <v>2</v>
      </c>
      <c r="D927">
        <v>18.600000000000001</v>
      </c>
      <c r="E927">
        <v>37.200000000000003</v>
      </c>
      <c r="F927" s="3">
        <v>45694</v>
      </c>
      <c r="G927" s="3">
        <v>45696</v>
      </c>
      <c r="H927" t="s">
        <v>2</v>
      </c>
      <c r="I927" t="s">
        <v>3</v>
      </c>
      <c r="J927">
        <v>3</v>
      </c>
      <c r="K927" t="s">
        <v>4</v>
      </c>
      <c r="L927" t="s">
        <v>18</v>
      </c>
      <c r="M927">
        <f>[1]!orders[[#This Row],[Ship Date]]-[1]!orders[[#This Row],[Order Date]]</f>
        <v>2</v>
      </c>
      <c r="N927">
        <f>WEEKNUM([1]!orders[[#This Row],[Order Date]])</f>
        <v>6</v>
      </c>
      <c r="O927" t="str" cm="1">
        <f t="array" ref="O927">_xlfn.IFS([1]!orders[[#This Row],[Customer Gender]]="M","Male", [1]!orders[[#This Row],[Customer Gender]]="F","Female", [1]!orders[[#This Row],[Customer Gender]]="O","Other", TRUE,"Unknown")</f>
        <v>Unknown</v>
      </c>
    </row>
    <row r="928" spans="1:15" x14ac:dyDescent="0.25">
      <c r="A928" s="1" t="s">
        <v>1009</v>
      </c>
      <c r="B928" s="1" t="s">
        <v>17</v>
      </c>
      <c r="C928" s="1">
        <v>5</v>
      </c>
      <c r="D928" s="1">
        <v>48.3</v>
      </c>
      <c r="E928" s="1">
        <v>241.5</v>
      </c>
      <c r="F928" s="2">
        <v>45694</v>
      </c>
      <c r="G928" s="2">
        <v>45696</v>
      </c>
      <c r="H928" s="1" t="s">
        <v>12</v>
      </c>
      <c r="I928" s="1" t="s">
        <v>20</v>
      </c>
      <c r="J928" s="1">
        <v>4</v>
      </c>
      <c r="K928" s="1" t="s">
        <v>4</v>
      </c>
      <c r="L928" s="1" t="s">
        <v>18</v>
      </c>
      <c r="M928" s="1">
        <f>[1]!orders[[#This Row],[Ship Date]]-[1]!orders[[#This Row],[Order Date]]</f>
        <v>2</v>
      </c>
      <c r="N928" s="1">
        <f>WEEKNUM([1]!orders[[#This Row],[Order Date]])</f>
        <v>6</v>
      </c>
      <c r="O928" t="str" cm="1">
        <f t="array" ref="O928">_xlfn.IFS([1]!orders[[#This Row],[Customer Gender]]="M","Male", [1]!orders[[#This Row],[Customer Gender]]="F","Female", [1]!orders[[#This Row],[Customer Gender]]="O","Other", TRUE,"Unknown")</f>
        <v>Female</v>
      </c>
    </row>
    <row r="929" spans="1:15" x14ac:dyDescent="0.25">
      <c r="A929" t="s">
        <v>1010</v>
      </c>
      <c r="B929" t="s">
        <v>1</v>
      </c>
      <c r="C929">
        <v>4</v>
      </c>
      <c r="D929">
        <v>27.7</v>
      </c>
      <c r="E929">
        <v>110.8</v>
      </c>
      <c r="F929" s="3">
        <v>45694</v>
      </c>
      <c r="G929" s="3">
        <v>45696</v>
      </c>
      <c r="H929" t="s">
        <v>12</v>
      </c>
      <c r="I929" t="s">
        <v>3</v>
      </c>
      <c r="J929">
        <v>4</v>
      </c>
      <c r="K929" t="s">
        <v>4</v>
      </c>
      <c r="L929" t="s">
        <v>18</v>
      </c>
      <c r="M929">
        <f>[1]!orders[[#This Row],[Ship Date]]-[1]!orders[[#This Row],[Order Date]]</f>
        <v>2</v>
      </c>
      <c r="N929">
        <f>WEEKNUM([1]!orders[[#This Row],[Order Date]])</f>
        <v>6</v>
      </c>
      <c r="O929" t="str" cm="1">
        <f t="array" ref="O929">_xlfn.IFS([1]!orders[[#This Row],[Customer Gender]]="M","Male", [1]!orders[[#This Row],[Customer Gender]]="F","Female", [1]!orders[[#This Row],[Customer Gender]]="O","Other", TRUE,"Unknown")</f>
        <v>Female</v>
      </c>
    </row>
    <row r="930" spans="1:15" x14ac:dyDescent="0.25">
      <c r="A930" s="1" t="s">
        <v>1011</v>
      </c>
      <c r="B930" s="1" t="s">
        <v>17</v>
      </c>
      <c r="C930" s="1">
        <v>5</v>
      </c>
      <c r="D930" s="1">
        <v>22.5</v>
      </c>
      <c r="E930" s="1">
        <v>112.5</v>
      </c>
      <c r="F930" s="2">
        <v>45694</v>
      </c>
      <c r="G930" s="2">
        <v>45696</v>
      </c>
      <c r="H930" s="1" t="s">
        <v>12</v>
      </c>
      <c r="I930" s="1" t="s">
        <v>55</v>
      </c>
      <c r="J930" s="1">
        <v>5</v>
      </c>
      <c r="K930" s="1" t="s">
        <v>4</v>
      </c>
      <c r="L930" s="1" t="s">
        <v>18</v>
      </c>
      <c r="M930" s="1">
        <f>[1]!orders[[#This Row],[Ship Date]]-[1]!orders[[#This Row],[Order Date]]</f>
        <v>2</v>
      </c>
      <c r="N930" s="1">
        <f>WEEKNUM([1]!orders[[#This Row],[Order Date]])</f>
        <v>6</v>
      </c>
      <c r="O930" t="str" cm="1">
        <f t="array" ref="O930">_xlfn.IFS([1]!orders[[#This Row],[Customer Gender]]="M","Male", [1]!orders[[#This Row],[Customer Gender]]="F","Female", [1]!orders[[#This Row],[Customer Gender]]="O","Other", TRUE,"Unknown")</f>
        <v>Female</v>
      </c>
    </row>
    <row r="931" spans="1:15" x14ac:dyDescent="0.25">
      <c r="A931" t="s">
        <v>1012</v>
      </c>
      <c r="B931" t="s">
        <v>120</v>
      </c>
      <c r="C931">
        <v>5</v>
      </c>
      <c r="D931">
        <v>21.6</v>
      </c>
      <c r="E931">
        <v>108</v>
      </c>
      <c r="F931" s="3">
        <v>45694</v>
      </c>
      <c r="G931" s="3">
        <v>45702</v>
      </c>
      <c r="H931" t="s">
        <v>12</v>
      </c>
      <c r="I931" t="s">
        <v>3</v>
      </c>
      <c r="J931">
        <v>3</v>
      </c>
      <c r="K931" t="s">
        <v>4</v>
      </c>
      <c r="L931" t="s">
        <v>18</v>
      </c>
      <c r="M931">
        <f>[1]!orders[[#This Row],[Ship Date]]-[1]!orders[[#This Row],[Order Date]]</f>
        <v>8</v>
      </c>
      <c r="N931">
        <f>WEEKNUM([1]!orders[[#This Row],[Order Date]])</f>
        <v>6</v>
      </c>
      <c r="O931" t="str" cm="1">
        <f t="array" ref="O931">_xlfn.IFS([1]!orders[[#This Row],[Customer Gender]]="M","Male", [1]!orders[[#This Row],[Customer Gender]]="F","Female", [1]!orders[[#This Row],[Customer Gender]]="O","Other", TRUE,"Unknown")</f>
        <v>Female</v>
      </c>
    </row>
    <row r="932" spans="1:15" x14ac:dyDescent="0.25">
      <c r="A932" s="1" t="s">
        <v>1013</v>
      </c>
      <c r="B932" s="1" t="s">
        <v>39</v>
      </c>
      <c r="C932" s="1">
        <v>7</v>
      </c>
      <c r="D932" s="1">
        <v>26.3</v>
      </c>
      <c r="E932" s="1">
        <v>184.1</v>
      </c>
      <c r="F932" s="2">
        <v>45694</v>
      </c>
      <c r="G932" s="2">
        <v>45694</v>
      </c>
      <c r="H932" s="1" t="s">
        <v>12</v>
      </c>
      <c r="I932" s="1" t="s">
        <v>25</v>
      </c>
      <c r="J932" s="1">
        <v>3</v>
      </c>
      <c r="K932" s="1" t="s">
        <v>4</v>
      </c>
      <c r="L932" s="1" t="s">
        <v>18</v>
      </c>
      <c r="M932" s="1">
        <f>[1]!orders[[#This Row],[Ship Date]]-[1]!orders[[#This Row],[Order Date]]</f>
        <v>0</v>
      </c>
      <c r="N932" s="1">
        <f>WEEKNUM([1]!orders[[#This Row],[Order Date]])</f>
        <v>6</v>
      </c>
      <c r="O932" t="str" cm="1">
        <f t="array" ref="O932">_xlfn.IFS([1]!orders[[#This Row],[Customer Gender]]="M","Male", [1]!orders[[#This Row],[Customer Gender]]="F","Female", [1]!orders[[#This Row],[Customer Gender]]="O","Other", TRUE,"Unknown")</f>
        <v>Female</v>
      </c>
    </row>
    <row r="933" spans="1:15" x14ac:dyDescent="0.25">
      <c r="A933" t="s">
        <v>1014</v>
      </c>
      <c r="B933" t="s">
        <v>24</v>
      </c>
      <c r="C933">
        <v>7</v>
      </c>
      <c r="D933">
        <v>103</v>
      </c>
      <c r="E933">
        <v>721</v>
      </c>
      <c r="F933" s="3">
        <v>45695</v>
      </c>
      <c r="G933" s="3">
        <v>45696</v>
      </c>
      <c r="H933" t="s">
        <v>8</v>
      </c>
      <c r="I933" t="s">
        <v>3</v>
      </c>
      <c r="J933">
        <v>5</v>
      </c>
      <c r="K933" t="s">
        <v>4</v>
      </c>
      <c r="L933" t="s">
        <v>40</v>
      </c>
      <c r="M933">
        <f>[1]!orders[[#This Row],[Ship Date]]-[1]!orders[[#This Row],[Order Date]]</f>
        <v>1</v>
      </c>
      <c r="N933">
        <f>WEEKNUM([1]!orders[[#This Row],[Order Date]])</f>
        <v>6</v>
      </c>
      <c r="O933" t="str" cm="1">
        <f t="array" ref="O933">_xlfn.IFS([1]!orders[[#This Row],[Customer Gender]]="M","Male", [1]!orders[[#This Row],[Customer Gender]]="F","Female", [1]!orders[[#This Row],[Customer Gender]]="O","Other", TRUE,"Unknown")</f>
        <v>Male</v>
      </c>
    </row>
    <row r="934" spans="1:15" x14ac:dyDescent="0.25">
      <c r="A934" s="1" t="s">
        <v>1015</v>
      </c>
      <c r="B934" s="1" t="s">
        <v>22</v>
      </c>
      <c r="C934" s="1">
        <v>15</v>
      </c>
      <c r="D934" s="1">
        <v>46.6</v>
      </c>
      <c r="E934" s="1">
        <v>699</v>
      </c>
      <c r="F934" s="2">
        <v>45695</v>
      </c>
      <c r="G934" s="2">
        <v>45696</v>
      </c>
      <c r="H934" s="1" t="s">
        <v>12</v>
      </c>
      <c r="I934" s="1" t="s">
        <v>3</v>
      </c>
      <c r="J934" s="1">
        <v>3</v>
      </c>
      <c r="K934" s="1" t="s">
        <v>4</v>
      </c>
      <c r="L934" s="1" t="s">
        <v>40</v>
      </c>
      <c r="M934" s="1">
        <f>[1]!orders[[#This Row],[Ship Date]]-[1]!orders[[#This Row],[Order Date]]</f>
        <v>1</v>
      </c>
      <c r="N934" s="1">
        <f>WEEKNUM([1]!orders[[#This Row],[Order Date]])</f>
        <v>6</v>
      </c>
      <c r="O934" t="str" cm="1">
        <f t="array" ref="O934">_xlfn.IFS([1]!orders[[#This Row],[Customer Gender]]="M","Male", [1]!orders[[#This Row],[Customer Gender]]="F","Female", [1]!orders[[#This Row],[Customer Gender]]="O","Other", TRUE,"Unknown")</f>
        <v>Female</v>
      </c>
    </row>
    <row r="935" spans="1:15" x14ac:dyDescent="0.25">
      <c r="A935" t="s">
        <v>1016</v>
      </c>
      <c r="B935" t="s">
        <v>1</v>
      </c>
      <c r="C935">
        <v>5</v>
      </c>
      <c r="D935">
        <v>32.200000000000003</v>
      </c>
      <c r="E935">
        <v>161</v>
      </c>
      <c r="F935" s="3">
        <v>45695</v>
      </c>
      <c r="G935" s="3">
        <v>45698</v>
      </c>
      <c r="H935" t="s">
        <v>12</v>
      </c>
      <c r="I935" t="s">
        <v>3</v>
      </c>
      <c r="J935">
        <v>5</v>
      </c>
      <c r="K935" t="s">
        <v>4</v>
      </c>
      <c r="L935" t="s">
        <v>327</v>
      </c>
      <c r="M935">
        <f>[1]!orders[[#This Row],[Ship Date]]-[1]!orders[[#This Row],[Order Date]]</f>
        <v>3</v>
      </c>
      <c r="N935">
        <f>WEEKNUM([1]!orders[[#This Row],[Order Date]])</f>
        <v>6</v>
      </c>
      <c r="O935" t="str" cm="1">
        <f t="array" ref="O935">_xlfn.IFS([1]!orders[[#This Row],[Customer Gender]]="M","Male", [1]!orders[[#This Row],[Customer Gender]]="F","Female", [1]!orders[[#This Row],[Customer Gender]]="O","Other", TRUE,"Unknown")</f>
        <v>Female</v>
      </c>
    </row>
    <row r="936" spans="1:15" x14ac:dyDescent="0.25">
      <c r="A936" s="1" t="s">
        <v>1017</v>
      </c>
      <c r="B936" s="1" t="s">
        <v>29</v>
      </c>
      <c r="C936" s="1">
        <v>3</v>
      </c>
      <c r="D936" s="1">
        <v>22</v>
      </c>
      <c r="E936" s="1">
        <v>66</v>
      </c>
      <c r="F936" s="2">
        <v>45695</v>
      </c>
      <c r="G936" s="2">
        <v>45702</v>
      </c>
      <c r="H936" s="1" t="s">
        <v>8</v>
      </c>
      <c r="I936" s="1" t="s">
        <v>20</v>
      </c>
      <c r="J936" s="1">
        <v>4</v>
      </c>
      <c r="K936" s="1" t="s">
        <v>4</v>
      </c>
      <c r="L936" s="1" t="s">
        <v>44</v>
      </c>
      <c r="M936" s="1">
        <f>[1]!orders[[#This Row],[Ship Date]]-[1]!orders[[#This Row],[Order Date]]</f>
        <v>7</v>
      </c>
      <c r="N936" s="1">
        <f>WEEKNUM([1]!orders[[#This Row],[Order Date]])</f>
        <v>6</v>
      </c>
      <c r="O936" t="str" cm="1">
        <f t="array" ref="O936">_xlfn.IFS([1]!orders[[#This Row],[Customer Gender]]="M","Male", [1]!orders[[#This Row],[Customer Gender]]="F","Female", [1]!orders[[#This Row],[Customer Gender]]="O","Other", TRUE,"Unknown")</f>
        <v>Male</v>
      </c>
    </row>
    <row r="937" spans="1:15" x14ac:dyDescent="0.25">
      <c r="A937" t="s">
        <v>1018</v>
      </c>
      <c r="B937" t="s">
        <v>1</v>
      </c>
      <c r="C937">
        <v>2</v>
      </c>
      <c r="D937">
        <v>25.2</v>
      </c>
      <c r="E937">
        <v>50.4</v>
      </c>
      <c r="F937" s="3">
        <v>45695</v>
      </c>
      <c r="G937" s="3">
        <v>45699</v>
      </c>
      <c r="H937" t="s">
        <v>12</v>
      </c>
      <c r="I937" t="s">
        <v>3</v>
      </c>
      <c r="J937">
        <v>4</v>
      </c>
      <c r="K937" t="s">
        <v>4</v>
      </c>
      <c r="L937" t="s">
        <v>44</v>
      </c>
      <c r="M937">
        <f>[1]!orders[[#This Row],[Ship Date]]-[1]!orders[[#This Row],[Order Date]]</f>
        <v>4</v>
      </c>
      <c r="N937">
        <f>WEEKNUM([1]!orders[[#This Row],[Order Date]])</f>
        <v>6</v>
      </c>
      <c r="O937" t="str" cm="1">
        <f t="array" ref="O937">_xlfn.IFS([1]!orders[[#This Row],[Customer Gender]]="M","Male", [1]!orders[[#This Row],[Customer Gender]]="F","Female", [1]!orders[[#This Row],[Customer Gender]]="O","Other", TRUE,"Unknown")</f>
        <v>Female</v>
      </c>
    </row>
    <row r="938" spans="1:15" x14ac:dyDescent="0.25">
      <c r="A938" s="1" t="s">
        <v>1019</v>
      </c>
      <c r="B938" s="1" t="s">
        <v>7</v>
      </c>
      <c r="C938" s="1">
        <v>6</v>
      </c>
      <c r="D938" s="1">
        <v>68.7</v>
      </c>
      <c r="E938" s="1">
        <v>412.20000000000005</v>
      </c>
      <c r="F938" s="2">
        <v>45695</v>
      </c>
      <c r="G938" s="2">
        <v>45697</v>
      </c>
      <c r="H938" s="1" t="s">
        <v>8</v>
      </c>
      <c r="I938" s="1" t="s">
        <v>55</v>
      </c>
      <c r="J938" s="1">
        <v>4</v>
      </c>
      <c r="K938" s="1" t="s">
        <v>4</v>
      </c>
      <c r="L938" s="1" t="s">
        <v>47</v>
      </c>
      <c r="M938" s="1">
        <f>[1]!orders[[#This Row],[Ship Date]]-[1]!orders[[#This Row],[Order Date]]</f>
        <v>2</v>
      </c>
      <c r="N938" s="1">
        <f>WEEKNUM([1]!orders[[#This Row],[Order Date]])</f>
        <v>6</v>
      </c>
      <c r="O938" t="str" cm="1">
        <f t="array" ref="O938">_xlfn.IFS([1]!orders[[#This Row],[Customer Gender]]="M","Male", [1]!orders[[#This Row],[Customer Gender]]="F","Female", [1]!orders[[#This Row],[Customer Gender]]="O","Other", TRUE,"Unknown")</f>
        <v>Male</v>
      </c>
    </row>
    <row r="939" spans="1:15" x14ac:dyDescent="0.25">
      <c r="A939" t="s">
        <v>1020</v>
      </c>
      <c r="B939" t="s">
        <v>1</v>
      </c>
      <c r="C939">
        <v>3</v>
      </c>
      <c r="D939">
        <v>22.2</v>
      </c>
      <c r="E939">
        <v>66.599999999999994</v>
      </c>
      <c r="F939" s="3">
        <v>45695</v>
      </c>
      <c r="G939" s="3">
        <v>45698</v>
      </c>
      <c r="H939" t="s">
        <v>8</v>
      </c>
      <c r="I939" t="s">
        <v>25</v>
      </c>
      <c r="J939">
        <v>5</v>
      </c>
      <c r="K939" t="s">
        <v>4</v>
      </c>
      <c r="L939" t="s">
        <v>47</v>
      </c>
      <c r="M939">
        <f>[1]!orders[[#This Row],[Ship Date]]-[1]!orders[[#This Row],[Order Date]]</f>
        <v>3</v>
      </c>
      <c r="N939">
        <f>WEEKNUM([1]!orders[[#This Row],[Order Date]])</f>
        <v>6</v>
      </c>
      <c r="O939" t="str" cm="1">
        <f t="array" ref="O939">_xlfn.IFS([1]!orders[[#This Row],[Customer Gender]]="M","Male", [1]!orders[[#This Row],[Customer Gender]]="F","Female", [1]!orders[[#This Row],[Customer Gender]]="O","Other", TRUE,"Unknown")</f>
        <v>Male</v>
      </c>
    </row>
    <row r="940" spans="1:15" x14ac:dyDescent="0.25">
      <c r="A940" s="1" t="s">
        <v>1021</v>
      </c>
      <c r="B940" s="1" t="s">
        <v>7</v>
      </c>
      <c r="C940" s="1">
        <v>7</v>
      </c>
      <c r="D940" s="1">
        <v>36</v>
      </c>
      <c r="E940" s="1">
        <v>252</v>
      </c>
      <c r="F940" s="2">
        <v>45695</v>
      </c>
      <c r="G940" s="2">
        <v>45696</v>
      </c>
      <c r="H940" s="1" t="s">
        <v>12</v>
      </c>
      <c r="I940" s="1" t="s">
        <v>20</v>
      </c>
      <c r="J940" s="1">
        <v>4</v>
      </c>
      <c r="K940" s="1" t="s">
        <v>4</v>
      </c>
      <c r="L940" s="1" t="s">
        <v>47</v>
      </c>
      <c r="M940" s="1">
        <f>[1]!orders[[#This Row],[Ship Date]]-[1]!orders[[#This Row],[Order Date]]</f>
        <v>1</v>
      </c>
      <c r="N940" s="1">
        <f>WEEKNUM([1]!orders[[#This Row],[Order Date]])</f>
        <v>6</v>
      </c>
      <c r="O940" t="str" cm="1">
        <f t="array" ref="O940">_xlfn.IFS([1]!orders[[#This Row],[Customer Gender]]="M","Male", [1]!orders[[#This Row],[Customer Gender]]="F","Female", [1]!orders[[#This Row],[Customer Gender]]="O","Other", TRUE,"Unknown")</f>
        <v>Female</v>
      </c>
    </row>
    <row r="941" spans="1:15" x14ac:dyDescent="0.25">
      <c r="A941" t="s">
        <v>1022</v>
      </c>
      <c r="B941" t="s">
        <v>131</v>
      </c>
      <c r="C941">
        <v>1</v>
      </c>
      <c r="D941">
        <v>50.6</v>
      </c>
      <c r="E941">
        <v>50.6</v>
      </c>
      <c r="F941" s="3">
        <v>45695</v>
      </c>
      <c r="G941" s="3">
        <v>45697</v>
      </c>
      <c r="H941" t="s">
        <v>12</v>
      </c>
      <c r="I941" t="s">
        <v>3</v>
      </c>
      <c r="J941">
        <v>3</v>
      </c>
      <c r="K941" t="s">
        <v>4</v>
      </c>
      <c r="L941" t="s">
        <v>47</v>
      </c>
      <c r="M941">
        <f>[1]!orders[[#This Row],[Ship Date]]-[1]!orders[[#This Row],[Order Date]]</f>
        <v>2</v>
      </c>
      <c r="N941">
        <f>WEEKNUM([1]!orders[[#This Row],[Order Date]])</f>
        <v>6</v>
      </c>
      <c r="O941" t="str" cm="1">
        <f t="array" ref="O941">_xlfn.IFS([1]!orders[[#This Row],[Customer Gender]]="M","Male", [1]!orders[[#This Row],[Customer Gender]]="F","Female", [1]!orders[[#This Row],[Customer Gender]]="O","Other", TRUE,"Unknown")</f>
        <v>Female</v>
      </c>
    </row>
    <row r="942" spans="1:15" x14ac:dyDescent="0.25">
      <c r="A942" s="1" t="s">
        <v>1023</v>
      </c>
      <c r="B942" s="1" t="s">
        <v>108</v>
      </c>
      <c r="C942" s="1">
        <v>2</v>
      </c>
      <c r="D942" s="1">
        <v>44.9</v>
      </c>
      <c r="E942" s="1">
        <v>89.8</v>
      </c>
      <c r="F942" s="2">
        <v>45695</v>
      </c>
      <c r="G942" s="2">
        <v>45697</v>
      </c>
      <c r="H942" s="1" t="s">
        <v>8</v>
      </c>
      <c r="I942" s="1" t="s">
        <v>3</v>
      </c>
      <c r="J942" s="1">
        <v>3</v>
      </c>
      <c r="K942" s="1" t="s">
        <v>4</v>
      </c>
      <c r="L942" s="1" t="s">
        <v>47</v>
      </c>
      <c r="M942" s="1">
        <f>[1]!orders[[#This Row],[Ship Date]]-[1]!orders[[#This Row],[Order Date]]</f>
        <v>2</v>
      </c>
      <c r="N942" s="1">
        <f>WEEKNUM([1]!orders[[#This Row],[Order Date]])</f>
        <v>6</v>
      </c>
      <c r="O942" t="str" cm="1">
        <f t="array" ref="O942">_xlfn.IFS([1]!orders[[#This Row],[Customer Gender]]="M","Male", [1]!orders[[#This Row],[Customer Gender]]="F","Female", [1]!orders[[#This Row],[Customer Gender]]="O","Other", TRUE,"Unknown")</f>
        <v>Male</v>
      </c>
    </row>
    <row r="943" spans="1:15" x14ac:dyDescent="0.25">
      <c r="A943" t="s">
        <v>1024</v>
      </c>
      <c r="B943" t="s">
        <v>24</v>
      </c>
      <c r="C943">
        <v>3</v>
      </c>
      <c r="D943">
        <v>71.599999999999994</v>
      </c>
      <c r="E943">
        <v>214.79999999999998</v>
      </c>
      <c r="F943" s="3">
        <v>45695</v>
      </c>
      <c r="G943" s="3">
        <v>45699</v>
      </c>
      <c r="H943" t="s">
        <v>8</v>
      </c>
      <c r="I943" t="s">
        <v>20</v>
      </c>
      <c r="J943">
        <v>5</v>
      </c>
      <c r="K943" t="s">
        <v>4</v>
      </c>
      <c r="L943" t="s">
        <v>59</v>
      </c>
      <c r="M943">
        <f>[1]!orders[[#This Row],[Ship Date]]-[1]!orders[[#This Row],[Order Date]]</f>
        <v>4</v>
      </c>
      <c r="N943">
        <f>WEEKNUM([1]!orders[[#This Row],[Order Date]])</f>
        <v>6</v>
      </c>
      <c r="O943" t="str" cm="1">
        <f t="array" ref="O943">_xlfn.IFS([1]!orders[[#This Row],[Customer Gender]]="M","Male", [1]!orders[[#This Row],[Customer Gender]]="F","Female", [1]!orders[[#This Row],[Customer Gender]]="O","Other", TRUE,"Unknown")</f>
        <v>Male</v>
      </c>
    </row>
    <row r="944" spans="1:15" x14ac:dyDescent="0.25">
      <c r="A944" s="1" t="s">
        <v>1025</v>
      </c>
      <c r="B944" s="1" t="s">
        <v>24</v>
      </c>
      <c r="C944" s="1">
        <v>6</v>
      </c>
      <c r="D944" s="1">
        <v>51.5</v>
      </c>
      <c r="E944" s="1">
        <v>309</v>
      </c>
      <c r="F944" s="2">
        <v>45695</v>
      </c>
      <c r="G944" s="2">
        <v>45697</v>
      </c>
      <c r="H944" s="1" t="s">
        <v>2</v>
      </c>
      <c r="I944" s="1" t="s">
        <v>55</v>
      </c>
      <c r="J944" s="1">
        <v>4</v>
      </c>
      <c r="K944" s="1" t="s">
        <v>4</v>
      </c>
      <c r="L944" s="1" t="s">
        <v>62</v>
      </c>
      <c r="M944" s="1">
        <f>[1]!orders[[#This Row],[Ship Date]]-[1]!orders[[#This Row],[Order Date]]</f>
        <v>2</v>
      </c>
      <c r="N944" s="1">
        <f>WEEKNUM([1]!orders[[#This Row],[Order Date]])</f>
        <v>6</v>
      </c>
      <c r="O944" t="str" cm="1">
        <f t="array" ref="O944">_xlfn.IFS([1]!orders[[#This Row],[Customer Gender]]="M","Male", [1]!orders[[#This Row],[Customer Gender]]="F","Female", [1]!orders[[#This Row],[Customer Gender]]="O","Other", TRUE,"Unknown")</f>
        <v>Unknown</v>
      </c>
    </row>
    <row r="945" spans="1:15" x14ac:dyDescent="0.25">
      <c r="A945" t="s">
        <v>1026</v>
      </c>
      <c r="B945" t="s">
        <v>27</v>
      </c>
      <c r="C945">
        <v>5</v>
      </c>
      <c r="D945">
        <v>55.5</v>
      </c>
      <c r="E945">
        <v>277.5</v>
      </c>
      <c r="F945" s="3">
        <v>45695</v>
      </c>
      <c r="G945" s="3">
        <v>45696</v>
      </c>
      <c r="H945" t="s">
        <v>8</v>
      </c>
      <c r="I945" t="s">
        <v>20</v>
      </c>
      <c r="J945">
        <v>3</v>
      </c>
      <c r="K945" t="s">
        <v>4</v>
      </c>
      <c r="L945" t="s">
        <v>62</v>
      </c>
      <c r="M945">
        <f>[1]!orders[[#This Row],[Ship Date]]-[1]!orders[[#This Row],[Order Date]]</f>
        <v>1</v>
      </c>
      <c r="N945">
        <f>WEEKNUM([1]!orders[[#This Row],[Order Date]])</f>
        <v>6</v>
      </c>
      <c r="O945" t="str" cm="1">
        <f t="array" ref="O945">_xlfn.IFS([1]!orders[[#This Row],[Customer Gender]]="M","Male", [1]!orders[[#This Row],[Customer Gender]]="F","Female", [1]!orders[[#This Row],[Customer Gender]]="O","Other", TRUE,"Unknown")</f>
        <v>Male</v>
      </c>
    </row>
    <row r="946" spans="1:15" x14ac:dyDescent="0.25">
      <c r="A946" s="1" t="s">
        <v>1027</v>
      </c>
      <c r="B946" s="1" t="s">
        <v>24</v>
      </c>
      <c r="C946" s="1">
        <v>1</v>
      </c>
      <c r="D946" s="1">
        <v>51.7</v>
      </c>
      <c r="E946" s="1">
        <v>51.7</v>
      </c>
      <c r="F946" s="2">
        <v>45695</v>
      </c>
      <c r="G946" s="2">
        <v>45709</v>
      </c>
      <c r="H946" s="1" t="s">
        <v>8</v>
      </c>
      <c r="I946" s="1" t="s">
        <v>25</v>
      </c>
      <c r="J946" s="1">
        <v>4</v>
      </c>
      <c r="K946" s="1" t="s">
        <v>4</v>
      </c>
      <c r="L946" s="1" t="s">
        <v>95</v>
      </c>
      <c r="M946" s="1">
        <f>[1]!orders[[#This Row],[Ship Date]]-[1]!orders[[#This Row],[Order Date]]</f>
        <v>14</v>
      </c>
      <c r="N946" s="1">
        <f>WEEKNUM([1]!orders[[#This Row],[Order Date]])</f>
        <v>6</v>
      </c>
      <c r="O946" t="str" cm="1">
        <f t="array" ref="O946">_xlfn.IFS([1]!orders[[#This Row],[Customer Gender]]="M","Male", [1]!orders[[#This Row],[Customer Gender]]="F","Female", [1]!orders[[#This Row],[Customer Gender]]="O","Other", TRUE,"Unknown")</f>
        <v>Male</v>
      </c>
    </row>
    <row r="947" spans="1:15" x14ac:dyDescent="0.25">
      <c r="A947" t="s">
        <v>1028</v>
      </c>
      <c r="B947" t="s">
        <v>29</v>
      </c>
      <c r="C947">
        <v>21</v>
      </c>
      <c r="D947">
        <v>45.5</v>
      </c>
      <c r="E947">
        <v>955.5</v>
      </c>
      <c r="F947" s="3">
        <v>45695</v>
      </c>
      <c r="G947" s="3">
        <v>45696</v>
      </c>
      <c r="H947" t="s">
        <v>12</v>
      </c>
      <c r="I947" t="s">
        <v>36</v>
      </c>
      <c r="J947">
        <v>5</v>
      </c>
      <c r="K947" t="s">
        <v>4</v>
      </c>
      <c r="L947" t="s">
        <v>95</v>
      </c>
      <c r="M947">
        <f>[1]!orders[[#This Row],[Ship Date]]-[1]!orders[[#This Row],[Order Date]]</f>
        <v>1</v>
      </c>
      <c r="N947">
        <f>WEEKNUM([1]!orders[[#This Row],[Order Date]])</f>
        <v>6</v>
      </c>
      <c r="O947" t="str" cm="1">
        <f t="array" ref="O947">_xlfn.IFS([1]!orders[[#This Row],[Customer Gender]]="M","Male", [1]!orders[[#This Row],[Customer Gender]]="F","Female", [1]!orders[[#This Row],[Customer Gender]]="O","Other", TRUE,"Unknown")</f>
        <v>Female</v>
      </c>
    </row>
    <row r="948" spans="1:15" x14ac:dyDescent="0.25">
      <c r="A948" s="1" t="s">
        <v>1029</v>
      </c>
      <c r="B948" s="1" t="s">
        <v>29</v>
      </c>
      <c r="C948" s="1">
        <v>2</v>
      </c>
      <c r="D948" s="1">
        <v>33.799999999999997</v>
      </c>
      <c r="E948" s="1">
        <v>67.599999999999994</v>
      </c>
      <c r="F948" s="2">
        <v>45695</v>
      </c>
      <c r="G948" s="2">
        <v>45701</v>
      </c>
      <c r="H948" s="1" t="s">
        <v>12</v>
      </c>
      <c r="I948" s="1" t="s">
        <v>36</v>
      </c>
      <c r="J948" s="1">
        <v>4</v>
      </c>
      <c r="K948" s="1" t="s">
        <v>4</v>
      </c>
      <c r="L948" s="1" t="s">
        <v>98</v>
      </c>
      <c r="M948" s="1">
        <f>[1]!orders[[#This Row],[Ship Date]]-[1]!orders[[#This Row],[Order Date]]</f>
        <v>6</v>
      </c>
      <c r="N948" s="1">
        <f>WEEKNUM([1]!orders[[#This Row],[Order Date]])</f>
        <v>6</v>
      </c>
      <c r="O948" t="str" cm="1">
        <f t="array" ref="O948">_xlfn.IFS([1]!orders[[#This Row],[Customer Gender]]="M","Male", [1]!orders[[#This Row],[Customer Gender]]="F","Female", [1]!orders[[#This Row],[Customer Gender]]="O","Other", TRUE,"Unknown")</f>
        <v>Female</v>
      </c>
    </row>
    <row r="949" spans="1:15" x14ac:dyDescent="0.25">
      <c r="A949" t="s">
        <v>1030</v>
      </c>
      <c r="B949" t="s">
        <v>15</v>
      </c>
      <c r="C949">
        <v>3</v>
      </c>
      <c r="D949">
        <v>76.5</v>
      </c>
      <c r="E949">
        <v>229.5</v>
      </c>
      <c r="F949" s="3">
        <v>45695</v>
      </c>
      <c r="G949" s="3">
        <v>45696</v>
      </c>
      <c r="H949" t="s">
        <v>12</v>
      </c>
      <c r="I949" t="s">
        <v>3</v>
      </c>
      <c r="J949">
        <v>3</v>
      </c>
      <c r="K949" t="s">
        <v>4</v>
      </c>
      <c r="L949" t="s">
        <v>100</v>
      </c>
      <c r="M949">
        <f>[1]!orders[[#This Row],[Ship Date]]-[1]!orders[[#This Row],[Order Date]]</f>
        <v>1</v>
      </c>
      <c r="N949">
        <f>WEEKNUM([1]!orders[[#This Row],[Order Date]])</f>
        <v>6</v>
      </c>
      <c r="O949" t="str" cm="1">
        <f t="array" ref="O949">_xlfn.IFS([1]!orders[[#This Row],[Customer Gender]]="M","Male", [1]!orders[[#This Row],[Customer Gender]]="F","Female", [1]!orders[[#This Row],[Customer Gender]]="O","Other", TRUE,"Unknown")</f>
        <v>Female</v>
      </c>
    </row>
    <row r="950" spans="1:15" x14ac:dyDescent="0.25">
      <c r="A950" s="1" t="s">
        <v>1031</v>
      </c>
      <c r="B950" s="1" t="s">
        <v>31</v>
      </c>
      <c r="C950" s="1">
        <v>3</v>
      </c>
      <c r="D950" s="1">
        <v>42.6</v>
      </c>
      <c r="E950" s="1">
        <v>127.80000000000001</v>
      </c>
      <c r="F950" s="2">
        <v>45695</v>
      </c>
      <c r="G950" s="2">
        <v>45701</v>
      </c>
      <c r="H950" s="1" t="s">
        <v>12</v>
      </c>
      <c r="I950" s="1" t="s">
        <v>25</v>
      </c>
      <c r="J950" s="1">
        <v>5</v>
      </c>
      <c r="K950" s="1" t="s">
        <v>4</v>
      </c>
      <c r="L950" s="1" t="s">
        <v>13</v>
      </c>
      <c r="M950" s="1">
        <f>[1]!orders[[#This Row],[Ship Date]]-[1]!orders[[#This Row],[Order Date]]</f>
        <v>6</v>
      </c>
      <c r="N950" s="1">
        <f>WEEKNUM([1]!orders[[#This Row],[Order Date]])</f>
        <v>6</v>
      </c>
      <c r="O950" t="str" cm="1">
        <f t="array" ref="O950">_xlfn.IFS([1]!orders[[#This Row],[Customer Gender]]="M","Male", [1]!orders[[#This Row],[Customer Gender]]="F","Female", [1]!orders[[#This Row],[Customer Gender]]="O","Other", TRUE,"Unknown")</f>
        <v>Female</v>
      </c>
    </row>
    <row r="951" spans="1:15" x14ac:dyDescent="0.25">
      <c r="A951" t="s">
        <v>1032</v>
      </c>
      <c r="B951" t="s">
        <v>24</v>
      </c>
      <c r="C951">
        <v>3</v>
      </c>
      <c r="D951">
        <v>44.1</v>
      </c>
      <c r="E951">
        <v>132.30000000000001</v>
      </c>
      <c r="F951" s="3">
        <v>45695</v>
      </c>
      <c r="G951" s="3">
        <v>45697</v>
      </c>
      <c r="H951" t="s">
        <v>12</v>
      </c>
      <c r="I951" t="s">
        <v>20</v>
      </c>
      <c r="J951">
        <v>3</v>
      </c>
      <c r="K951" t="s">
        <v>4</v>
      </c>
      <c r="L951" t="s">
        <v>132</v>
      </c>
      <c r="M951">
        <f>[1]!orders[[#This Row],[Ship Date]]-[1]!orders[[#This Row],[Order Date]]</f>
        <v>2</v>
      </c>
      <c r="N951">
        <f>WEEKNUM([1]!orders[[#This Row],[Order Date]])</f>
        <v>6</v>
      </c>
      <c r="O951" t="str" cm="1">
        <f t="array" ref="O951">_xlfn.IFS([1]!orders[[#This Row],[Customer Gender]]="M","Male", [1]!orders[[#This Row],[Customer Gender]]="F","Female", [1]!orders[[#This Row],[Customer Gender]]="O","Other", TRUE,"Unknown")</f>
        <v>Female</v>
      </c>
    </row>
    <row r="952" spans="1:15" x14ac:dyDescent="0.25">
      <c r="A952" s="1" t="s">
        <v>1033</v>
      </c>
      <c r="B952" s="1" t="s">
        <v>29</v>
      </c>
      <c r="C952" s="1">
        <v>2</v>
      </c>
      <c r="D952" s="1">
        <v>40.9</v>
      </c>
      <c r="E952" s="1">
        <v>81.8</v>
      </c>
      <c r="F952" s="2">
        <v>45695</v>
      </c>
      <c r="G952" s="2">
        <v>45699</v>
      </c>
      <c r="H952" s="1" t="s">
        <v>8</v>
      </c>
      <c r="I952" s="1" t="s">
        <v>3</v>
      </c>
      <c r="J952" s="1">
        <v>4</v>
      </c>
      <c r="K952" s="1" t="s">
        <v>4</v>
      </c>
      <c r="L952" s="1" t="s">
        <v>18</v>
      </c>
      <c r="M952" s="1">
        <f>[1]!orders[[#This Row],[Ship Date]]-[1]!orders[[#This Row],[Order Date]]</f>
        <v>4</v>
      </c>
      <c r="N952" s="1">
        <f>WEEKNUM([1]!orders[[#This Row],[Order Date]])</f>
        <v>6</v>
      </c>
      <c r="O952" t="str" cm="1">
        <f t="array" ref="O952">_xlfn.IFS([1]!orders[[#This Row],[Customer Gender]]="M","Male", [1]!orders[[#This Row],[Customer Gender]]="F","Female", [1]!orders[[#This Row],[Customer Gender]]="O","Other", TRUE,"Unknown")</f>
        <v>Male</v>
      </c>
    </row>
    <row r="953" spans="1:15" x14ac:dyDescent="0.25">
      <c r="A953" t="s">
        <v>1034</v>
      </c>
      <c r="B953" t="s">
        <v>31</v>
      </c>
      <c r="C953">
        <v>3</v>
      </c>
      <c r="D953">
        <v>49.1</v>
      </c>
      <c r="E953">
        <v>147.30000000000001</v>
      </c>
      <c r="F953" s="3">
        <v>45695</v>
      </c>
      <c r="G953" s="3">
        <v>45699</v>
      </c>
      <c r="H953" t="s">
        <v>12</v>
      </c>
      <c r="I953" t="s">
        <v>36</v>
      </c>
      <c r="J953">
        <v>3</v>
      </c>
      <c r="K953" t="s">
        <v>4</v>
      </c>
      <c r="L953" t="s">
        <v>18</v>
      </c>
      <c r="M953">
        <f>[1]!orders[[#This Row],[Ship Date]]-[1]!orders[[#This Row],[Order Date]]</f>
        <v>4</v>
      </c>
      <c r="N953">
        <f>WEEKNUM([1]!orders[[#This Row],[Order Date]])</f>
        <v>6</v>
      </c>
      <c r="O953" t="str" cm="1">
        <f t="array" ref="O953">_xlfn.IFS([1]!orders[[#This Row],[Customer Gender]]="M","Male", [1]!orders[[#This Row],[Customer Gender]]="F","Female", [1]!orders[[#This Row],[Customer Gender]]="O","Other", TRUE,"Unknown")</f>
        <v>Female</v>
      </c>
    </row>
    <row r="954" spans="1:15" x14ac:dyDescent="0.25">
      <c r="A954" s="1" t="s">
        <v>1035</v>
      </c>
      <c r="B954" s="1" t="s">
        <v>131</v>
      </c>
      <c r="C954" s="1">
        <v>1</v>
      </c>
      <c r="D954" s="1">
        <v>85.3</v>
      </c>
      <c r="E954" s="1">
        <v>85.3</v>
      </c>
      <c r="F954" s="2">
        <v>45695</v>
      </c>
      <c r="G954" s="2">
        <v>45699</v>
      </c>
      <c r="H954" s="1" t="s">
        <v>8</v>
      </c>
      <c r="I954" s="1" t="s">
        <v>20</v>
      </c>
      <c r="J954" s="1">
        <v>3</v>
      </c>
      <c r="K954" s="1" t="s">
        <v>4</v>
      </c>
      <c r="L954" s="1" t="s">
        <v>18</v>
      </c>
      <c r="M954" s="1">
        <f>[1]!orders[[#This Row],[Ship Date]]-[1]!orders[[#This Row],[Order Date]]</f>
        <v>4</v>
      </c>
      <c r="N954" s="1">
        <f>WEEKNUM([1]!orders[[#This Row],[Order Date]])</f>
        <v>6</v>
      </c>
      <c r="O954" t="str" cm="1">
        <f t="array" ref="O954">_xlfn.IFS([1]!orders[[#This Row],[Customer Gender]]="M","Male", [1]!orders[[#This Row],[Customer Gender]]="F","Female", [1]!orders[[#This Row],[Customer Gender]]="O","Other", TRUE,"Unknown")</f>
        <v>Male</v>
      </c>
    </row>
    <row r="955" spans="1:15" x14ac:dyDescent="0.25">
      <c r="A955" t="s">
        <v>1036</v>
      </c>
      <c r="B955" t="s">
        <v>24</v>
      </c>
      <c r="C955">
        <v>4</v>
      </c>
      <c r="D955">
        <v>43.1</v>
      </c>
      <c r="E955">
        <v>172.4</v>
      </c>
      <c r="F955" s="3">
        <v>45696</v>
      </c>
      <c r="G955" s="3">
        <v>45699</v>
      </c>
      <c r="H955" t="s">
        <v>8</v>
      </c>
      <c r="I955" t="s">
        <v>3</v>
      </c>
      <c r="J955">
        <v>4</v>
      </c>
      <c r="K955" t="s">
        <v>4</v>
      </c>
      <c r="L955" t="s">
        <v>18</v>
      </c>
      <c r="M955">
        <f>[1]!orders[[#This Row],[Ship Date]]-[1]!orders[[#This Row],[Order Date]]</f>
        <v>3</v>
      </c>
      <c r="N955">
        <f>WEEKNUM([1]!orders[[#This Row],[Order Date]])</f>
        <v>6</v>
      </c>
      <c r="O955" t="str" cm="1">
        <f t="array" ref="O955">_xlfn.IFS([1]!orders[[#This Row],[Customer Gender]]="M","Male", [1]!orders[[#This Row],[Customer Gender]]="F","Female", [1]!orders[[#This Row],[Customer Gender]]="O","Other", TRUE,"Unknown")</f>
        <v>Male</v>
      </c>
    </row>
    <row r="956" spans="1:15" x14ac:dyDescent="0.25">
      <c r="A956" s="1" t="s">
        <v>1037</v>
      </c>
      <c r="B956" s="1" t="s">
        <v>17</v>
      </c>
      <c r="C956" s="1">
        <v>4</v>
      </c>
      <c r="D956" s="1">
        <v>46.2</v>
      </c>
      <c r="E956" s="1">
        <v>184.8</v>
      </c>
      <c r="F956" s="2">
        <v>45696</v>
      </c>
      <c r="G956" s="2">
        <v>45697</v>
      </c>
      <c r="H956" s="1" t="s">
        <v>8</v>
      </c>
      <c r="I956" s="1" t="s">
        <v>25</v>
      </c>
      <c r="J956" s="1">
        <v>4</v>
      </c>
      <c r="K956" s="1" t="s">
        <v>4</v>
      </c>
      <c r="L956" s="1" t="s">
        <v>18</v>
      </c>
      <c r="M956" s="1">
        <f>[1]!orders[[#This Row],[Ship Date]]-[1]!orders[[#This Row],[Order Date]]</f>
        <v>1</v>
      </c>
      <c r="N956" s="1">
        <f>WEEKNUM([1]!orders[[#This Row],[Order Date]])</f>
        <v>6</v>
      </c>
      <c r="O956" t="str" cm="1">
        <f t="array" ref="O956">_xlfn.IFS([1]!orders[[#This Row],[Customer Gender]]="M","Male", [1]!orders[[#This Row],[Customer Gender]]="F","Female", [1]!orders[[#This Row],[Customer Gender]]="O","Other", TRUE,"Unknown")</f>
        <v>Male</v>
      </c>
    </row>
    <row r="957" spans="1:15" x14ac:dyDescent="0.25">
      <c r="A957" t="s">
        <v>1038</v>
      </c>
      <c r="B957" t="s">
        <v>7</v>
      </c>
      <c r="C957">
        <v>1</v>
      </c>
      <c r="D957">
        <v>74.400000000000006</v>
      </c>
      <c r="E957">
        <v>74.400000000000006</v>
      </c>
      <c r="F957" s="3">
        <v>45696</v>
      </c>
      <c r="G957" s="3">
        <v>45698</v>
      </c>
      <c r="H957" t="s">
        <v>8</v>
      </c>
      <c r="I957" t="s">
        <v>55</v>
      </c>
      <c r="J957">
        <v>5</v>
      </c>
      <c r="K957" t="s">
        <v>4</v>
      </c>
      <c r="L957" t="s">
        <v>18</v>
      </c>
      <c r="M957">
        <f>[1]!orders[[#This Row],[Ship Date]]-[1]!orders[[#This Row],[Order Date]]</f>
        <v>2</v>
      </c>
      <c r="N957">
        <f>WEEKNUM([1]!orders[[#This Row],[Order Date]])</f>
        <v>6</v>
      </c>
      <c r="O957" t="str" cm="1">
        <f t="array" ref="O957">_xlfn.IFS([1]!orders[[#This Row],[Customer Gender]]="M","Male", [1]!orders[[#This Row],[Customer Gender]]="F","Female", [1]!orders[[#This Row],[Customer Gender]]="O","Other", TRUE,"Unknown")</f>
        <v>Male</v>
      </c>
    </row>
    <row r="958" spans="1:15" x14ac:dyDescent="0.25">
      <c r="A958" s="1" t="s">
        <v>1039</v>
      </c>
      <c r="B958" s="1" t="s">
        <v>120</v>
      </c>
      <c r="C958" s="1">
        <v>2</v>
      </c>
      <c r="D958" s="1">
        <v>51.2</v>
      </c>
      <c r="E958" s="1">
        <v>102.4</v>
      </c>
      <c r="F958" s="2">
        <v>45696</v>
      </c>
      <c r="G958" s="2">
        <v>45697</v>
      </c>
      <c r="H958" s="1" t="s">
        <v>8</v>
      </c>
      <c r="I958" s="1" t="s">
        <v>20</v>
      </c>
      <c r="J958" s="1">
        <v>4</v>
      </c>
      <c r="K958" s="1" t="s">
        <v>4</v>
      </c>
      <c r="L958" s="1" t="s">
        <v>18</v>
      </c>
      <c r="M958" s="1">
        <f>[1]!orders[[#This Row],[Ship Date]]-[1]!orders[[#This Row],[Order Date]]</f>
        <v>1</v>
      </c>
      <c r="N958" s="1">
        <f>WEEKNUM([1]!orders[[#This Row],[Order Date]])</f>
        <v>6</v>
      </c>
      <c r="O958" t="str" cm="1">
        <f t="array" ref="O958">_xlfn.IFS([1]!orders[[#This Row],[Customer Gender]]="M","Male", [1]!orders[[#This Row],[Customer Gender]]="F","Female", [1]!orders[[#This Row],[Customer Gender]]="O","Other", TRUE,"Unknown")</f>
        <v>Male</v>
      </c>
    </row>
    <row r="959" spans="1:15" x14ac:dyDescent="0.25">
      <c r="A959" t="s">
        <v>1040</v>
      </c>
      <c r="B959" t="s">
        <v>66</v>
      </c>
      <c r="C959">
        <v>4</v>
      </c>
      <c r="D959">
        <v>11.8</v>
      </c>
      <c r="E959">
        <v>47.2</v>
      </c>
      <c r="F959" s="3">
        <v>45696</v>
      </c>
      <c r="G959" s="3">
        <v>45696</v>
      </c>
      <c r="H959" t="s">
        <v>8</v>
      </c>
      <c r="I959" t="s">
        <v>25</v>
      </c>
      <c r="J959">
        <v>4</v>
      </c>
      <c r="K959" t="s">
        <v>4</v>
      </c>
      <c r="L959" t="s">
        <v>18</v>
      </c>
      <c r="M959">
        <f>[1]!orders[[#This Row],[Ship Date]]-[1]!orders[[#This Row],[Order Date]]</f>
        <v>0</v>
      </c>
      <c r="N959">
        <f>WEEKNUM([1]!orders[[#This Row],[Order Date]])</f>
        <v>6</v>
      </c>
      <c r="O959" t="str" cm="1">
        <f t="array" ref="O959">_xlfn.IFS([1]!orders[[#This Row],[Customer Gender]]="M","Male", [1]!orders[[#This Row],[Customer Gender]]="F","Female", [1]!orders[[#This Row],[Customer Gender]]="O","Other", TRUE,"Unknown")</f>
        <v>Male</v>
      </c>
    </row>
    <row r="960" spans="1:15" x14ac:dyDescent="0.25">
      <c r="A960" s="1" t="s">
        <v>1041</v>
      </c>
      <c r="B960" s="1" t="s">
        <v>39</v>
      </c>
      <c r="C960" s="1">
        <v>27</v>
      </c>
      <c r="D960" s="1">
        <v>40.799999999999997</v>
      </c>
      <c r="E960" s="1">
        <v>1101.5999999999999</v>
      </c>
      <c r="F960" s="2">
        <v>45696</v>
      </c>
      <c r="G960" s="2">
        <v>45697</v>
      </c>
      <c r="H960" s="1" t="s">
        <v>12</v>
      </c>
      <c r="I960" s="1" t="s">
        <v>36</v>
      </c>
      <c r="J960" s="1">
        <v>5</v>
      </c>
      <c r="K960" s="1" t="s">
        <v>4</v>
      </c>
      <c r="L960" s="1" t="s">
        <v>18</v>
      </c>
      <c r="M960" s="1">
        <f>[1]!orders[[#This Row],[Ship Date]]-[1]!orders[[#This Row],[Order Date]]</f>
        <v>1</v>
      </c>
      <c r="N960" s="1">
        <f>WEEKNUM([1]!orders[[#This Row],[Order Date]])</f>
        <v>6</v>
      </c>
      <c r="O960" t="str" cm="1">
        <f t="array" ref="O960">_xlfn.IFS([1]!orders[[#This Row],[Customer Gender]]="M","Male", [1]!orders[[#This Row],[Customer Gender]]="F","Female", [1]!orders[[#This Row],[Customer Gender]]="O","Other", TRUE,"Unknown")</f>
        <v>Female</v>
      </c>
    </row>
    <row r="961" spans="1:15" x14ac:dyDescent="0.25">
      <c r="A961" t="s">
        <v>1042</v>
      </c>
      <c r="B961" t="s">
        <v>29</v>
      </c>
      <c r="C961">
        <v>1</v>
      </c>
      <c r="D961">
        <v>24.7</v>
      </c>
      <c r="E961">
        <v>24.7</v>
      </c>
      <c r="F961" s="3">
        <v>45696</v>
      </c>
      <c r="G961" s="3">
        <v>45698</v>
      </c>
      <c r="H961" t="s">
        <v>12</v>
      </c>
      <c r="I961" t="s">
        <v>25</v>
      </c>
      <c r="J961">
        <v>3</v>
      </c>
      <c r="K961" t="s">
        <v>4</v>
      </c>
      <c r="L961" t="s">
        <v>18</v>
      </c>
      <c r="M961">
        <f>[1]!orders[[#This Row],[Ship Date]]-[1]!orders[[#This Row],[Order Date]]</f>
        <v>2</v>
      </c>
      <c r="N961">
        <f>WEEKNUM([1]!orders[[#This Row],[Order Date]])</f>
        <v>6</v>
      </c>
      <c r="O961" t="str" cm="1">
        <f t="array" ref="O961">_xlfn.IFS([1]!orders[[#This Row],[Customer Gender]]="M","Male", [1]!orders[[#This Row],[Customer Gender]]="F","Female", [1]!orders[[#This Row],[Customer Gender]]="O","Other", TRUE,"Unknown")</f>
        <v>Female</v>
      </c>
    </row>
    <row r="962" spans="1:15" x14ac:dyDescent="0.25">
      <c r="A962" s="1" t="s">
        <v>1043</v>
      </c>
      <c r="B962" s="1" t="s">
        <v>29</v>
      </c>
      <c r="C962" s="1">
        <v>7</v>
      </c>
      <c r="D962" s="1">
        <v>22.1</v>
      </c>
      <c r="E962" s="1">
        <v>154.70000000000002</v>
      </c>
      <c r="F962" s="2">
        <v>45696</v>
      </c>
      <c r="G962" s="2">
        <v>45696</v>
      </c>
      <c r="H962" s="1" t="s">
        <v>12</v>
      </c>
      <c r="I962" s="1" t="s">
        <v>25</v>
      </c>
      <c r="J962" s="1">
        <v>2</v>
      </c>
      <c r="K962" s="1" t="s">
        <v>4</v>
      </c>
      <c r="L962" s="1" t="s">
        <v>18</v>
      </c>
      <c r="M962" s="1">
        <f>[1]!orders[[#This Row],[Ship Date]]-[1]!orders[[#This Row],[Order Date]]</f>
        <v>0</v>
      </c>
      <c r="N962" s="1">
        <f>WEEKNUM([1]!orders[[#This Row],[Order Date]])</f>
        <v>6</v>
      </c>
      <c r="O962" t="str" cm="1">
        <f t="array" ref="O962">_xlfn.IFS([1]!orders[[#This Row],[Customer Gender]]="M","Male", [1]!orders[[#This Row],[Customer Gender]]="F","Female", [1]!orders[[#This Row],[Customer Gender]]="O","Other", TRUE,"Unknown")</f>
        <v>Female</v>
      </c>
    </row>
    <row r="963" spans="1:15" x14ac:dyDescent="0.25">
      <c r="A963" t="s">
        <v>1044</v>
      </c>
      <c r="B963" t="s">
        <v>29</v>
      </c>
      <c r="C963">
        <v>1</v>
      </c>
      <c r="D963">
        <v>18.100000000000001</v>
      </c>
      <c r="E963">
        <v>18.100000000000001</v>
      </c>
      <c r="F963" s="3">
        <v>45696</v>
      </c>
      <c r="G963" s="3">
        <v>45700</v>
      </c>
      <c r="H963" t="s">
        <v>8</v>
      </c>
      <c r="I963" t="s">
        <v>36</v>
      </c>
      <c r="J963">
        <v>5</v>
      </c>
      <c r="K963" t="s">
        <v>4</v>
      </c>
      <c r="L963" t="s">
        <v>18</v>
      </c>
      <c r="M963">
        <f>[1]!orders[[#This Row],[Ship Date]]-[1]!orders[[#This Row],[Order Date]]</f>
        <v>4</v>
      </c>
      <c r="N963">
        <f>WEEKNUM([1]!orders[[#This Row],[Order Date]])</f>
        <v>6</v>
      </c>
      <c r="O963" t="str" cm="1">
        <f t="array" ref="O963">_xlfn.IFS([1]!orders[[#This Row],[Customer Gender]]="M","Male", [1]!orders[[#This Row],[Customer Gender]]="F","Female", [1]!orders[[#This Row],[Customer Gender]]="O","Other", TRUE,"Unknown")</f>
        <v>Male</v>
      </c>
    </row>
    <row r="964" spans="1:15" x14ac:dyDescent="0.25">
      <c r="A964" s="1" t="s">
        <v>1045</v>
      </c>
      <c r="B964" s="1" t="s">
        <v>120</v>
      </c>
      <c r="C964" s="1">
        <v>2</v>
      </c>
      <c r="D964" s="1">
        <v>58.8</v>
      </c>
      <c r="E964" s="1">
        <v>117.6</v>
      </c>
      <c r="F964" s="2">
        <v>45696</v>
      </c>
      <c r="G964" s="2">
        <v>45699</v>
      </c>
      <c r="H964" s="1" t="s">
        <v>12</v>
      </c>
      <c r="I964" s="1" t="s">
        <v>3</v>
      </c>
      <c r="J964" s="1">
        <v>4</v>
      </c>
      <c r="K964" s="1" t="s">
        <v>4</v>
      </c>
      <c r="L964" s="1" t="s">
        <v>173</v>
      </c>
      <c r="M964" s="1">
        <f>[1]!orders[[#This Row],[Ship Date]]-[1]!orders[[#This Row],[Order Date]]</f>
        <v>3</v>
      </c>
      <c r="N964" s="1">
        <f>WEEKNUM([1]!orders[[#This Row],[Order Date]])</f>
        <v>6</v>
      </c>
      <c r="O964" t="str" cm="1">
        <f t="array" ref="O964">_xlfn.IFS([1]!orders[[#This Row],[Customer Gender]]="M","Male", [1]!orders[[#This Row],[Customer Gender]]="F","Female", [1]!orders[[#This Row],[Customer Gender]]="O","Other", TRUE,"Unknown")</f>
        <v>Female</v>
      </c>
    </row>
    <row r="965" spans="1:15" x14ac:dyDescent="0.25">
      <c r="A965" t="s">
        <v>1046</v>
      </c>
      <c r="B965" t="s">
        <v>131</v>
      </c>
      <c r="C965">
        <v>2</v>
      </c>
      <c r="D965">
        <v>30.8</v>
      </c>
      <c r="E965">
        <v>61.6</v>
      </c>
      <c r="F965" s="3">
        <v>45696</v>
      </c>
      <c r="G965" s="3">
        <v>45697</v>
      </c>
      <c r="H965" t="s">
        <v>12</v>
      </c>
      <c r="I965" t="s">
        <v>3</v>
      </c>
      <c r="J965">
        <v>4</v>
      </c>
      <c r="K965" t="s">
        <v>4</v>
      </c>
      <c r="L965" t="s">
        <v>40</v>
      </c>
      <c r="M965">
        <f>[1]!orders[[#This Row],[Ship Date]]-[1]!orders[[#This Row],[Order Date]]</f>
        <v>1</v>
      </c>
      <c r="N965">
        <f>WEEKNUM([1]!orders[[#This Row],[Order Date]])</f>
        <v>6</v>
      </c>
      <c r="O965" t="str" cm="1">
        <f t="array" ref="O965">_xlfn.IFS([1]!orders[[#This Row],[Customer Gender]]="M","Male", [1]!orders[[#This Row],[Customer Gender]]="F","Female", [1]!orders[[#This Row],[Customer Gender]]="O","Other", TRUE,"Unknown")</f>
        <v>Female</v>
      </c>
    </row>
    <row r="966" spans="1:15" x14ac:dyDescent="0.25">
      <c r="A966" s="1" t="s">
        <v>1047</v>
      </c>
      <c r="B966" s="1" t="s">
        <v>1</v>
      </c>
      <c r="C966" s="1">
        <v>2</v>
      </c>
      <c r="D966" s="1">
        <v>12</v>
      </c>
      <c r="E966" s="1">
        <v>24</v>
      </c>
      <c r="F966" s="2">
        <v>45696</v>
      </c>
      <c r="G966" s="2">
        <v>45700</v>
      </c>
      <c r="H966" s="1" t="s">
        <v>12</v>
      </c>
      <c r="I966" s="1" t="s">
        <v>3</v>
      </c>
      <c r="J966" s="1">
        <v>4</v>
      </c>
      <c r="K966" s="1" t="s">
        <v>4</v>
      </c>
      <c r="L966" s="1" t="s">
        <v>40</v>
      </c>
      <c r="M966" s="1">
        <f>[1]!orders[[#This Row],[Ship Date]]-[1]!orders[[#This Row],[Order Date]]</f>
        <v>4</v>
      </c>
      <c r="N966" s="1">
        <f>WEEKNUM([1]!orders[[#This Row],[Order Date]])</f>
        <v>6</v>
      </c>
      <c r="O966" t="str" cm="1">
        <f t="array" ref="O966">_xlfn.IFS([1]!orders[[#This Row],[Customer Gender]]="M","Male", [1]!orders[[#This Row],[Customer Gender]]="F","Female", [1]!orders[[#This Row],[Customer Gender]]="O","Other", TRUE,"Unknown")</f>
        <v>Female</v>
      </c>
    </row>
    <row r="967" spans="1:15" x14ac:dyDescent="0.25">
      <c r="A967" t="s">
        <v>1048</v>
      </c>
      <c r="B967" t="s">
        <v>1</v>
      </c>
      <c r="C967">
        <v>4</v>
      </c>
      <c r="D967">
        <v>13.6</v>
      </c>
      <c r="E967">
        <v>54.4</v>
      </c>
      <c r="F967" s="3">
        <v>45696</v>
      </c>
      <c r="G967" s="3">
        <v>45699</v>
      </c>
      <c r="H967" t="s">
        <v>8</v>
      </c>
      <c r="I967" t="s">
        <v>25</v>
      </c>
      <c r="J967">
        <v>4</v>
      </c>
      <c r="K967" t="s">
        <v>4</v>
      </c>
      <c r="L967" t="s">
        <v>40</v>
      </c>
      <c r="M967">
        <f>[1]!orders[[#This Row],[Ship Date]]-[1]!orders[[#This Row],[Order Date]]</f>
        <v>3</v>
      </c>
      <c r="N967">
        <f>WEEKNUM([1]!orders[[#This Row],[Order Date]])</f>
        <v>6</v>
      </c>
      <c r="O967" t="str" cm="1">
        <f t="array" ref="O967">_xlfn.IFS([1]!orders[[#This Row],[Customer Gender]]="M","Male", [1]!orders[[#This Row],[Customer Gender]]="F","Female", [1]!orders[[#This Row],[Customer Gender]]="O","Other", TRUE,"Unknown")</f>
        <v>Male</v>
      </c>
    </row>
    <row r="968" spans="1:15" x14ac:dyDescent="0.25">
      <c r="A968" s="1" t="s">
        <v>1049</v>
      </c>
      <c r="B968" s="1" t="s">
        <v>1</v>
      </c>
      <c r="C968" s="1">
        <v>1</v>
      </c>
      <c r="D968" s="1">
        <v>17.899999999999999</v>
      </c>
      <c r="E968" s="1">
        <v>17.899999999999999</v>
      </c>
      <c r="F968" s="2">
        <v>45696</v>
      </c>
      <c r="G968" s="2">
        <v>45697</v>
      </c>
      <c r="H968" s="1" t="s">
        <v>8</v>
      </c>
      <c r="I968" s="1" t="s">
        <v>36</v>
      </c>
      <c r="J968" s="1">
        <v>4</v>
      </c>
      <c r="K968" s="1" t="s">
        <v>4</v>
      </c>
      <c r="L968" s="1" t="s">
        <v>40</v>
      </c>
      <c r="M968" s="1">
        <f>[1]!orders[[#This Row],[Ship Date]]-[1]!orders[[#This Row],[Order Date]]</f>
        <v>1</v>
      </c>
      <c r="N968" s="1">
        <f>WEEKNUM([1]!orders[[#This Row],[Order Date]])</f>
        <v>6</v>
      </c>
      <c r="O968" t="str" cm="1">
        <f t="array" ref="O968">_xlfn.IFS([1]!orders[[#This Row],[Customer Gender]]="M","Male", [1]!orders[[#This Row],[Customer Gender]]="F","Female", [1]!orders[[#This Row],[Customer Gender]]="O","Other", TRUE,"Unknown")</f>
        <v>Male</v>
      </c>
    </row>
    <row r="969" spans="1:15" x14ac:dyDescent="0.25">
      <c r="A969" t="s">
        <v>1050</v>
      </c>
      <c r="B969" t="s">
        <v>31</v>
      </c>
      <c r="C969">
        <v>2</v>
      </c>
      <c r="D969">
        <v>38.6</v>
      </c>
      <c r="E969">
        <v>77.2</v>
      </c>
      <c r="F969" s="3">
        <v>45696</v>
      </c>
      <c r="G969" s="3">
        <v>45700</v>
      </c>
      <c r="H969" t="s">
        <v>12</v>
      </c>
      <c r="I969" t="s">
        <v>55</v>
      </c>
      <c r="J969">
        <v>4</v>
      </c>
      <c r="K969" t="s">
        <v>4</v>
      </c>
      <c r="L969" t="s">
        <v>44</v>
      </c>
      <c r="M969">
        <f>[1]!orders[[#This Row],[Ship Date]]-[1]!orders[[#This Row],[Order Date]]</f>
        <v>4</v>
      </c>
      <c r="N969">
        <f>WEEKNUM([1]!orders[[#This Row],[Order Date]])</f>
        <v>6</v>
      </c>
      <c r="O969" t="str" cm="1">
        <f t="array" ref="O969">_xlfn.IFS([1]!orders[[#This Row],[Customer Gender]]="M","Male", [1]!orders[[#This Row],[Customer Gender]]="F","Female", [1]!orders[[#This Row],[Customer Gender]]="O","Other", TRUE,"Unknown")</f>
        <v>Female</v>
      </c>
    </row>
    <row r="970" spans="1:15" x14ac:dyDescent="0.25">
      <c r="A970" s="1" t="s">
        <v>1051</v>
      </c>
      <c r="B970" s="1" t="s">
        <v>22</v>
      </c>
      <c r="C970" s="1">
        <v>5</v>
      </c>
      <c r="D970" s="1">
        <v>32.700000000000003</v>
      </c>
      <c r="E970" s="1">
        <v>163.5</v>
      </c>
      <c r="F970" s="2">
        <v>45696</v>
      </c>
      <c r="G970" s="2">
        <v>45697</v>
      </c>
      <c r="H970" s="1" t="s">
        <v>8</v>
      </c>
      <c r="I970" s="1" t="s">
        <v>25</v>
      </c>
      <c r="J970" s="1">
        <v>5</v>
      </c>
      <c r="K970" s="1" t="s">
        <v>4</v>
      </c>
      <c r="L970" s="1" t="s">
        <v>47</v>
      </c>
      <c r="M970" s="1">
        <f>[1]!orders[[#This Row],[Ship Date]]-[1]!orders[[#This Row],[Order Date]]</f>
        <v>1</v>
      </c>
      <c r="N970" s="1">
        <f>WEEKNUM([1]!orders[[#This Row],[Order Date]])</f>
        <v>6</v>
      </c>
      <c r="O970" t="str" cm="1">
        <f t="array" ref="O970">_xlfn.IFS([1]!orders[[#This Row],[Customer Gender]]="M","Male", [1]!orders[[#This Row],[Customer Gender]]="F","Female", [1]!orders[[#This Row],[Customer Gender]]="O","Other", TRUE,"Unknown")</f>
        <v>Male</v>
      </c>
    </row>
    <row r="971" spans="1:15" x14ac:dyDescent="0.25">
      <c r="A971" t="s">
        <v>1052</v>
      </c>
      <c r="B971" t="s">
        <v>15</v>
      </c>
      <c r="C971">
        <v>2</v>
      </c>
      <c r="D971">
        <v>111.4</v>
      </c>
      <c r="E971">
        <v>222.8</v>
      </c>
      <c r="F971" s="3">
        <v>45696</v>
      </c>
      <c r="G971" s="3">
        <v>45697</v>
      </c>
      <c r="H971" t="s">
        <v>12</v>
      </c>
      <c r="I971" t="s">
        <v>20</v>
      </c>
      <c r="J971">
        <v>4</v>
      </c>
      <c r="K971" t="s">
        <v>4</v>
      </c>
      <c r="L971" t="s">
        <v>47</v>
      </c>
      <c r="M971">
        <f>[1]!orders[[#This Row],[Ship Date]]-[1]!orders[[#This Row],[Order Date]]</f>
        <v>1</v>
      </c>
      <c r="N971">
        <f>WEEKNUM([1]!orders[[#This Row],[Order Date]])</f>
        <v>6</v>
      </c>
      <c r="O971" t="str" cm="1">
        <f t="array" ref="O971">_xlfn.IFS([1]!orders[[#This Row],[Customer Gender]]="M","Male", [1]!orders[[#This Row],[Customer Gender]]="F","Female", [1]!orders[[#This Row],[Customer Gender]]="O","Other", TRUE,"Unknown")</f>
        <v>Female</v>
      </c>
    </row>
    <row r="972" spans="1:15" x14ac:dyDescent="0.25">
      <c r="A972" s="1" t="s">
        <v>1053</v>
      </c>
      <c r="B972" s="1" t="s">
        <v>11</v>
      </c>
      <c r="C972" s="1">
        <v>6</v>
      </c>
      <c r="D972" s="1">
        <v>80.3</v>
      </c>
      <c r="E972" s="1">
        <v>481.79999999999995</v>
      </c>
      <c r="F972" s="2">
        <v>45696</v>
      </c>
      <c r="G972" s="2">
        <v>45698</v>
      </c>
      <c r="H972" s="1" t="s">
        <v>12</v>
      </c>
      <c r="I972" s="1" t="s">
        <v>20</v>
      </c>
      <c r="J972" s="1">
        <v>4</v>
      </c>
      <c r="K972" s="1" t="s">
        <v>4</v>
      </c>
      <c r="L972" s="1" t="s">
        <v>47</v>
      </c>
      <c r="M972" s="1">
        <f>[1]!orders[[#This Row],[Ship Date]]-[1]!orders[[#This Row],[Order Date]]</f>
        <v>2</v>
      </c>
      <c r="N972" s="1">
        <f>WEEKNUM([1]!orders[[#This Row],[Order Date]])</f>
        <v>6</v>
      </c>
      <c r="O972" t="str" cm="1">
        <f t="array" ref="O972">_xlfn.IFS([1]!orders[[#This Row],[Customer Gender]]="M","Male", [1]!orders[[#This Row],[Customer Gender]]="F","Female", [1]!orders[[#This Row],[Customer Gender]]="O","Other", TRUE,"Unknown")</f>
        <v>Female</v>
      </c>
    </row>
    <row r="973" spans="1:15" x14ac:dyDescent="0.25">
      <c r="A973" t="s">
        <v>1054</v>
      </c>
      <c r="B973" t="s">
        <v>24</v>
      </c>
      <c r="C973">
        <v>2</v>
      </c>
      <c r="D973">
        <v>58.9</v>
      </c>
      <c r="E973">
        <v>117.8</v>
      </c>
      <c r="F973" s="3">
        <v>45696</v>
      </c>
      <c r="G973" s="3">
        <v>45697</v>
      </c>
      <c r="H973" t="s">
        <v>8</v>
      </c>
      <c r="I973" t="s">
        <v>20</v>
      </c>
      <c r="J973">
        <v>4</v>
      </c>
      <c r="K973" t="s">
        <v>4</v>
      </c>
      <c r="L973" t="s">
        <v>47</v>
      </c>
      <c r="M973">
        <f>[1]!orders[[#This Row],[Ship Date]]-[1]!orders[[#This Row],[Order Date]]</f>
        <v>1</v>
      </c>
      <c r="N973">
        <f>WEEKNUM([1]!orders[[#This Row],[Order Date]])</f>
        <v>6</v>
      </c>
      <c r="O973" t="str" cm="1">
        <f t="array" ref="O973">_xlfn.IFS([1]!orders[[#This Row],[Customer Gender]]="M","Male", [1]!orders[[#This Row],[Customer Gender]]="F","Female", [1]!orders[[#This Row],[Customer Gender]]="O","Other", TRUE,"Unknown")</f>
        <v>Male</v>
      </c>
    </row>
    <row r="974" spans="1:15" x14ac:dyDescent="0.25">
      <c r="A974" s="1" t="s">
        <v>1055</v>
      </c>
      <c r="B974" s="1" t="s">
        <v>24</v>
      </c>
      <c r="C974" s="1">
        <v>3</v>
      </c>
      <c r="D974" s="1">
        <v>51.9</v>
      </c>
      <c r="E974" s="1">
        <v>155.69999999999999</v>
      </c>
      <c r="F974" s="2">
        <v>45696</v>
      </c>
      <c r="G974" s="2">
        <v>45698</v>
      </c>
      <c r="H974" s="1" t="s">
        <v>12</v>
      </c>
      <c r="I974" s="1" t="s">
        <v>20</v>
      </c>
      <c r="J974" s="1">
        <v>2</v>
      </c>
      <c r="K974" s="1" t="s">
        <v>4</v>
      </c>
      <c r="L974" s="1" t="s">
        <v>47</v>
      </c>
      <c r="M974" s="1">
        <f>[1]!orders[[#This Row],[Ship Date]]-[1]!orders[[#This Row],[Order Date]]</f>
        <v>2</v>
      </c>
      <c r="N974" s="1">
        <f>WEEKNUM([1]!orders[[#This Row],[Order Date]])</f>
        <v>6</v>
      </c>
      <c r="O974" t="str" cm="1">
        <f t="array" ref="O974">_xlfn.IFS([1]!orders[[#This Row],[Customer Gender]]="M","Male", [1]!orders[[#This Row],[Customer Gender]]="F","Female", [1]!orders[[#This Row],[Customer Gender]]="O","Other", TRUE,"Unknown")</f>
        <v>Female</v>
      </c>
    </row>
    <row r="975" spans="1:15" x14ac:dyDescent="0.25">
      <c r="A975" t="s">
        <v>1056</v>
      </c>
      <c r="B975" t="s">
        <v>11</v>
      </c>
      <c r="C975">
        <v>3</v>
      </c>
      <c r="D975">
        <v>50.3</v>
      </c>
      <c r="E975">
        <v>150.89999999999998</v>
      </c>
      <c r="F975" s="3">
        <v>45696</v>
      </c>
      <c r="G975" s="3">
        <v>45697</v>
      </c>
      <c r="H975" t="s">
        <v>8</v>
      </c>
      <c r="I975" t="s">
        <v>25</v>
      </c>
      <c r="J975">
        <v>4</v>
      </c>
      <c r="K975" t="s">
        <v>4</v>
      </c>
      <c r="L975" t="s">
        <v>88</v>
      </c>
      <c r="M975">
        <f>[1]!orders[[#This Row],[Ship Date]]-[1]!orders[[#This Row],[Order Date]]</f>
        <v>1</v>
      </c>
      <c r="N975">
        <f>WEEKNUM([1]!orders[[#This Row],[Order Date]])</f>
        <v>6</v>
      </c>
      <c r="O975" t="str" cm="1">
        <f t="array" ref="O975">_xlfn.IFS([1]!orders[[#This Row],[Customer Gender]]="M","Male", [1]!orders[[#This Row],[Customer Gender]]="F","Female", [1]!orders[[#This Row],[Customer Gender]]="O","Other", TRUE,"Unknown")</f>
        <v>Male</v>
      </c>
    </row>
    <row r="976" spans="1:15" x14ac:dyDescent="0.25">
      <c r="A976" s="1" t="s">
        <v>1057</v>
      </c>
      <c r="B976" s="1" t="s">
        <v>52</v>
      </c>
      <c r="C976" s="1">
        <v>6</v>
      </c>
      <c r="D976" s="1">
        <v>45</v>
      </c>
      <c r="E976" s="1">
        <v>270</v>
      </c>
      <c r="F976" s="2">
        <v>45696</v>
      </c>
      <c r="G976" s="2">
        <v>45702</v>
      </c>
      <c r="H976" s="1" t="s">
        <v>12</v>
      </c>
      <c r="I976" s="1" t="s">
        <v>36</v>
      </c>
      <c r="J976" s="1">
        <v>4</v>
      </c>
      <c r="K976" s="1" t="s">
        <v>4</v>
      </c>
      <c r="L976" s="1" t="s">
        <v>57</v>
      </c>
      <c r="M976" s="1">
        <f>[1]!orders[[#This Row],[Ship Date]]-[1]!orders[[#This Row],[Order Date]]</f>
        <v>6</v>
      </c>
      <c r="N976" s="1">
        <f>WEEKNUM([1]!orders[[#This Row],[Order Date]])</f>
        <v>6</v>
      </c>
      <c r="O976" t="str" cm="1">
        <f t="array" ref="O976">_xlfn.IFS([1]!orders[[#This Row],[Customer Gender]]="M","Male", [1]!orders[[#This Row],[Customer Gender]]="F","Female", [1]!orders[[#This Row],[Customer Gender]]="O","Other", TRUE,"Unknown")</f>
        <v>Female</v>
      </c>
    </row>
    <row r="977" spans="1:15" x14ac:dyDescent="0.25">
      <c r="A977" t="s">
        <v>1058</v>
      </c>
      <c r="B977" t="s">
        <v>39</v>
      </c>
      <c r="C977">
        <v>6</v>
      </c>
      <c r="D977">
        <v>44.7</v>
      </c>
      <c r="E977">
        <v>268.20000000000005</v>
      </c>
      <c r="F977" s="3">
        <v>45696</v>
      </c>
      <c r="G977" s="3">
        <v>45698</v>
      </c>
      <c r="H977" t="s">
        <v>12</v>
      </c>
      <c r="I977" t="s">
        <v>25</v>
      </c>
      <c r="J977">
        <v>4</v>
      </c>
      <c r="K977" t="s">
        <v>4</v>
      </c>
      <c r="L977" t="s">
        <v>62</v>
      </c>
      <c r="M977">
        <f>[1]!orders[[#This Row],[Ship Date]]-[1]!orders[[#This Row],[Order Date]]</f>
        <v>2</v>
      </c>
      <c r="N977">
        <f>WEEKNUM([1]!orders[[#This Row],[Order Date]])</f>
        <v>6</v>
      </c>
      <c r="O977" t="str" cm="1">
        <f t="array" ref="O977">_xlfn.IFS([1]!orders[[#This Row],[Customer Gender]]="M","Male", [1]!orders[[#This Row],[Customer Gender]]="F","Female", [1]!orders[[#This Row],[Customer Gender]]="O","Other", TRUE,"Unknown")</f>
        <v>Female</v>
      </c>
    </row>
    <row r="978" spans="1:15" x14ac:dyDescent="0.25">
      <c r="A978" s="1" t="s">
        <v>1059</v>
      </c>
      <c r="B978" s="1" t="s">
        <v>131</v>
      </c>
      <c r="C978" s="1">
        <v>15</v>
      </c>
      <c r="D978" s="1">
        <v>33</v>
      </c>
      <c r="E978" s="1">
        <v>495</v>
      </c>
      <c r="F978" s="2">
        <v>45696</v>
      </c>
      <c r="G978" s="2">
        <v>45697</v>
      </c>
      <c r="H978" s="1" t="s">
        <v>12</v>
      </c>
      <c r="I978" s="1" t="s">
        <v>25</v>
      </c>
      <c r="J978" s="1">
        <v>4</v>
      </c>
      <c r="K978" s="1" t="s">
        <v>4</v>
      </c>
      <c r="L978" s="1" t="s">
        <v>62</v>
      </c>
      <c r="M978" s="1">
        <f>[1]!orders[[#This Row],[Ship Date]]-[1]!orders[[#This Row],[Order Date]]</f>
        <v>1</v>
      </c>
      <c r="N978" s="1">
        <f>WEEKNUM([1]!orders[[#This Row],[Order Date]])</f>
        <v>6</v>
      </c>
      <c r="O978" t="str" cm="1">
        <f t="array" ref="O978">_xlfn.IFS([1]!orders[[#This Row],[Customer Gender]]="M","Male", [1]!orders[[#This Row],[Customer Gender]]="F","Female", [1]!orders[[#This Row],[Customer Gender]]="O","Other", TRUE,"Unknown")</f>
        <v>Female</v>
      </c>
    </row>
    <row r="979" spans="1:15" x14ac:dyDescent="0.25">
      <c r="A979" t="s">
        <v>1060</v>
      </c>
      <c r="B979" t="s">
        <v>7</v>
      </c>
      <c r="C979">
        <v>5</v>
      </c>
      <c r="D979">
        <v>44.9</v>
      </c>
      <c r="E979">
        <v>224.5</v>
      </c>
      <c r="F979" s="3">
        <v>45696</v>
      </c>
      <c r="G979" s="3">
        <v>45699</v>
      </c>
      <c r="H979" t="s">
        <v>12</v>
      </c>
      <c r="I979" t="s">
        <v>25</v>
      </c>
      <c r="J979">
        <v>5</v>
      </c>
      <c r="K979" t="s">
        <v>4</v>
      </c>
      <c r="L979" t="s">
        <v>93</v>
      </c>
      <c r="M979">
        <f>[1]!orders[[#This Row],[Ship Date]]-[1]!orders[[#This Row],[Order Date]]</f>
        <v>3</v>
      </c>
      <c r="N979">
        <f>WEEKNUM([1]!orders[[#This Row],[Order Date]])</f>
        <v>6</v>
      </c>
      <c r="O979" t="str" cm="1">
        <f t="array" ref="O979">_xlfn.IFS([1]!orders[[#This Row],[Customer Gender]]="M","Male", [1]!orders[[#This Row],[Customer Gender]]="F","Female", [1]!orders[[#This Row],[Customer Gender]]="O","Other", TRUE,"Unknown")</f>
        <v>Female</v>
      </c>
    </row>
    <row r="980" spans="1:15" x14ac:dyDescent="0.25">
      <c r="A980" s="1" t="s">
        <v>1061</v>
      </c>
      <c r="B980" s="1" t="s">
        <v>39</v>
      </c>
      <c r="C980" s="1">
        <v>2</v>
      </c>
      <c r="D980" s="1">
        <v>34.6</v>
      </c>
      <c r="E980" s="1">
        <v>69.2</v>
      </c>
      <c r="F980" s="2">
        <v>45696</v>
      </c>
      <c r="G980" s="2">
        <v>45700</v>
      </c>
      <c r="H980" s="1" t="s">
        <v>12</v>
      </c>
      <c r="I980" s="1" t="s">
        <v>3</v>
      </c>
      <c r="J980" s="1">
        <v>3</v>
      </c>
      <c r="K980" s="1" t="s">
        <v>4</v>
      </c>
      <c r="L980" s="1" t="s">
        <v>95</v>
      </c>
      <c r="M980" s="1">
        <f>[1]!orders[[#This Row],[Ship Date]]-[1]!orders[[#This Row],[Order Date]]</f>
        <v>4</v>
      </c>
      <c r="N980" s="1">
        <f>WEEKNUM([1]!orders[[#This Row],[Order Date]])</f>
        <v>6</v>
      </c>
      <c r="O980" t="str" cm="1">
        <f t="array" ref="O980">_xlfn.IFS([1]!orders[[#This Row],[Customer Gender]]="M","Male", [1]!orders[[#This Row],[Customer Gender]]="F","Female", [1]!orders[[#This Row],[Customer Gender]]="O","Other", TRUE,"Unknown")</f>
        <v>Female</v>
      </c>
    </row>
    <row r="981" spans="1:15" x14ac:dyDescent="0.25">
      <c r="A981" t="s">
        <v>1062</v>
      </c>
      <c r="B981" t="s">
        <v>27</v>
      </c>
      <c r="C981">
        <v>7</v>
      </c>
      <c r="D981">
        <v>47.1</v>
      </c>
      <c r="E981">
        <v>329.7</v>
      </c>
      <c r="F981" s="3">
        <v>45696</v>
      </c>
      <c r="G981" s="3">
        <v>45701</v>
      </c>
      <c r="H981" t="s">
        <v>12</v>
      </c>
      <c r="I981" t="s">
        <v>3</v>
      </c>
      <c r="J981">
        <v>4</v>
      </c>
      <c r="K981" t="s">
        <v>4</v>
      </c>
      <c r="L981" t="s">
        <v>67</v>
      </c>
      <c r="M981">
        <f>[1]!orders[[#This Row],[Ship Date]]-[1]!orders[[#This Row],[Order Date]]</f>
        <v>5</v>
      </c>
      <c r="N981">
        <f>WEEKNUM([1]!orders[[#This Row],[Order Date]])</f>
        <v>6</v>
      </c>
      <c r="O981" t="str" cm="1">
        <f t="array" ref="O981">_xlfn.IFS([1]!orders[[#This Row],[Customer Gender]]="M","Male", [1]!orders[[#This Row],[Customer Gender]]="F","Female", [1]!orders[[#This Row],[Customer Gender]]="O","Other", TRUE,"Unknown")</f>
        <v>Female</v>
      </c>
    </row>
    <row r="982" spans="1:15" x14ac:dyDescent="0.25">
      <c r="A982" s="1" t="s">
        <v>1063</v>
      </c>
      <c r="B982" s="1" t="s">
        <v>17</v>
      </c>
      <c r="C982" s="1">
        <v>5</v>
      </c>
      <c r="D982" s="1">
        <v>26.1</v>
      </c>
      <c r="E982" s="1">
        <v>130.5</v>
      </c>
      <c r="F982" s="2">
        <v>45696</v>
      </c>
      <c r="G982" s="2">
        <v>45701</v>
      </c>
      <c r="H982" s="1" t="s">
        <v>8</v>
      </c>
      <c r="I982" s="1" t="s">
        <v>3</v>
      </c>
      <c r="J982" s="1">
        <v>5</v>
      </c>
      <c r="K982" s="1" t="s">
        <v>4</v>
      </c>
      <c r="L982" s="1" t="s">
        <v>100</v>
      </c>
      <c r="M982" s="1">
        <f>[1]!orders[[#This Row],[Ship Date]]-[1]!orders[[#This Row],[Order Date]]</f>
        <v>5</v>
      </c>
      <c r="N982" s="1">
        <f>WEEKNUM([1]!orders[[#This Row],[Order Date]])</f>
        <v>6</v>
      </c>
      <c r="O982" t="str" cm="1">
        <f t="array" ref="O982">_xlfn.IFS([1]!orders[[#This Row],[Customer Gender]]="M","Male", [1]!orders[[#This Row],[Customer Gender]]="F","Female", [1]!orders[[#This Row],[Customer Gender]]="O","Other", TRUE,"Unknown")</f>
        <v>Male</v>
      </c>
    </row>
    <row r="983" spans="1:15" x14ac:dyDescent="0.25">
      <c r="A983" t="s">
        <v>1064</v>
      </c>
      <c r="B983" t="s">
        <v>54</v>
      </c>
      <c r="C983">
        <v>5</v>
      </c>
      <c r="D983">
        <v>66.8</v>
      </c>
      <c r="E983">
        <v>334</v>
      </c>
      <c r="F983" s="3">
        <v>45696</v>
      </c>
      <c r="G983" s="3">
        <v>45699</v>
      </c>
      <c r="H983" t="s">
        <v>12</v>
      </c>
      <c r="I983" t="s">
        <v>3</v>
      </c>
      <c r="J983">
        <v>4</v>
      </c>
      <c r="K983" t="s">
        <v>4</v>
      </c>
      <c r="L983" t="s">
        <v>100</v>
      </c>
      <c r="M983">
        <f>[1]!orders[[#This Row],[Ship Date]]-[1]!orders[[#This Row],[Order Date]]</f>
        <v>3</v>
      </c>
      <c r="N983">
        <f>WEEKNUM([1]!orders[[#This Row],[Order Date]])</f>
        <v>6</v>
      </c>
      <c r="O983" t="str" cm="1">
        <f t="array" ref="O983">_xlfn.IFS([1]!orders[[#This Row],[Customer Gender]]="M","Male", [1]!orders[[#This Row],[Customer Gender]]="F","Female", [1]!orders[[#This Row],[Customer Gender]]="O","Other", TRUE,"Unknown")</f>
        <v>Female</v>
      </c>
    </row>
    <row r="984" spans="1:15" x14ac:dyDescent="0.25">
      <c r="A984" s="1" t="s">
        <v>1065</v>
      </c>
      <c r="B984" s="1" t="s">
        <v>11</v>
      </c>
      <c r="C984" s="1">
        <v>2</v>
      </c>
      <c r="D984" s="1">
        <v>167.9</v>
      </c>
      <c r="E984" s="1">
        <v>335.8</v>
      </c>
      <c r="F984" s="2">
        <v>45696</v>
      </c>
      <c r="G984" s="2">
        <v>45697</v>
      </c>
      <c r="H984" s="1" t="s">
        <v>12</v>
      </c>
      <c r="I984" s="1" t="s">
        <v>36</v>
      </c>
      <c r="J984" s="1">
        <v>5</v>
      </c>
      <c r="K984" s="1" t="s">
        <v>4</v>
      </c>
      <c r="L984" s="1" t="s">
        <v>100</v>
      </c>
      <c r="M984" s="1">
        <f>[1]!orders[[#This Row],[Ship Date]]-[1]!orders[[#This Row],[Order Date]]</f>
        <v>1</v>
      </c>
      <c r="N984" s="1">
        <f>WEEKNUM([1]!orders[[#This Row],[Order Date]])</f>
        <v>6</v>
      </c>
      <c r="O984" t="str" cm="1">
        <f t="array" ref="O984">_xlfn.IFS([1]!orders[[#This Row],[Customer Gender]]="M","Male", [1]!orders[[#This Row],[Customer Gender]]="F","Female", [1]!orders[[#This Row],[Customer Gender]]="O","Other", TRUE,"Unknown")</f>
        <v>Female</v>
      </c>
    </row>
    <row r="985" spans="1:15" x14ac:dyDescent="0.25">
      <c r="A985" t="s">
        <v>1066</v>
      </c>
      <c r="B985" t="s">
        <v>39</v>
      </c>
      <c r="C985">
        <v>9</v>
      </c>
      <c r="D985">
        <v>34.6</v>
      </c>
      <c r="E985">
        <v>311.40000000000003</v>
      </c>
      <c r="F985" s="3">
        <v>45696</v>
      </c>
      <c r="G985" s="3">
        <v>45697</v>
      </c>
      <c r="H985" t="s">
        <v>12</v>
      </c>
      <c r="I985" t="s">
        <v>25</v>
      </c>
      <c r="J985">
        <v>3</v>
      </c>
      <c r="K985" t="s">
        <v>4</v>
      </c>
      <c r="L985" t="s">
        <v>100</v>
      </c>
      <c r="M985">
        <f>[1]!orders[[#This Row],[Ship Date]]-[1]!orders[[#This Row],[Order Date]]</f>
        <v>1</v>
      </c>
      <c r="N985">
        <f>WEEKNUM([1]!orders[[#This Row],[Order Date]])</f>
        <v>6</v>
      </c>
      <c r="O985" t="str" cm="1">
        <f t="array" ref="O985">_xlfn.IFS([1]!orders[[#This Row],[Customer Gender]]="M","Male", [1]!orders[[#This Row],[Customer Gender]]="F","Female", [1]!orders[[#This Row],[Customer Gender]]="O","Other", TRUE,"Unknown")</f>
        <v>Female</v>
      </c>
    </row>
    <row r="986" spans="1:15" x14ac:dyDescent="0.25">
      <c r="A986" s="1" t="s">
        <v>1067</v>
      </c>
      <c r="B986" s="1" t="s">
        <v>29</v>
      </c>
      <c r="C986" s="1">
        <v>3</v>
      </c>
      <c r="D986" s="1">
        <v>35.1</v>
      </c>
      <c r="E986" s="1">
        <v>105.30000000000001</v>
      </c>
      <c r="F986" s="2">
        <v>45697</v>
      </c>
      <c r="G986" s="2">
        <v>45701</v>
      </c>
      <c r="H986" s="1" t="s">
        <v>8</v>
      </c>
      <c r="I986" s="1" t="s">
        <v>55</v>
      </c>
      <c r="J986" s="1">
        <v>5</v>
      </c>
      <c r="K986" s="1" t="s">
        <v>4</v>
      </c>
      <c r="L986" s="1" t="s">
        <v>9</v>
      </c>
      <c r="M986" s="1">
        <f>[1]!orders[[#This Row],[Ship Date]]-[1]!orders[[#This Row],[Order Date]]</f>
        <v>4</v>
      </c>
      <c r="N986" s="1">
        <f>WEEKNUM([1]!orders[[#This Row],[Order Date]])</f>
        <v>7</v>
      </c>
      <c r="O986" t="str" cm="1">
        <f t="array" ref="O986">_xlfn.IFS([1]!orders[[#This Row],[Customer Gender]]="M","Male", [1]!orders[[#This Row],[Customer Gender]]="F","Female", [1]!orders[[#This Row],[Customer Gender]]="O","Other", TRUE,"Unknown")</f>
        <v>Male</v>
      </c>
    </row>
    <row r="987" spans="1:15" x14ac:dyDescent="0.25">
      <c r="A987" t="s">
        <v>1068</v>
      </c>
      <c r="B987" t="s">
        <v>24</v>
      </c>
      <c r="C987">
        <v>4</v>
      </c>
      <c r="D987">
        <v>104.5</v>
      </c>
      <c r="E987">
        <v>418</v>
      </c>
      <c r="F987" s="3">
        <v>45697</v>
      </c>
      <c r="G987" s="3">
        <v>45698</v>
      </c>
      <c r="H987" t="s">
        <v>8</v>
      </c>
      <c r="I987" t="s">
        <v>20</v>
      </c>
      <c r="J987">
        <v>3</v>
      </c>
      <c r="K987" t="s">
        <v>4</v>
      </c>
      <c r="L987" t="s">
        <v>9</v>
      </c>
      <c r="M987">
        <f>[1]!orders[[#This Row],[Ship Date]]-[1]!orders[[#This Row],[Order Date]]</f>
        <v>1</v>
      </c>
      <c r="N987">
        <f>WEEKNUM([1]!orders[[#This Row],[Order Date]])</f>
        <v>7</v>
      </c>
      <c r="O987" t="str" cm="1">
        <f t="array" ref="O987">_xlfn.IFS([1]!orders[[#This Row],[Customer Gender]]="M","Male", [1]!orders[[#This Row],[Customer Gender]]="F","Female", [1]!orders[[#This Row],[Customer Gender]]="O","Other", TRUE,"Unknown")</f>
        <v>Male</v>
      </c>
    </row>
    <row r="988" spans="1:15" x14ac:dyDescent="0.25">
      <c r="A988" s="1" t="s">
        <v>1069</v>
      </c>
      <c r="B988" s="1" t="s">
        <v>29</v>
      </c>
      <c r="C988" s="1">
        <v>1</v>
      </c>
      <c r="D988" s="1">
        <v>37.9</v>
      </c>
      <c r="E988" s="1">
        <v>37.9</v>
      </c>
      <c r="F988" s="2">
        <v>45697</v>
      </c>
      <c r="G988" s="2">
        <v>45699</v>
      </c>
      <c r="H988" s="1" t="s">
        <v>2</v>
      </c>
      <c r="I988" s="1" t="s">
        <v>20</v>
      </c>
      <c r="J988" s="1">
        <v>5</v>
      </c>
      <c r="K988" s="1" t="s">
        <v>4</v>
      </c>
      <c r="L988" s="1" t="s">
        <v>13</v>
      </c>
      <c r="M988" s="1">
        <f>[1]!orders[[#This Row],[Ship Date]]-[1]!orders[[#This Row],[Order Date]]</f>
        <v>2</v>
      </c>
      <c r="N988" s="1">
        <f>WEEKNUM([1]!orders[[#This Row],[Order Date]])</f>
        <v>7</v>
      </c>
      <c r="O988" t="str" cm="1">
        <f t="array" ref="O988">_xlfn.IFS([1]!orders[[#This Row],[Customer Gender]]="M","Male", [1]!orders[[#This Row],[Customer Gender]]="F","Female", [1]!orders[[#This Row],[Customer Gender]]="O","Other", TRUE,"Unknown")</f>
        <v>Unknown</v>
      </c>
    </row>
    <row r="989" spans="1:15" x14ac:dyDescent="0.25">
      <c r="A989" t="s">
        <v>1070</v>
      </c>
      <c r="B989" t="s">
        <v>17</v>
      </c>
      <c r="C989">
        <v>3</v>
      </c>
      <c r="D989">
        <v>25.5</v>
      </c>
      <c r="E989">
        <v>76.5</v>
      </c>
      <c r="F989" s="3">
        <v>45697</v>
      </c>
      <c r="G989" s="3">
        <v>45700</v>
      </c>
      <c r="H989" t="s">
        <v>8</v>
      </c>
      <c r="I989" t="s">
        <v>36</v>
      </c>
      <c r="J989">
        <v>4</v>
      </c>
      <c r="K989" t="s">
        <v>4</v>
      </c>
      <c r="L989" t="s">
        <v>13</v>
      </c>
      <c r="M989">
        <f>[1]!orders[[#This Row],[Ship Date]]-[1]!orders[[#This Row],[Order Date]]</f>
        <v>3</v>
      </c>
      <c r="N989">
        <f>WEEKNUM([1]!orders[[#This Row],[Order Date]])</f>
        <v>7</v>
      </c>
      <c r="O989" t="str" cm="1">
        <f t="array" ref="O989">_xlfn.IFS([1]!orders[[#This Row],[Customer Gender]]="M","Male", [1]!orders[[#This Row],[Customer Gender]]="F","Female", [1]!orders[[#This Row],[Customer Gender]]="O","Other", TRUE,"Unknown")</f>
        <v>Male</v>
      </c>
    </row>
    <row r="990" spans="1:15" x14ac:dyDescent="0.25">
      <c r="A990" s="1" t="s">
        <v>1071</v>
      </c>
      <c r="B990" s="1" t="s">
        <v>1</v>
      </c>
      <c r="C990" s="1">
        <v>3</v>
      </c>
      <c r="D990" s="1">
        <v>32</v>
      </c>
      <c r="E990" s="1">
        <v>96</v>
      </c>
      <c r="F990" s="2">
        <v>45697</v>
      </c>
      <c r="G990" s="2">
        <v>45701</v>
      </c>
      <c r="H990" s="1" t="s">
        <v>12</v>
      </c>
      <c r="I990" s="1" t="s">
        <v>20</v>
      </c>
      <c r="J990" s="1">
        <v>4</v>
      </c>
      <c r="K990" s="1" t="s">
        <v>4</v>
      </c>
      <c r="L990" s="1" t="s">
        <v>132</v>
      </c>
      <c r="M990" s="1">
        <f>[1]!orders[[#This Row],[Ship Date]]-[1]!orders[[#This Row],[Order Date]]</f>
        <v>4</v>
      </c>
      <c r="N990" s="1">
        <f>WEEKNUM([1]!orders[[#This Row],[Order Date]])</f>
        <v>7</v>
      </c>
      <c r="O990" t="str" cm="1">
        <f t="array" ref="O990">_xlfn.IFS([1]!orders[[#This Row],[Customer Gender]]="M","Male", [1]!orders[[#This Row],[Customer Gender]]="F","Female", [1]!orders[[#This Row],[Customer Gender]]="O","Other", TRUE,"Unknown")</f>
        <v>Female</v>
      </c>
    </row>
    <row r="991" spans="1:15" x14ac:dyDescent="0.25">
      <c r="A991" t="s">
        <v>1072</v>
      </c>
      <c r="B991" t="s">
        <v>7</v>
      </c>
      <c r="C991">
        <v>1</v>
      </c>
      <c r="D991">
        <v>47.1</v>
      </c>
      <c r="E991">
        <v>47.1</v>
      </c>
      <c r="F991" s="3">
        <v>45697</v>
      </c>
      <c r="G991" s="3">
        <v>45698</v>
      </c>
      <c r="H991" t="s">
        <v>12</v>
      </c>
      <c r="I991" t="s">
        <v>3</v>
      </c>
      <c r="J991">
        <v>4</v>
      </c>
      <c r="K991" t="s">
        <v>4</v>
      </c>
      <c r="L991" t="s">
        <v>319</v>
      </c>
      <c r="M991">
        <f>[1]!orders[[#This Row],[Ship Date]]-[1]!orders[[#This Row],[Order Date]]</f>
        <v>1</v>
      </c>
      <c r="N991">
        <f>WEEKNUM([1]!orders[[#This Row],[Order Date]])</f>
        <v>7</v>
      </c>
      <c r="O991" t="str" cm="1">
        <f t="array" ref="O991">_xlfn.IFS([1]!orders[[#This Row],[Customer Gender]]="M","Male", [1]!orders[[#This Row],[Customer Gender]]="F","Female", [1]!orders[[#This Row],[Customer Gender]]="O","Other", TRUE,"Unknown")</f>
        <v>Female</v>
      </c>
    </row>
    <row r="992" spans="1:15" x14ac:dyDescent="0.25">
      <c r="A992" s="1" t="s">
        <v>1073</v>
      </c>
      <c r="B992" s="1" t="s">
        <v>24</v>
      </c>
      <c r="C992" s="1">
        <v>2</v>
      </c>
      <c r="D992" s="1">
        <v>50.6</v>
      </c>
      <c r="E992" s="1">
        <v>101.2</v>
      </c>
      <c r="F992" s="2">
        <v>45697</v>
      </c>
      <c r="G992" s="2">
        <v>45703</v>
      </c>
      <c r="H992" s="1" t="s">
        <v>2</v>
      </c>
      <c r="I992" s="1" t="s">
        <v>3</v>
      </c>
      <c r="J992" s="1">
        <v>4</v>
      </c>
      <c r="K992" s="1" t="s">
        <v>4</v>
      </c>
      <c r="L992" s="1" t="s">
        <v>18</v>
      </c>
      <c r="M992" s="1">
        <f>[1]!orders[[#This Row],[Ship Date]]-[1]!orders[[#This Row],[Order Date]]</f>
        <v>6</v>
      </c>
      <c r="N992" s="1">
        <f>WEEKNUM([1]!orders[[#This Row],[Order Date]])</f>
        <v>7</v>
      </c>
      <c r="O992" t="str" cm="1">
        <f t="array" ref="O992">_xlfn.IFS([1]!orders[[#This Row],[Customer Gender]]="M","Male", [1]!orders[[#This Row],[Customer Gender]]="F","Female", [1]!orders[[#This Row],[Customer Gender]]="O","Other", TRUE,"Unknown")</f>
        <v>Unknown</v>
      </c>
    </row>
    <row r="993" spans="1:15" x14ac:dyDescent="0.25">
      <c r="A993" t="s">
        <v>1074</v>
      </c>
      <c r="B993" t="s">
        <v>24</v>
      </c>
      <c r="C993">
        <v>5</v>
      </c>
      <c r="D993">
        <v>81.7</v>
      </c>
      <c r="E993">
        <v>408.5</v>
      </c>
      <c r="F993" s="3">
        <v>45697</v>
      </c>
      <c r="G993" s="3">
        <v>45698</v>
      </c>
      <c r="H993" t="s">
        <v>12</v>
      </c>
      <c r="I993" t="s">
        <v>20</v>
      </c>
      <c r="J993">
        <v>5</v>
      </c>
      <c r="K993" t="s">
        <v>4</v>
      </c>
      <c r="L993" t="s">
        <v>18</v>
      </c>
      <c r="M993">
        <f>[1]!orders[[#This Row],[Ship Date]]-[1]!orders[[#This Row],[Order Date]]</f>
        <v>1</v>
      </c>
      <c r="N993">
        <f>WEEKNUM([1]!orders[[#This Row],[Order Date]])</f>
        <v>7</v>
      </c>
      <c r="O993" t="str" cm="1">
        <f t="array" ref="O993">_xlfn.IFS([1]!orders[[#This Row],[Customer Gender]]="M","Male", [1]!orders[[#This Row],[Customer Gender]]="F","Female", [1]!orders[[#This Row],[Customer Gender]]="O","Other", TRUE,"Unknown")</f>
        <v>Female</v>
      </c>
    </row>
    <row r="994" spans="1:15" x14ac:dyDescent="0.25">
      <c r="A994" s="1" t="s">
        <v>1075</v>
      </c>
      <c r="B994" s="1" t="s">
        <v>22</v>
      </c>
      <c r="C994" s="1">
        <v>2</v>
      </c>
      <c r="D994" s="1">
        <v>50.7</v>
      </c>
      <c r="E994" s="1">
        <v>101.4</v>
      </c>
      <c r="F994" s="2">
        <v>45697</v>
      </c>
      <c r="G994" s="2">
        <v>45698</v>
      </c>
      <c r="H994" s="1" t="s">
        <v>74</v>
      </c>
      <c r="I994" s="1" t="s">
        <v>25</v>
      </c>
      <c r="J994" s="1">
        <v>5</v>
      </c>
      <c r="K994" s="1" t="s">
        <v>4</v>
      </c>
      <c r="L994" s="1" t="s">
        <v>18</v>
      </c>
      <c r="M994" s="1">
        <f>[1]!orders[[#This Row],[Ship Date]]-[1]!orders[[#This Row],[Order Date]]</f>
        <v>1</v>
      </c>
      <c r="N994" s="1">
        <f>WEEKNUM([1]!orders[[#This Row],[Order Date]])</f>
        <v>7</v>
      </c>
      <c r="O994" t="str" cm="1">
        <f t="array" ref="O994">_xlfn.IFS([1]!orders[[#This Row],[Customer Gender]]="M","Male", [1]!orders[[#This Row],[Customer Gender]]="F","Female", [1]!orders[[#This Row],[Customer Gender]]="O","Other", TRUE,"Unknown")</f>
        <v>Other</v>
      </c>
    </row>
    <row r="995" spans="1:15" x14ac:dyDescent="0.25">
      <c r="A995" t="s">
        <v>1076</v>
      </c>
      <c r="B995" t="s">
        <v>11</v>
      </c>
      <c r="C995">
        <v>19</v>
      </c>
      <c r="D995">
        <v>67.3</v>
      </c>
      <c r="E995">
        <v>1278.7</v>
      </c>
      <c r="F995" s="3">
        <v>45697</v>
      </c>
      <c r="G995" s="3">
        <v>45701</v>
      </c>
      <c r="H995" t="s">
        <v>12</v>
      </c>
      <c r="I995" t="s">
        <v>25</v>
      </c>
      <c r="J995">
        <v>4</v>
      </c>
      <c r="K995" t="s">
        <v>4</v>
      </c>
      <c r="L995" t="s">
        <v>18</v>
      </c>
      <c r="M995">
        <f>[1]!orders[[#This Row],[Ship Date]]-[1]!orders[[#This Row],[Order Date]]</f>
        <v>4</v>
      </c>
      <c r="N995">
        <f>WEEKNUM([1]!orders[[#This Row],[Order Date]])</f>
        <v>7</v>
      </c>
      <c r="O995" t="str" cm="1">
        <f t="array" ref="O995">_xlfn.IFS([1]!orders[[#This Row],[Customer Gender]]="M","Male", [1]!orders[[#This Row],[Customer Gender]]="F","Female", [1]!orders[[#This Row],[Customer Gender]]="O","Other", TRUE,"Unknown")</f>
        <v>Female</v>
      </c>
    </row>
    <row r="996" spans="1:15" x14ac:dyDescent="0.25">
      <c r="A996" s="1" t="s">
        <v>1077</v>
      </c>
      <c r="B996" s="1" t="s">
        <v>11</v>
      </c>
      <c r="C996" s="1">
        <v>4</v>
      </c>
      <c r="D996" s="1">
        <v>64.8</v>
      </c>
      <c r="E996" s="1">
        <v>259.2</v>
      </c>
      <c r="F996" s="2">
        <v>45697</v>
      </c>
      <c r="G996" s="2">
        <v>45700</v>
      </c>
      <c r="H996" s="1" t="s">
        <v>12</v>
      </c>
      <c r="I996" s="1" t="s">
        <v>36</v>
      </c>
      <c r="J996" s="1">
        <v>4</v>
      </c>
      <c r="K996" s="1" t="s">
        <v>4</v>
      </c>
      <c r="L996" s="1" t="s">
        <v>18</v>
      </c>
      <c r="M996" s="1">
        <f>[1]!orders[[#This Row],[Ship Date]]-[1]!orders[[#This Row],[Order Date]]</f>
        <v>3</v>
      </c>
      <c r="N996" s="1">
        <f>WEEKNUM([1]!orders[[#This Row],[Order Date]])</f>
        <v>7</v>
      </c>
      <c r="O996" t="str" cm="1">
        <f t="array" ref="O996">_xlfn.IFS([1]!orders[[#This Row],[Customer Gender]]="M","Male", [1]!orders[[#This Row],[Customer Gender]]="F","Female", [1]!orders[[#This Row],[Customer Gender]]="O","Other", TRUE,"Unknown")</f>
        <v>Female</v>
      </c>
    </row>
    <row r="997" spans="1:15" x14ac:dyDescent="0.25">
      <c r="A997" t="s">
        <v>1078</v>
      </c>
      <c r="B997" t="s">
        <v>22</v>
      </c>
      <c r="C997">
        <v>22</v>
      </c>
      <c r="D997">
        <v>61.3</v>
      </c>
      <c r="E997">
        <v>1348.6</v>
      </c>
      <c r="F997" s="3">
        <v>45697</v>
      </c>
      <c r="G997" s="3">
        <v>45698</v>
      </c>
      <c r="H997" t="s">
        <v>12</v>
      </c>
      <c r="I997" t="s">
        <v>3</v>
      </c>
      <c r="J997">
        <v>5</v>
      </c>
      <c r="K997" t="s">
        <v>4</v>
      </c>
      <c r="L997" t="s">
        <v>18</v>
      </c>
      <c r="M997">
        <f>[1]!orders[[#This Row],[Ship Date]]-[1]!orders[[#This Row],[Order Date]]</f>
        <v>1</v>
      </c>
      <c r="N997">
        <f>WEEKNUM([1]!orders[[#This Row],[Order Date]])</f>
        <v>7</v>
      </c>
      <c r="O997" t="str" cm="1">
        <f t="array" ref="O997">_xlfn.IFS([1]!orders[[#This Row],[Customer Gender]]="M","Male", [1]!orders[[#This Row],[Customer Gender]]="F","Female", [1]!orders[[#This Row],[Customer Gender]]="O","Other", TRUE,"Unknown")</f>
        <v>Female</v>
      </c>
    </row>
    <row r="998" spans="1:15" x14ac:dyDescent="0.25">
      <c r="A998" s="1" t="s">
        <v>1079</v>
      </c>
      <c r="B998" s="1" t="s">
        <v>66</v>
      </c>
      <c r="C998" s="1">
        <v>1</v>
      </c>
      <c r="D998" s="1">
        <v>32.9</v>
      </c>
      <c r="E998" s="1">
        <v>32.9</v>
      </c>
      <c r="F998" s="2">
        <v>45697</v>
      </c>
      <c r="G998" s="2">
        <v>45700</v>
      </c>
      <c r="H998" s="1" t="s">
        <v>12</v>
      </c>
      <c r="I998" s="1" t="s">
        <v>55</v>
      </c>
      <c r="J998" s="1">
        <v>4</v>
      </c>
      <c r="K998" s="1" t="s">
        <v>4</v>
      </c>
      <c r="L998" s="1" t="s">
        <v>18</v>
      </c>
      <c r="M998" s="1">
        <f>[1]!orders[[#This Row],[Ship Date]]-[1]!orders[[#This Row],[Order Date]]</f>
        <v>3</v>
      </c>
      <c r="N998" s="1">
        <f>WEEKNUM([1]!orders[[#This Row],[Order Date]])</f>
        <v>7</v>
      </c>
      <c r="O998" t="str" cm="1">
        <f t="array" ref="O998">_xlfn.IFS([1]!orders[[#This Row],[Customer Gender]]="M","Male", [1]!orders[[#This Row],[Customer Gender]]="F","Female", [1]!orders[[#This Row],[Customer Gender]]="O","Other", TRUE,"Unknown")</f>
        <v>Female</v>
      </c>
    </row>
    <row r="999" spans="1:15" x14ac:dyDescent="0.25">
      <c r="A999" t="s">
        <v>1080</v>
      </c>
      <c r="B999" t="s">
        <v>24</v>
      </c>
      <c r="C999">
        <v>2</v>
      </c>
      <c r="D999">
        <v>100.8</v>
      </c>
      <c r="E999">
        <v>201.6</v>
      </c>
      <c r="F999" s="3">
        <v>45697</v>
      </c>
      <c r="G999" s="3">
        <v>45700</v>
      </c>
      <c r="H999" t="s">
        <v>12</v>
      </c>
      <c r="I999" t="s">
        <v>3</v>
      </c>
      <c r="J999">
        <v>4</v>
      </c>
      <c r="K999" t="s">
        <v>4</v>
      </c>
      <c r="L999" t="s">
        <v>18</v>
      </c>
      <c r="M999">
        <f>[1]!orders[[#This Row],[Ship Date]]-[1]!orders[[#This Row],[Order Date]]</f>
        <v>3</v>
      </c>
      <c r="N999">
        <f>WEEKNUM([1]!orders[[#This Row],[Order Date]])</f>
        <v>7</v>
      </c>
      <c r="O999" t="str" cm="1">
        <f t="array" ref="O999">_xlfn.IFS([1]!orders[[#This Row],[Customer Gender]]="M","Male", [1]!orders[[#This Row],[Customer Gender]]="F","Female", [1]!orders[[#This Row],[Customer Gender]]="O","Other", TRUE,"Unknown")</f>
        <v>Female</v>
      </c>
    </row>
    <row r="1000" spans="1:15" x14ac:dyDescent="0.25">
      <c r="A1000" s="1" t="s">
        <v>1081</v>
      </c>
      <c r="B1000" s="1" t="s">
        <v>29</v>
      </c>
      <c r="C1000" s="1">
        <v>4</v>
      </c>
      <c r="D1000" s="1">
        <v>25.1</v>
      </c>
      <c r="E1000" s="1">
        <v>100.4</v>
      </c>
      <c r="F1000" s="2">
        <v>45697</v>
      </c>
      <c r="G1000" s="2">
        <v>45699</v>
      </c>
      <c r="H1000" s="1" t="s">
        <v>12</v>
      </c>
      <c r="I1000" s="1" t="s">
        <v>20</v>
      </c>
      <c r="J1000" s="1">
        <v>4</v>
      </c>
      <c r="K1000" s="1" t="s">
        <v>4</v>
      </c>
      <c r="L1000" s="1" t="s">
        <v>18</v>
      </c>
      <c r="M1000" s="1">
        <f>[1]!orders[[#This Row],[Ship Date]]-[1]!orders[[#This Row],[Order Date]]</f>
        <v>2</v>
      </c>
      <c r="N1000" s="1">
        <f>WEEKNUM([1]!orders[[#This Row],[Order Date]])</f>
        <v>7</v>
      </c>
      <c r="O1000" t="str" cm="1">
        <f t="array" ref="O1000">_xlfn.IFS([1]!orders[[#This Row],[Customer Gender]]="M","Male", [1]!orders[[#This Row],[Customer Gender]]="F","Female", [1]!orders[[#This Row],[Customer Gender]]="O","Other", TRUE,"Unknown")</f>
        <v>Female</v>
      </c>
    </row>
    <row r="1001" spans="1:15" x14ac:dyDescent="0.25">
      <c r="A1001" t="s">
        <v>1082</v>
      </c>
      <c r="B1001" t="s">
        <v>120</v>
      </c>
      <c r="C1001">
        <v>1</v>
      </c>
      <c r="D1001">
        <v>48.5</v>
      </c>
      <c r="E1001">
        <v>48.5</v>
      </c>
      <c r="F1001" s="3">
        <v>45697</v>
      </c>
      <c r="G1001" s="3">
        <v>45698</v>
      </c>
      <c r="H1001" t="s">
        <v>12</v>
      </c>
      <c r="I1001" t="s">
        <v>3</v>
      </c>
      <c r="J1001">
        <v>3</v>
      </c>
      <c r="K1001" t="s">
        <v>4</v>
      </c>
      <c r="L1001" t="s">
        <v>18</v>
      </c>
      <c r="M1001">
        <f>[1]!orders[[#This Row],[Ship Date]]-[1]!orders[[#This Row],[Order Date]]</f>
        <v>1</v>
      </c>
      <c r="N1001">
        <f>WEEKNUM([1]!orders[[#This Row],[Order Date]])</f>
        <v>7</v>
      </c>
      <c r="O1001" t="str" cm="1">
        <f t="array" ref="O1001">_xlfn.IFS([1]!orders[[#This Row],[Customer Gender]]="M","Male", [1]!orders[[#This Row],[Customer Gender]]="F","Female", [1]!orders[[#This Row],[Customer Gender]]="O","Other", TRUE,"Unknown")</f>
        <v>Female</v>
      </c>
    </row>
    <row r="1002" spans="1:15" x14ac:dyDescent="0.25">
      <c r="A1002" s="1" t="s">
        <v>1083</v>
      </c>
      <c r="B1002" s="1" t="s">
        <v>27</v>
      </c>
      <c r="C1002" s="1">
        <v>2</v>
      </c>
      <c r="D1002" s="1">
        <v>33.6</v>
      </c>
      <c r="E1002" s="1">
        <v>67.2</v>
      </c>
      <c r="F1002" s="2">
        <v>45697</v>
      </c>
      <c r="G1002" s="2">
        <v>45701</v>
      </c>
      <c r="H1002" s="1" t="s">
        <v>12</v>
      </c>
      <c r="I1002" s="1" t="s">
        <v>25</v>
      </c>
      <c r="J1002" s="1">
        <v>5</v>
      </c>
      <c r="K1002" s="1" t="s">
        <v>4</v>
      </c>
      <c r="L1002" s="1" t="s">
        <v>18</v>
      </c>
      <c r="M1002" s="1">
        <f>[1]!orders[[#This Row],[Ship Date]]-[1]!orders[[#This Row],[Order Date]]</f>
        <v>4</v>
      </c>
      <c r="N1002" s="1">
        <f>WEEKNUM([1]!orders[[#This Row],[Order Date]])</f>
        <v>7</v>
      </c>
      <c r="O1002" t="str" cm="1">
        <f t="array" ref="O1002">_xlfn.IFS([1]!orders[[#This Row],[Customer Gender]]="M","Male", [1]!orders[[#This Row],[Customer Gender]]="F","Female", [1]!orders[[#This Row],[Customer Gender]]="O","Other", TRUE,"Unknown")</f>
        <v>Female</v>
      </c>
    </row>
    <row r="1003" spans="1:15" x14ac:dyDescent="0.25">
      <c r="A1003" t="s">
        <v>1084</v>
      </c>
      <c r="B1003" t="s">
        <v>29</v>
      </c>
      <c r="C1003">
        <v>1</v>
      </c>
      <c r="D1003">
        <v>39.299999999999997</v>
      </c>
      <c r="E1003">
        <v>39.299999999999997</v>
      </c>
      <c r="F1003" s="3">
        <v>45697</v>
      </c>
      <c r="G1003" s="3">
        <v>45708</v>
      </c>
      <c r="H1003" t="s">
        <v>12</v>
      </c>
      <c r="I1003" t="s">
        <v>20</v>
      </c>
      <c r="J1003">
        <v>3</v>
      </c>
      <c r="K1003" t="s">
        <v>4</v>
      </c>
      <c r="L1003" t="s">
        <v>787</v>
      </c>
      <c r="M1003">
        <f>[1]!orders[[#This Row],[Ship Date]]-[1]!orders[[#This Row],[Order Date]]</f>
        <v>11</v>
      </c>
      <c r="N1003">
        <f>WEEKNUM([1]!orders[[#This Row],[Order Date]])</f>
        <v>7</v>
      </c>
      <c r="O1003" t="str" cm="1">
        <f t="array" ref="O1003">_xlfn.IFS([1]!orders[[#This Row],[Customer Gender]]="M","Male", [1]!orders[[#This Row],[Customer Gender]]="F","Female", [1]!orders[[#This Row],[Customer Gender]]="O","Other", TRUE,"Unknown")</f>
        <v>Female</v>
      </c>
    </row>
    <row r="1004" spans="1:15" x14ac:dyDescent="0.25">
      <c r="A1004" s="1" t="s">
        <v>1085</v>
      </c>
      <c r="B1004" s="1" t="s">
        <v>17</v>
      </c>
      <c r="C1004" s="1">
        <v>10</v>
      </c>
      <c r="D1004" s="1">
        <v>48.8</v>
      </c>
      <c r="E1004" s="1">
        <v>488</v>
      </c>
      <c r="F1004" s="2">
        <v>45697</v>
      </c>
      <c r="G1004" s="2">
        <v>45699</v>
      </c>
      <c r="H1004" s="1" t="s">
        <v>12</v>
      </c>
      <c r="I1004" s="1" t="s">
        <v>36</v>
      </c>
      <c r="J1004" s="1">
        <v>3</v>
      </c>
      <c r="K1004" s="1" t="s">
        <v>4</v>
      </c>
      <c r="L1004" s="1" t="s">
        <v>173</v>
      </c>
      <c r="M1004" s="1">
        <f>[1]!orders[[#This Row],[Ship Date]]-[1]!orders[[#This Row],[Order Date]]</f>
        <v>2</v>
      </c>
      <c r="N1004" s="1">
        <f>WEEKNUM([1]!orders[[#This Row],[Order Date]])</f>
        <v>7</v>
      </c>
      <c r="O1004" t="str" cm="1">
        <f t="array" ref="O1004">_xlfn.IFS([1]!orders[[#This Row],[Customer Gender]]="M","Male", [1]!orders[[#This Row],[Customer Gender]]="F","Female", [1]!orders[[#This Row],[Customer Gender]]="O","Other", TRUE,"Unknown")</f>
        <v>Female</v>
      </c>
    </row>
    <row r="1005" spans="1:15" x14ac:dyDescent="0.25">
      <c r="A1005" t="s">
        <v>1086</v>
      </c>
      <c r="B1005" t="s">
        <v>24</v>
      </c>
      <c r="C1005">
        <v>8</v>
      </c>
      <c r="D1005">
        <v>72.8</v>
      </c>
      <c r="E1005">
        <v>582.4</v>
      </c>
      <c r="F1005" s="3">
        <v>45697</v>
      </c>
      <c r="G1005" s="3">
        <v>45699</v>
      </c>
      <c r="H1005" t="s">
        <v>8</v>
      </c>
      <c r="I1005" t="s">
        <v>20</v>
      </c>
      <c r="J1005">
        <v>5</v>
      </c>
      <c r="K1005" t="s">
        <v>4</v>
      </c>
      <c r="L1005" t="s">
        <v>37</v>
      </c>
      <c r="M1005">
        <f>[1]!orders[[#This Row],[Ship Date]]-[1]!orders[[#This Row],[Order Date]]</f>
        <v>2</v>
      </c>
      <c r="N1005">
        <f>WEEKNUM([1]!orders[[#This Row],[Order Date]])</f>
        <v>7</v>
      </c>
      <c r="O1005" t="str" cm="1">
        <f t="array" ref="O1005">_xlfn.IFS([1]!orders[[#This Row],[Customer Gender]]="M","Male", [1]!orders[[#This Row],[Customer Gender]]="F","Female", [1]!orders[[#This Row],[Customer Gender]]="O","Other", TRUE,"Unknown")</f>
        <v>Male</v>
      </c>
    </row>
    <row r="1006" spans="1:15" x14ac:dyDescent="0.25">
      <c r="A1006" s="1" t="s">
        <v>1087</v>
      </c>
      <c r="B1006" s="1" t="s">
        <v>39</v>
      </c>
      <c r="C1006" s="1">
        <v>8</v>
      </c>
      <c r="D1006" s="1">
        <v>46.2</v>
      </c>
      <c r="E1006" s="1">
        <v>369.6</v>
      </c>
      <c r="F1006" s="2">
        <v>45697</v>
      </c>
      <c r="G1006" s="2">
        <v>45698</v>
      </c>
      <c r="H1006" s="1" t="s">
        <v>8</v>
      </c>
      <c r="I1006" s="1" t="s">
        <v>36</v>
      </c>
      <c r="J1006" s="1">
        <v>2</v>
      </c>
      <c r="K1006" s="1" t="s">
        <v>4</v>
      </c>
      <c r="L1006" s="1" t="s">
        <v>37</v>
      </c>
      <c r="M1006" s="1">
        <f>[1]!orders[[#This Row],[Ship Date]]-[1]!orders[[#This Row],[Order Date]]</f>
        <v>1</v>
      </c>
      <c r="N1006" s="1">
        <f>WEEKNUM([1]!orders[[#This Row],[Order Date]])</f>
        <v>7</v>
      </c>
      <c r="O1006" t="str" cm="1">
        <f t="array" ref="O1006">_xlfn.IFS([1]!orders[[#This Row],[Customer Gender]]="M","Male", [1]!orders[[#This Row],[Customer Gender]]="F","Female", [1]!orders[[#This Row],[Customer Gender]]="O","Other", TRUE,"Unknown")</f>
        <v>Male</v>
      </c>
    </row>
    <row r="1007" spans="1:15" x14ac:dyDescent="0.25">
      <c r="A1007" t="s">
        <v>1088</v>
      </c>
      <c r="B1007" t="s">
        <v>17</v>
      </c>
      <c r="C1007">
        <v>2</v>
      </c>
      <c r="D1007">
        <v>20.7</v>
      </c>
      <c r="E1007">
        <v>41.4</v>
      </c>
      <c r="F1007" s="3">
        <v>45697</v>
      </c>
      <c r="G1007" s="3">
        <v>45698</v>
      </c>
      <c r="H1007" t="s">
        <v>12</v>
      </c>
      <c r="I1007" t="s">
        <v>25</v>
      </c>
      <c r="J1007">
        <v>1</v>
      </c>
      <c r="K1007" t="s">
        <v>4</v>
      </c>
      <c r="L1007" t="s">
        <v>40</v>
      </c>
      <c r="M1007">
        <f>[1]!orders[[#This Row],[Ship Date]]-[1]!orders[[#This Row],[Order Date]]</f>
        <v>1</v>
      </c>
      <c r="N1007">
        <f>WEEKNUM([1]!orders[[#This Row],[Order Date]])</f>
        <v>7</v>
      </c>
      <c r="O1007" t="str" cm="1">
        <f t="array" ref="O1007">_xlfn.IFS([1]!orders[[#This Row],[Customer Gender]]="M","Male", [1]!orders[[#This Row],[Customer Gender]]="F","Female", [1]!orders[[#This Row],[Customer Gender]]="O","Other", TRUE,"Unknown")</f>
        <v>Female</v>
      </c>
    </row>
    <row r="1008" spans="1:15" x14ac:dyDescent="0.25">
      <c r="A1008" s="1" t="s">
        <v>1089</v>
      </c>
      <c r="B1008" s="1" t="s">
        <v>1</v>
      </c>
      <c r="C1008" s="1">
        <v>1</v>
      </c>
      <c r="D1008" s="1">
        <v>35.700000000000003</v>
      </c>
      <c r="E1008" s="1">
        <v>35.700000000000003</v>
      </c>
      <c r="F1008" s="2">
        <v>45697</v>
      </c>
      <c r="G1008" s="2">
        <v>45699</v>
      </c>
      <c r="H1008" s="1" t="s">
        <v>12</v>
      </c>
      <c r="I1008" s="1" t="s">
        <v>36</v>
      </c>
      <c r="J1008" s="1">
        <v>4</v>
      </c>
      <c r="K1008" s="1" t="s">
        <v>4</v>
      </c>
      <c r="L1008" s="1" t="s">
        <v>40</v>
      </c>
      <c r="M1008" s="1">
        <f>[1]!orders[[#This Row],[Ship Date]]-[1]!orders[[#This Row],[Order Date]]</f>
        <v>2</v>
      </c>
      <c r="N1008" s="1">
        <f>WEEKNUM([1]!orders[[#This Row],[Order Date]])</f>
        <v>7</v>
      </c>
      <c r="O1008" t="str" cm="1">
        <f t="array" ref="O1008">_xlfn.IFS([1]!orders[[#This Row],[Customer Gender]]="M","Male", [1]!orders[[#This Row],[Customer Gender]]="F","Female", [1]!orders[[#This Row],[Customer Gender]]="O","Other", TRUE,"Unknown")</f>
        <v>Female</v>
      </c>
    </row>
    <row r="1009" spans="1:15" x14ac:dyDescent="0.25">
      <c r="A1009" t="s">
        <v>1090</v>
      </c>
      <c r="B1009" t="s">
        <v>11</v>
      </c>
      <c r="C1009">
        <v>16</v>
      </c>
      <c r="D1009">
        <v>166.2</v>
      </c>
      <c r="E1009">
        <v>2659.2</v>
      </c>
      <c r="F1009" s="3">
        <v>45697</v>
      </c>
      <c r="G1009" s="3">
        <v>45699</v>
      </c>
      <c r="H1009" t="s">
        <v>2</v>
      </c>
      <c r="I1009" t="s">
        <v>25</v>
      </c>
      <c r="J1009">
        <v>4</v>
      </c>
      <c r="K1009" t="s">
        <v>4</v>
      </c>
      <c r="L1009" t="s">
        <v>44</v>
      </c>
      <c r="M1009">
        <f>[1]!orders[[#This Row],[Ship Date]]-[1]!orders[[#This Row],[Order Date]]</f>
        <v>2</v>
      </c>
      <c r="N1009">
        <f>WEEKNUM([1]!orders[[#This Row],[Order Date]])</f>
        <v>7</v>
      </c>
      <c r="O1009" t="str" cm="1">
        <f t="array" ref="O1009">_xlfn.IFS([1]!orders[[#This Row],[Customer Gender]]="M","Male", [1]!orders[[#This Row],[Customer Gender]]="F","Female", [1]!orders[[#This Row],[Customer Gender]]="O","Other", TRUE,"Unknown")</f>
        <v>Unknown</v>
      </c>
    </row>
    <row r="1010" spans="1:15" x14ac:dyDescent="0.25">
      <c r="A1010" s="1" t="s">
        <v>1091</v>
      </c>
      <c r="B1010" s="1" t="s">
        <v>24</v>
      </c>
      <c r="C1010" s="1">
        <v>4</v>
      </c>
      <c r="D1010" s="1">
        <v>85.8</v>
      </c>
      <c r="E1010" s="1">
        <v>343.2</v>
      </c>
      <c r="F1010" s="2">
        <v>45697</v>
      </c>
      <c r="G1010" s="2">
        <v>45698</v>
      </c>
      <c r="H1010" s="1" t="s">
        <v>12</v>
      </c>
      <c r="I1010" s="1" t="s">
        <v>20</v>
      </c>
      <c r="J1010" s="1">
        <v>3</v>
      </c>
      <c r="K1010" s="1" t="s">
        <v>4</v>
      </c>
      <c r="L1010" s="1" t="s">
        <v>44</v>
      </c>
      <c r="M1010" s="1">
        <f>[1]!orders[[#This Row],[Ship Date]]-[1]!orders[[#This Row],[Order Date]]</f>
        <v>1</v>
      </c>
      <c r="N1010" s="1">
        <f>WEEKNUM([1]!orders[[#This Row],[Order Date]])</f>
        <v>7</v>
      </c>
      <c r="O1010" t="str" cm="1">
        <f t="array" ref="O1010">_xlfn.IFS([1]!orders[[#This Row],[Customer Gender]]="M","Male", [1]!orders[[#This Row],[Customer Gender]]="F","Female", [1]!orders[[#This Row],[Customer Gender]]="O","Other", TRUE,"Unknown")</f>
        <v>Female</v>
      </c>
    </row>
    <row r="1011" spans="1:15" x14ac:dyDescent="0.25">
      <c r="A1011" t="s">
        <v>1092</v>
      </c>
      <c r="B1011" t="s">
        <v>29</v>
      </c>
      <c r="C1011">
        <v>3</v>
      </c>
      <c r="D1011">
        <v>26</v>
      </c>
      <c r="E1011">
        <v>78</v>
      </c>
      <c r="F1011" s="3">
        <v>45697</v>
      </c>
      <c r="G1011" s="3">
        <v>45699</v>
      </c>
      <c r="H1011" t="s">
        <v>74</v>
      </c>
      <c r="I1011" t="s">
        <v>20</v>
      </c>
      <c r="J1011">
        <v>4</v>
      </c>
      <c r="K1011" t="s">
        <v>4</v>
      </c>
      <c r="L1011" t="s">
        <v>44</v>
      </c>
      <c r="M1011">
        <f>[1]!orders[[#This Row],[Ship Date]]-[1]!orders[[#This Row],[Order Date]]</f>
        <v>2</v>
      </c>
      <c r="N1011">
        <f>WEEKNUM([1]!orders[[#This Row],[Order Date]])</f>
        <v>7</v>
      </c>
      <c r="O1011" t="str" cm="1">
        <f t="array" ref="O1011">_xlfn.IFS([1]!orders[[#This Row],[Customer Gender]]="M","Male", [1]!orders[[#This Row],[Customer Gender]]="F","Female", [1]!orders[[#This Row],[Customer Gender]]="O","Other", TRUE,"Unknown")</f>
        <v>Other</v>
      </c>
    </row>
    <row r="1012" spans="1:15" x14ac:dyDescent="0.25">
      <c r="A1012" s="1" t="s">
        <v>1093</v>
      </c>
      <c r="B1012" s="1" t="s">
        <v>11</v>
      </c>
      <c r="C1012" s="1">
        <v>13</v>
      </c>
      <c r="D1012" s="1">
        <v>116.6</v>
      </c>
      <c r="E1012" s="1">
        <v>1515.8</v>
      </c>
      <c r="F1012" s="2">
        <v>45697</v>
      </c>
      <c r="G1012" s="2">
        <v>45700</v>
      </c>
      <c r="H1012" s="1" t="s">
        <v>12</v>
      </c>
      <c r="I1012" s="1" t="s">
        <v>3</v>
      </c>
      <c r="J1012" s="1">
        <v>4</v>
      </c>
      <c r="K1012" s="1" t="s">
        <v>4</v>
      </c>
      <c r="L1012" s="1" t="s">
        <v>47</v>
      </c>
      <c r="M1012" s="1">
        <f>[1]!orders[[#This Row],[Ship Date]]-[1]!orders[[#This Row],[Order Date]]</f>
        <v>3</v>
      </c>
      <c r="N1012" s="1">
        <f>WEEKNUM([1]!orders[[#This Row],[Order Date]])</f>
        <v>7</v>
      </c>
      <c r="O1012" t="str" cm="1">
        <f t="array" ref="O1012">_xlfn.IFS([1]!orders[[#This Row],[Customer Gender]]="M","Male", [1]!orders[[#This Row],[Customer Gender]]="F","Female", [1]!orders[[#This Row],[Customer Gender]]="O","Other", TRUE,"Unknown")</f>
        <v>Female</v>
      </c>
    </row>
    <row r="1013" spans="1:15" x14ac:dyDescent="0.25">
      <c r="A1013" t="s">
        <v>1094</v>
      </c>
      <c r="B1013" t="s">
        <v>31</v>
      </c>
      <c r="C1013">
        <v>7</v>
      </c>
      <c r="D1013">
        <v>53.9</v>
      </c>
      <c r="E1013">
        <v>377.3</v>
      </c>
      <c r="F1013" s="3">
        <v>45697</v>
      </c>
      <c r="G1013" s="3">
        <v>45700</v>
      </c>
      <c r="H1013" t="s">
        <v>74</v>
      </c>
      <c r="I1013" t="s">
        <v>3</v>
      </c>
      <c r="J1013">
        <v>5</v>
      </c>
      <c r="K1013" t="s">
        <v>4</v>
      </c>
      <c r="L1013" t="s">
        <v>47</v>
      </c>
      <c r="M1013">
        <f>[1]!orders[[#This Row],[Ship Date]]-[1]!orders[[#This Row],[Order Date]]</f>
        <v>3</v>
      </c>
      <c r="N1013">
        <f>WEEKNUM([1]!orders[[#This Row],[Order Date]])</f>
        <v>7</v>
      </c>
      <c r="O1013" t="str" cm="1">
        <f t="array" ref="O1013">_xlfn.IFS([1]!orders[[#This Row],[Customer Gender]]="M","Male", [1]!orders[[#This Row],[Customer Gender]]="F","Female", [1]!orders[[#This Row],[Customer Gender]]="O","Other", TRUE,"Unknown")</f>
        <v>Other</v>
      </c>
    </row>
    <row r="1014" spans="1:15" x14ac:dyDescent="0.25">
      <c r="A1014" s="1" t="s">
        <v>1095</v>
      </c>
      <c r="B1014" s="1" t="s">
        <v>54</v>
      </c>
      <c r="C1014" s="1">
        <v>5</v>
      </c>
      <c r="D1014" s="1">
        <v>72.3</v>
      </c>
      <c r="E1014" s="1">
        <v>361.5</v>
      </c>
      <c r="F1014" s="2">
        <v>45697</v>
      </c>
      <c r="G1014" s="2">
        <v>45699</v>
      </c>
      <c r="H1014" s="1" t="s">
        <v>2</v>
      </c>
      <c r="I1014" s="1" t="s">
        <v>25</v>
      </c>
      <c r="J1014" s="1">
        <v>5</v>
      </c>
      <c r="K1014" s="1" t="s">
        <v>4</v>
      </c>
      <c r="L1014" s="1" t="s">
        <v>47</v>
      </c>
      <c r="M1014" s="1">
        <f>[1]!orders[[#This Row],[Ship Date]]-[1]!orders[[#This Row],[Order Date]]</f>
        <v>2</v>
      </c>
      <c r="N1014" s="1">
        <f>WEEKNUM([1]!orders[[#This Row],[Order Date]])</f>
        <v>7</v>
      </c>
      <c r="O1014" t="str" cm="1">
        <f t="array" ref="O1014">_xlfn.IFS([1]!orders[[#This Row],[Customer Gender]]="M","Male", [1]!orders[[#This Row],[Customer Gender]]="F","Female", [1]!orders[[#This Row],[Customer Gender]]="O","Other", TRUE,"Unknown")</f>
        <v>Unknown</v>
      </c>
    </row>
    <row r="1015" spans="1:15" x14ac:dyDescent="0.25">
      <c r="A1015" t="s">
        <v>1096</v>
      </c>
      <c r="B1015" t="s">
        <v>22</v>
      </c>
      <c r="C1015">
        <v>2</v>
      </c>
      <c r="D1015">
        <v>31.4</v>
      </c>
      <c r="E1015">
        <v>62.8</v>
      </c>
      <c r="F1015" s="3">
        <v>45697</v>
      </c>
      <c r="G1015" s="3">
        <v>45699</v>
      </c>
      <c r="H1015" t="s">
        <v>12</v>
      </c>
      <c r="I1015" t="s">
        <v>3</v>
      </c>
      <c r="J1015">
        <v>4</v>
      </c>
      <c r="K1015" t="s">
        <v>4</v>
      </c>
      <c r="L1015" t="s">
        <v>47</v>
      </c>
      <c r="M1015">
        <f>[1]!orders[[#This Row],[Ship Date]]-[1]!orders[[#This Row],[Order Date]]</f>
        <v>2</v>
      </c>
      <c r="N1015">
        <f>WEEKNUM([1]!orders[[#This Row],[Order Date]])</f>
        <v>7</v>
      </c>
      <c r="O1015" t="str" cm="1">
        <f t="array" ref="O1015">_xlfn.IFS([1]!orders[[#This Row],[Customer Gender]]="M","Male", [1]!orders[[#This Row],[Customer Gender]]="F","Female", [1]!orders[[#This Row],[Customer Gender]]="O","Other", TRUE,"Unknown")</f>
        <v>Female</v>
      </c>
    </row>
    <row r="1016" spans="1:15" x14ac:dyDescent="0.25">
      <c r="A1016" s="1" t="s">
        <v>1097</v>
      </c>
      <c r="B1016" s="1" t="s">
        <v>61</v>
      </c>
      <c r="C1016" s="1">
        <v>2</v>
      </c>
      <c r="D1016" s="1">
        <v>53.1</v>
      </c>
      <c r="E1016" s="1">
        <v>106.2</v>
      </c>
      <c r="F1016" s="2">
        <v>45697</v>
      </c>
      <c r="G1016" s="2">
        <v>45700</v>
      </c>
      <c r="H1016" s="1" t="s">
        <v>8</v>
      </c>
      <c r="I1016" s="1" t="s">
        <v>20</v>
      </c>
      <c r="J1016" s="1">
        <v>4</v>
      </c>
      <c r="K1016" s="1" t="s">
        <v>4</v>
      </c>
      <c r="L1016" s="1" t="s">
        <v>47</v>
      </c>
      <c r="M1016" s="1">
        <f>[1]!orders[[#This Row],[Ship Date]]-[1]!orders[[#This Row],[Order Date]]</f>
        <v>3</v>
      </c>
      <c r="N1016" s="1">
        <f>WEEKNUM([1]!orders[[#This Row],[Order Date]])</f>
        <v>7</v>
      </c>
      <c r="O1016" t="str" cm="1">
        <f t="array" ref="O1016">_xlfn.IFS([1]!orders[[#This Row],[Customer Gender]]="M","Male", [1]!orders[[#This Row],[Customer Gender]]="F","Female", [1]!orders[[#This Row],[Customer Gender]]="O","Other", TRUE,"Unknown")</f>
        <v>Male</v>
      </c>
    </row>
    <row r="1017" spans="1:15" x14ac:dyDescent="0.25">
      <c r="A1017" t="s">
        <v>1098</v>
      </c>
      <c r="B1017" t="s">
        <v>11</v>
      </c>
      <c r="C1017">
        <v>4</v>
      </c>
      <c r="D1017">
        <v>56.2</v>
      </c>
      <c r="E1017">
        <v>224.8</v>
      </c>
      <c r="F1017" s="3">
        <v>45697</v>
      </c>
      <c r="G1017" s="3">
        <v>45698</v>
      </c>
      <c r="H1017" t="s">
        <v>12</v>
      </c>
      <c r="I1017" t="s">
        <v>3</v>
      </c>
      <c r="J1017">
        <v>4</v>
      </c>
      <c r="K1017" t="s">
        <v>4</v>
      </c>
      <c r="L1017" t="s">
        <v>47</v>
      </c>
      <c r="M1017">
        <f>[1]!orders[[#This Row],[Ship Date]]-[1]!orders[[#This Row],[Order Date]]</f>
        <v>1</v>
      </c>
      <c r="N1017">
        <f>WEEKNUM([1]!orders[[#This Row],[Order Date]])</f>
        <v>7</v>
      </c>
      <c r="O1017" t="str" cm="1">
        <f t="array" ref="O1017">_xlfn.IFS([1]!orders[[#This Row],[Customer Gender]]="M","Male", [1]!orders[[#This Row],[Customer Gender]]="F","Female", [1]!orders[[#This Row],[Customer Gender]]="O","Other", TRUE,"Unknown")</f>
        <v>Female</v>
      </c>
    </row>
    <row r="1018" spans="1:15" x14ac:dyDescent="0.25">
      <c r="A1018" s="1" t="s">
        <v>1099</v>
      </c>
      <c r="B1018" s="1" t="s">
        <v>7</v>
      </c>
      <c r="C1018" s="1">
        <v>10</v>
      </c>
      <c r="D1018" s="1">
        <v>77.3</v>
      </c>
      <c r="E1018" s="1">
        <v>773</v>
      </c>
      <c r="F1018" s="2">
        <v>45697</v>
      </c>
      <c r="G1018" s="2">
        <v>45698</v>
      </c>
      <c r="H1018" s="1" t="s">
        <v>12</v>
      </c>
      <c r="I1018" s="1" t="s">
        <v>25</v>
      </c>
      <c r="J1018" s="1">
        <v>4</v>
      </c>
      <c r="K1018" s="1" t="s">
        <v>4</v>
      </c>
      <c r="L1018" s="1" t="s">
        <v>62</v>
      </c>
      <c r="M1018" s="1">
        <f>[1]!orders[[#This Row],[Ship Date]]-[1]!orders[[#This Row],[Order Date]]</f>
        <v>1</v>
      </c>
      <c r="N1018" s="1">
        <f>WEEKNUM([1]!orders[[#This Row],[Order Date]])</f>
        <v>7</v>
      </c>
      <c r="O1018" t="str" cm="1">
        <f t="array" ref="O1018">_xlfn.IFS([1]!orders[[#This Row],[Customer Gender]]="M","Male", [1]!orders[[#This Row],[Customer Gender]]="F","Female", [1]!orders[[#This Row],[Customer Gender]]="O","Other", TRUE,"Unknown")</f>
        <v>Female</v>
      </c>
    </row>
    <row r="1019" spans="1:15" x14ac:dyDescent="0.25">
      <c r="A1019" t="s">
        <v>1100</v>
      </c>
      <c r="B1019" t="s">
        <v>24</v>
      </c>
      <c r="C1019">
        <v>13</v>
      </c>
      <c r="D1019">
        <v>57.8</v>
      </c>
      <c r="E1019">
        <v>751.4</v>
      </c>
      <c r="F1019" s="3">
        <v>45697</v>
      </c>
      <c r="G1019" s="3">
        <v>45698</v>
      </c>
      <c r="H1019" t="s">
        <v>2</v>
      </c>
      <c r="I1019" t="s">
        <v>3</v>
      </c>
      <c r="J1019">
        <v>4</v>
      </c>
      <c r="K1019" t="s">
        <v>4</v>
      </c>
      <c r="L1019" t="s">
        <v>1101</v>
      </c>
      <c r="M1019">
        <f>[1]!orders[[#This Row],[Ship Date]]-[1]!orders[[#This Row],[Order Date]]</f>
        <v>1</v>
      </c>
      <c r="N1019">
        <f>WEEKNUM([1]!orders[[#This Row],[Order Date]])</f>
        <v>7</v>
      </c>
      <c r="O1019" t="str" cm="1">
        <f t="array" ref="O1019">_xlfn.IFS([1]!orders[[#This Row],[Customer Gender]]="M","Male", [1]!orders[[#This Row],[Customer Gender]]="F","Female", [1]!orders[[#This Row],[Customer Gender]]="O","Other", TRUE,"Unknown")</f>
        <v>Unknown</v>
      </c>
    </row>
    <row r="1020" spans="1:15" x14ac:dyDescent="0.25">
      <c r="A1020" s="1" t="s">
        <v>1102</v>
      </c>
      <c r="B1020" s="1" t="s">
        <v>54</v>
      </c>
      <c r="C1020" s="1">
        <v>15</v>
      </c>
      <c r="D1020" s="1">
        <v>42.1</v>
      </c>
      <c r="E1020" s="1">
        <v>631.5</v>
      </c>
      <c r="F1020" s="2">
        <v>45697</v>
      </c>
      <c r="G1020" s="2">
        <v>45699</v>
      </c>
      <c r="H1020" s="1" t="s">
        <v>12</v>
      </c>
      <c r="I1020" s="1" t="s">
        <v>20</v>
      </c>
      <c r="J1020" s="1">
        <v>3</v>
      </c>
      <c r="K1020" s="1" t="s">
        <v>4</v>
      </c>
      <c r="L1020" s="1" t="s">
        <v>1101</v>
      </c>
      <c r="M1020" s="1">
        <f>[1]!orders[[#This Row],[Ship Date]]-[1]!orders[[#This Row],[Order Date]]</f>
        <v>2</v>
      </c>
      <c r="N1020" s="1">
        <f>WEEKNUM([1]!orders[[#This Row],[Order Date]])</f>
        <v>7</v>
      </c>
      <c r="O1020" t="str" cm="1">
        <f t="array" ref="O1020">_xlfn.IFS([1]!orders[[#This Row],[Customer Gender]]="M","Male", [1]!orders[[#This Row],[Customer Gender]]="F","Female", [1]!orders[[#This Row],[Customer Gender]]="O","Other", TRUE,"Unknown")</f>
        <v>Female</v>
      </c>
    </row>
    <row r="1021" spans="1:15" x14ac:dyDescent="0.25">
      <c r="A1021" t="s">
        <v>1103</v>
      </c>
      <c r="B1021" t="s">
        <v>29</v>
      </c>
      <c r="C1021">
        <v>9</v>
      </c>
      <c r="D1021">
        <v>22.8</v>
      </c>
      <c r="E1021">
        <v>205.20000000000002</v>
      </c>
      <c r="F1021" s="3">
        <v>45697</v>
      </c>
      <c r="G1021" s="3">
        <v>45701</v>
      </c>
      <c r="H1021" t="s">
        <v>8</v>
      </c>
      <c r="I1021" t="s">
        <v>25</v>
      </c>
      <c r="J1021">
        <v>5</v>
      </c>
      <c r="K1021" t="s">
        <v>4</v>
      </c>
      <c r="L1021" t="s">
        <v>95</v>
      </c>
      <c r="M1021">
        <f>[1]!orders[[#This Row],[Ship Date]]-[1]!orders[[#This Row],[Order Date]]</f>
        <v>4</v>
      </c>
      <c r="N1021">
        <f>WEEKNUM([1]!orders[[#This Row],[Order Date]])</f>
        <v>7</v>
      </c>
      <c r="O1021" t="str" cm="1">
        <f t="array" ref="O1021">_xlfn.IFS([1]!orders[[#This Row],[Customer Gender]]="M","Male", [1]!orders[[#This Row],[Customer Gender]]="F","Female", [1]!orders[[#This Row],[Customer Gender]]="O","Other", TRUE,"Unknown")</f>
        <v>Male</v>
      </c>
    </row>
    <row r="1022" spans="1:15" x14ac:dyDescent="0.25">
      <c r="A1022" s="1" t="s">
        <v>1104</v>
      </c>
      <c r="B1022" s="1" t="s">
        <v>11</v>
      </c>
      <c r="C1022" s="1">
        <v>3</v>
      </c>
      <c r="D1022" s="1">
        <v>171.1</v>
      </c>
      <c r="E1022" s="1">
        <v>513.29999999999995</v>
      </c>
      <c r="F1022" s="2">
        <v>45698</v>
      </c>
      <c r="G1022" s="2">
        <v>45705</v>
      </c>
      <c r="H1022" s="1" t="s">
        <v>12</v>
      </c>
      <c r="I1022" s="1" t="s">
        <v>25</v>
      </c>
      <c r="J1022" s="1">
        <v>3</v>
      </c>
      <c r="K1022" s="1" t="s">
        <v>4</v>
      </c>
      <c r="L1022" s="1" t="s">
        <v>95</v>
      </c>
      <c r="M1022" s="1">
        <f>[1]!orders[[#This Row],[Ship Date]]-[1]!orders[[#This Row],[Order Date]]</f>
        <v>7</v>
      </c>
      <c r="N1022" s="1">
        <f>WEEKNUM([1]!orders[[#This Row],[Order Date]])</f>
        <v>7</v>
      </c>
      <c r="O1022" t="str" cm="1">
        <f t="array" ref="O1022">_xlfn.IFS([1]!orders[[#This Row],[Customer Gender]]="M","Male", [1]!orders[[#This Row],[Customer Gender]]="F","Female", [1]!orders[[#This Row],[Customer Gender]]="O","Other", TRUE,"Unknown")</f>
        <v>Female</v>
      </c>
    </row>
    <row r="1023" spans="1:15" x14ac:dyDescent="0.25">
      <c r="A1023" t="s">
        <v>1105</v>
      </c>
      <c r="B1023" t="s">
        <v>29</v>
      </c>
      <c r="C1023">
        <v>1</v>
      </c>
      <c r="D1023">
        <v>28</v>
      </c>
      <c r="E1023">
        <v>28</v>
      </c>
      <c r="F1023" s="3">
        <v>45698</v>
      </c>
      <c r="G1023" s="3">
        <v>45700</v>
      </c>
      <c r="H1023" t="s">
        <v>8</v>
      </c>
      <c r="I1023" t="s">
        <v>25</v>
      </c>
      <c r="J1023">
        <v>5</v>
      </c>
      <c r="K1023" t="s">
        <v>4</v>
      </c>
      <c r="L1023" t="s">
        <v>100</v>
      </c>
      <c r="M1023">
        <f>[1]!orders[[#This Row],[Ship Date]]-[1]!orders[[#This Row],[Order Date]]</f>
        <v>2</v>
      </c>
      <c r="N1023">
        <f>WEEKNUM([1]!orders[[#This Row],[Order Date]])</f>
        <v>7</v>
      </c>
      <c r="O1023" t="str" cm="1">
        <f t="array" ref="O1023">_xlfn.IFS([1]!orders[[#This Row],[Customer Gender]]="M","Male", [1]!orders[[#This Row],[Customer Gender]]="F","Female", [1]!orders[[#This Row],[Customer Gender]]="O","Other", TRUE,"Unknown")</f>
        <v>Male</v>
      </c>
    </row>
    <row r="1024" spans="1:15" x14ac:dyDescent="0.25">
      <c r="A1024" s="1" t="s">
        <v>1106</v>
      </c>
      <c r="B1024" s="1" t="s">
        <v>24</v>
      </c>
      <c r="C1024" s="1">
        <v>7</v>
      </c>
      <c r="D1024" s="1">
        <v>50.2</v>
      </c>
      <c r="E1024" s="1">
        <v>351.40000000000003</v>
      </c>
      <c r="F1024" s="2">
        <v>45698</v>
      </c>
      <c r="G1024" s="2">
        <v>45700</v>
      </c>
      <c r="H1024" s="1" t="s">
        <v>8</v>
      </c>
      <c r="I1024" s="1" t="s">
        <v>25</v>
      </c>
      <c r="J1024" s="1">
        <v>4</v>
      </c>
      <c r="K1024" s="1" t="s">
        <v>4</v>
      </c>
      <c r="L1024" s="1" t="s">
        <v>100</v>
      </c>
      <c r="M1024" s="1">
        <f>[1]!orders[[#This Row],[Ship Date]]-[1]!orders[[#This Row],[Order Date]]</f>
        <v>2</v>
      </c>
      <c r="N1024" s="1">
        <f>WEEKNUM([1]!orders[[#This Row],[Order Date]])</f>
        <v>7</v>
      </c>
      <c r="O1024" t="str" cm="1">
        <f t="array" ref="O1024">_xlfn.IFS([1]!orders[[#This Row],[Customer Gender]]="M","Male", [1]!orders[[#This Row],[Customer Gender]]="F","Female", [1]!orders[[#This Row],[Customer Gender]]="O","Other", TRUE,"Unknown")</f>
        <v>Male</v>
      </c>
    </row>
    <row r="1025" spans="1:15" x14ac:dyDescent="0.25">
      <c r="A1025" t="s">
        <v>1107</v>
      </c>
      <c r="B1025" t="s">
        <v>24</v>
      </c>
      <c r="C1025">
        <v>2</v>
      </c>
      <c r="D1025">
        <v>56</v>
      </c>
      <c r="E1025">
        <v>112</v>
      </c>
      <c r="F1025" s="3">
        <v>45698</v>
      </c>
      <c r="G1025" s="3">
        <v>45698</v>
      </c>
      <c r="H1025" t="s">
        <v>8</v>
      </c>
      <c r="I1025" t="s">
        <v>3</v>
      </c>
      <c r="J1025">
        <v>5</v>
      </c>
      <c r="K1025" t="s">
        <v>4</v>
      </c>
      <c r="L1025" t="s">
        <v>132</v>
      </c>
      <c r="M1025">
        <f>[1]!orders[[#This Row],[Ship Date]]-[1]!orders[[#This Row],[Order Date]]</f>
        <v>0</v>
      </c>
      <c r="N1025">
        <f>WEEKNUM([1]!orders[[#This Row],[Order Date]])</f>
        <v>7</v>
      </c>
      <c r="O1025" t="str" cm="1">
        <f t="array" ref="O1025">_xlfn.IFS([1]!orders[[#This Row],[Customer Gender]]="M","Male", [1]!orders[[#This Row],[Customer Gender]]="F","Female", [1]!orders[[#This Row],[Customer Gender]]="O","Other", TRUE,"Unknown")</f>
        <v>Male</v>
      </c>
    </row>
    <row r="1026" spans="1:15" x14ac:dyDescent="0.25">
      <c r="A1026" s="1" t="s">
        <v>1108</v>
      </c>
      <c r="B1026" s="1" t="s">
        <v>7</v>
      </c>
      <c r="C1026" s="1">
        <v>2</v>
      </c>
      <c r="D1026" s="1">
        <v>38.299999999999997</v>
      </c>
      <c r="E1026" s="1">
        <v>76.599999999999994</v>
      </c>
      <c r="F1026" s="2">
        <v>45698</v>
      </c>
      <c r="G1026" s="2">
        <v>45699</v>
      </c>
      <c r="H1026" s="1" t="s">
        <v>12</v>
      </c>
      <c r="I1026" s="1" t="s">
        <v>20</v>
      </c>
      <c r="J1026" s="1">
        <v>4</v>
      </c>
      <c r="K1026" s="1" t="s">
        <v>4</v>
      </c>
      <c r="L1026" s="1" t="s">
        <v>18</v>
      </c>
      <c r="M1026" s="1">
        <f>[1]!orders[[#This Row],[Ship Date]]-[1]!orders[[#This Row],[Order Date]]</f>
        <v>1</v>
      </c>
      <c r="N1026" s="1">
        <f>WEEKNUM([1]!orders[[#This Row],[Order Date]])</f>
        <v>7</v>
      </c>
      <c r="O1026" t="str" cm="1">
        <f t="array" ref="O1026">_xlfn.IFS([1]!orders[[#This Row],[Customer Gender]]="M","Male", [1]!orders[[#This Row],[Customer Gender]]="F","Female", [1]!orders[[#This Row],[Customer Gender]]="O","Other", TRUE,"Unknown")</f>
        <v>Female</v>
      </c>
    </row>
    <row r="1027" spans="1:15" x14ac:dyDescent="0.25">
      <c r="A1027" t="s">
        <v>1109</v>
      </c>
      <c r="B1027" t="s">
        <v>1</v>
      </c>
      <c r="C1027">
        <v>5</v>
      </c>
      <c r="D1027">
        <v>22.3</v>
      </c>
      <c r="E1027">
        <v>111.5</v>
      </c>
      <c r="F1027" s="3">
        <v>45698</v>
      </c>
      <c r="G1027" s="3">
        <v>45702</v>
      </c>
      <c r="H1027" t="s">
        <v>12</v>
      </c>
      <c r="I1027" t="s">
        <v>25</v>
      </c>
      <c r="J1027">
        <v>3</v>
      </c>
      <c r="K1027" t="s">
        <v>4</v>
      </c>
      <c r="L1027" t="s">
        <v>18</v>
      </c>
      <c r="M1027">
        <f>[1]!orders[[#This Row],[Ship Date]]-[1]!orders[[#This Row],[Order Date]]</f>
        <v>4</v>
      </c>
      <c r="N1027">
        <f>WEEKNUM([1]!orders[[#This Row],[Order Date]])</f>
        <v>7</v>
      </c>
      <c r="O1027" t="str" cm="1">
        <f t="array" ref="O1027">_xlfn.IFS([1]!orders[[#This Row],[Customer Gender]]="M","Male", [1]!orders[[#This Row],[Customer Gender]]="F","Female", [1]!orders[[#This Row],[Customer Gender]]="O","Other", TRUE,"Unknown")</f>
        <v>Female</v>
      </c>
    </row>
    <row r="1028" spans="1:15" x14ac:dyDescent="0.25">
      <c r="A1028" s="1" t="s">
        <v>1110</v>
      </c>
      <c r="B1028" s="1" t="s">
        <v>1</v>
      </c>
      <c r="C1028" s="1">
        <v>3</v>
      </c>
      <c r="D1028" s="1">
        <v>22.3</v>
      </c>
      <c r="E1028" s="1">
        <v>66.900000000000006</v>
      </c>
      <c r="F1028" s="2">
        <v>45698</v>
      </c>
      <c r="G1028" s="2">
        <v>45701</v>
      </c>
      <c r="H1028" s="1" t="s">
        <v>12</v>
      </c>
      <c r="I1028" s="1" t="s">
        <v>25</v>
      </c>
      <c r="J1028" s="1">
        <v>4</v>
      </c>
      <c r="K1028" s="1" t="s">
        <v>4</v>
      </c>
      <c r="L1028" s="1" t="s">
        <v>18</v>
      </c>
      <c r="M1028" s="1">
        <f>[1]!orders[[#This Row],[Ship Date]]-[1]!orders[[#This Row],[Order Date]]</f>
        <v>3</v>
      </c>
      <c r="N1028" s="1">
        <f>WEEKNUM([1]!orders[[#This Row],[Order Date]])</f>
        <v>7</v>
      </c>
      <c r="O1028" t="str" cm="1">
        <f t="array" ref="O1028">_xlfn.IFS([1]!orders[[#This Row],[Customer Gender]]="M","Male", [1]!orders[[#This Row],[Customer Gender]]="F","Female", [1]!orders[[#This Row],[Customer Gender]]="O","Other", TRUE,"Unknown")</f>
        <v>Female</v>
      </c>
    </row>
    <row r="1029" spans="1:15" x14ac:dyDescent="0.25">
      <c r="A1029" t="s">
        <v>1111</v>
      </c>
      <c r="B1029" t="s">
        <v>7</v>
      </c>
      <c r="C1029">
        <v>1</v>
      </c>
      <c r="D1029">
        <v>32.9</v>
      </c>
      <c r="E1029">
        <v>32.9</v>
      </c>
      <c r="F1029" s="3">
        <v>45698</v>
      </c>
      <c r="G1029" s="3">
        <v>45703</v>
      </c>
      <c r="H1029" t="s">
        <v>12</v>
      </c>
      <c r="I1029" t="s">
        <v>3</v>
      </c>
      <c r="J1029">
        <v>4</v>
      </c>
      <c r="K1029" t="s">
        <v>4</v>
      </c>
      <c r="L1029" t="s">
        <v>18</v>
      </c>
      <c r="M1029">
        <f>[1]!orders[[#This Row],[Ship Date]]-[1]!orders[[#This Row],[Order Date]]</f>
        <v>5</v>
      </c>
      <c r="N1029">
        <f>WEEKNUM([1]!orders[[#This Row],[Order Date]])</f>
        <v>7</v>
      </c>
      <c r="O1029" t="str" cm="1">
        <f t="array" ref="O1029">_xlfn.IFS([1]!orders[[#This Row],[Customer Gender]]="M","Male", [1]!orders[[#This Row],[Customer Gender]]="F","Female", [1]!orders[[#This Row],[Customer Gender]]="O","Other", TRUE,"Unknown")</f>
        <v>Female</v>
      </c>
    </row>
    <row r="1030" spans="1:15" x14ac:dyDescent="0.25">
      <c r="A1030" s="1" t="s">
        <v>1112</v>
      </c>
      <c r="B1030" s="1" t="s">
        <v>39</v>
      </c>
      <c r="C1030" s="1">
        <v>3</v>
      </c>
      <c r="D1030" s="1">
        <v>31.9</v>
      </c>
      <c r="E1030" s="1">
        <v>95.699999999999989</v>
      </c>
      <c r="F1030" s="2">
        <v>45698</v>
      </c>
      <c r="G1030" s="2">
        <v>45703</v>
      </c>
      <c r="H1030" s="1" t="s">
        <v>12</v>
      </c>
      <c r="I1030" s="1" t="s">
        <v>3</v>
      </c>
      <c r="J1030" s="1">
        <v>4</v>
      </c>
      <c r="K1030" s="1" t="s">
        <v>4</v>
      </c>
      <c r="L1030" s="1" t="s">
        <v>18</v>
      </c>
      <c r="M1030" s="1">
        <f>[1]!orders[[#This Row],[Ship Date]]-[1]!orders[[#This Row],[Order Date]]</f>
        <v>5</v>
      </c>
      <c r="N1030" s="1">
        <f>WEEKNUM([1]!orders[[#This Row],[Order Date]])</f>
        <v>7</v>
      </c>
      <c r="O1030" t="str" cm="1">
        <f t="array" ref="O1030">_xlfn.IFS([1]!orders[[#This Row],[Customer Gender]]="M","Male", [1]!orders[[#This Row],[Customer Gender]]="F","Female", [1]!orders[[#This Row],[Customer Gender]]="O","Other", TRUE,"Unknown")</f>
        <v>Female</v>
      </c>
    </row>
    <row r="1031" spans="1:15" x14ac:dyDescent="0.25">
      <c r="A1031" t="s">
        <v>1113</v>
      </c>
      <c r="B1031" t="s">
        <v>24</v>
      </c>
      <c r="C1031">
        <v>2</v>
      </c>
      <c r="D1031">
        <v>94</v>
      </c>
      <c r="E1031">
        <v>188</v>
      </c>
      <c r="F1031" s="3">
        <v>45698</v>
      </c>
      <c r="G1031" s="3">
        <v>45699</v>
      </c>
      <c r="H1031" t="s">
        <v>8</v>
      </c>
      <c r="I1031" t="s">
        <v>25</v>
      </c>
      <c r="J1031">
        <v>5</v>
      </c>
      <c r="K1031" t="s">
        <v>4</v>
      </c>
      <c r="L1031" t="s">
        <v>18</v>
      </c>
      <c r="M1031">
        <f>[1]!orders[[#This Row],[Ship Date]]-[1]!orders[[#This Row],[Order Date]]</f>
        <v>1</v>
      </c>
      <c r="N1031">
        <f>WEEKNUM([1]!orders[[#This Row],[Order Date]])</f>
        <v>7</v>
      </c>
      <c r="O1031" t="str" cm="1">
        <f t="array" ref="O1031">_xlfn.IFS([1]!orders[[#This Row],[Customer Gender]]="M","Male", [1]!orders[[#This Row],[Customer Gender]]="F","Female", [1]!orders[[#This Row],[Customer Gender]]="O","Other", TRUE,"Unknown")</f>
        <v>Male</v>
      </c>
    </row>
    <row r="1032" spans="1:15" x14ac:dyDescent="0.25">
      <c r="A1032" s="1" t="s">
        <v>1114</v>
      </c>
      <c r="B1032" s="1" t="s">
        <v>39</v>
      </c>
      <c r="C1032" s="1">
        <v>2</v>
      </c>
      <c r="D1032" s="1">
        <v>30.7</v>
      </c>
      <c r="E1032" s="1">
        <v>61.4</v>
      </c>
      <c r="F1032" s="2">
        <v>45698</v>
      </c>
      <c r="G1032" s="2">
        <v>45699</v>
      </c>
      <c r="H1032" s="1" t="s">
        <v>12</v>
      </c>
      <c r="I1032" s="1" t="s">
        <v>3</v>
      </c>
      <c r="J1032" s="1">
        <v>3</v>
      </c>
      <c r="K1032" s="1" t="s">
        <v>4</v>
      </c>
      <c r="L1032" s="1" t="s">
        <v>18</v>
      </c>
      <c r="M1032" s="1">
        <f>[1]!orders[[#This Row],[Ship Date]]-[1]!orders[[#This Row],[Order Date]]</f>
        <v>1</v>
      </c>
      <c r="N1032" s="1">
        <f>WEEKNUM([1]!orders[[#This Row],[Order Date]])</f>
        <v>7</v>
      </c>
      <c r="O1032" t="str" cm="1">
        <f t="array" ref="O1032">_xlfn.IFS([1]!orders[[#This Row],[Customer Gender]]="M","Male", [1]!orders[[#This Row],[Customer Gender]]="F","Female", [1]!orders[[#This Row],[Customer Gender]]="O","Other", TRUE,"Unknown")</f>
        <v>Female</v>
      </c>
    </row>
    <row r="1033" spans="1:15" x14ac:dyDescent="0.25">
      <c r="A1033" t="s">
        <v>1115</v>
      </c>
      <c r="B1033" t="s">
        <v>22</v>
      </c>
      <c r="C1033">
        <v>5</v>
      </c>
      <c r="D1033">
        <v>90.5</v>
      </c>
      <c r="E1033">
        <v>452.5</v>
      </c>
      <c r="F1033" s="3">
        <v>45698</v>
      </c>
      <c r="G1033" s="3">
        <v>45705</v>
      </c>
      <c r="H1033" t="s">
        <v>8</v>
      </c>
      <c r="I1033" t="s">
        <v>3</v>
      </c>
      <c r="J1033">
        <v>5</v>
      </c>
      <c r="K1033" t="s">
        <v>4</v>
      </c>
      <c r="L1033" t="s">
        <v>18</v>
      </c>
      <c r="M1033">
        <f>[1]!orders[[#This Row],[Ship Date]]-[1]!orders[[#This Row],[Order Date]]</f>
        <v>7</v>
      </c>
      <c r="N1033">
        <f>WEEKNUM([1]!orders[[#This Row],[Order Date]])</f>
        <v>7</v>
      </c>
      <c r="O1033" t="str" cm="1">
        <f t="array" ref="O1033">_xlfn.IFS([1]!orders[[#This Row],[Customer Gender]]="M","Male", [1]!orders[[#This Row],[Customer Gender]]="F","Female", [1]!orders[[#This Row],[Customer Gender]]="O","Other", TRUE,"Unknown")</f>
        <v>Male</v>
      </c>
    </row>
    <row r="1034" spans="1:15" x14ac:dyDescent="0.25">
      <c r="A1034" s="1" t="s">
        <v>1116</v>
      </c>
      <c r="B1034" s="1" t="s">
        <v>29</v>
      </c>
      <c r="C1034" s="1">
        <v>5</v>
      </c>
      <c r="D1034" s="1">
        <v>25.3</v>
      </c>
      <c r="E1034" s="1">
        <v>126.5</v>
      </c>
      <c r="F1034" s="2">
        <v>45698</v>
      </c>
      <c r="G1034" s="2">
        <v>45702</v>
      </c>
      <c r="H1034" s="1" t="s">
        <v>12</v>
      </c>
      <c r="I1034" s="1" t="s">
        <v>3</v>
      </c>
      <c r="J1034" s="1">
        <v>5</v>
      </c>
      <c r="K1034" s="1" t="s">
        <v>4</v>
      </c>
      <c r="L1034" s="1" t="s">
        <v>18</v>
      </c>
      <c r="M1034" s="1">
        <f>[1]!orders[[#This Row],[Ship Date]]-[1]!orders[[#This Row],[Order Date]]</f>
        <v>4</v>
      </c>
      <c r="N1034" s="1">
        <f>WEEKNUM([1]!orders[[#This Row],[Order Date]])</f>
        <v>7</v>
      </c>
      <c r="O1034" t="str" cm="1">
        <f t="array" ref="O1034">_xlfn.IFS([1]!orders[[#This Row],[Customer Gender]]="M","Male", [1]!orders[[#This Row],[Customer Gender]]="F","Female", [1]!orders[[#This Row],[Customer Gender]]="O","Other", TRUE,"Unknown")</f>
        <v>Female</v>
      </c>
    </row>
    <row r="1035" spans="1:15" x14ac:dyDescent="0.25">
      <c r="A1035" t="s">
        <v>1117</v>
      </c>
      <c r="B1035" t="s">
        <v>24</v>
      </c>
      <c r="C1035">
        <v>3</v>
      </c>
      <c r="D1035">
        <v>58.1</v>
      </c>
      <c r="E1035">
        <v>174.3</v>
      </c>
      <c r="F1035" s="3">
        <v>45698</v>
      </c>
      <c r="G1035" s="3">
        <v>45702</v>
      </c>
      <c r="H1035" t="s">
        <v>2</v>
      </c>
      <c r="I1035" t="s">
        <v>3</v>
      </c>
      <c r="J1035">
        <v>5</v>
      </c>
      <c r="K1035" t="s">
        <v>4</v>
      </c>
      <c r="L1035" t="s">
        <v>18</v>
      </c>
      <c r="M1035">
        <f>[1]!orders[[#This Row],[Ship Date]]-[1]!orders[[#This Row],[Order Date]]</f>
        <v>4</v>
      </c>
      <c r="N1035">
        <f>WEEKNUM([1]!orders[[#This Row],[Order Date]])</f>
        <v>7</v>
      </c>
      <c r="O1035" t="str" cm="1">
        <f t="array" ref="O1035">_xlfn.IFS([1]!orders[[#This Row],[Customer Gender]]="M","Male", [1]!orders[[#This Row],[Customer Gender]]="F","Female", [1]!orders[[#This Row],[Customer Gender]]="O","Other", TRUE,"Unknown")</f>
        <v>Unknown</v>
      </c>
    </row>
    <row r="1036" spans="1:15" x14ac:dyDescent="0.25">
      <c r="A1036" s="1" t="s">
        <v>1118</v>
      </c>
      <c r="B1036" s="1" t="s">
        <v>11</v>
      </c>
      <c r="C1036" s="1">
        <v>3</v>
      </c>
      <c r="D1036" s="1">
        <v>74.900000000000006</v>
      </c>
      <c r="E1036" s="1">
        <v>224.70000000000002</v>
      </c>
      <c r="F1036" s="2">
        <v>45698</v>
      </c>
      <c r="G1036" s="2">
        <v>45699</v>
      </c>
      <c r="H1036" s="1" t="s">
        <v>12</v>
      </c>
      <c r="I1036" s="1" t="s">
        <v>55</v>
      </c>
      <c r="J1036" s="1">
        <v>4</v>
      </c>
      <c r="K1036" s="1" t="s">
        <v>4</v>
      </c>
      <c r="L1036" s="1" t="s">
        <v>18</v>
      </c>
      <c r="M1036" s="1">
        <f>[1]!orders[[#This Row],[Ship Date]]-[1]!orders[[#This Row],[Order Date]]</f>
        <v>1</v>
      </c>
      <c r="N1036" s="1">
        <f>WEEKNUM([1]!orders[[#This Row],[Order Date]])</f>
        <v>7</v>
      </c>
      <c r="O1036" t="str" cm="1">
        <f t="array" ref="O1036">_xlfn.IFS([1]!orders[[#This Row],[Customer Gender]]="M","Male", [1]!orders[[#This Row],[Customer Gender]]="F","Female", [1]!orders[[#This Row],[Customer Gender]]="O","Other", TRUE,"Unknown")</f>
        <v>Female</v>
      </c>
    </row>
    <row r="1037" spans="1:15" x14ac:dyDescent="0.25">
      <c r="A1037" t="s">
        <v>1119</v>
      </c>
      <c r="B1037" t="s">
        <v>17</v>
      </c>
      <c r="C1037">
        <v>2</v>
      </c>
      <c r="D1037">
        <v>32.5</v>
      </c>
      <c r="E1037">
        <v>65</v>
      </c>
      <c r="F1037" s="3">
        <v>45698</v>
      </c>
      <c r="G1037" s="3">
        <v>45699</v>
      </c>
      <c r="H1037" t="s">
        <v>8</v>
      </c>
      <c r="I1037" t="s">
        <v>25</v>
      </c>
      <c r="J1037">
        <v>5</v>
      </c>
      <c r="K1037" t="s">
        <v>4</v>
      </c>
      <c r="L1037" t="s">
        <v>530</v>
      </c>
      <c r="M1037">
        <f>[1]!orders[[#This Row],[Ship Date]]-[1]!orders[[#This Row],[Order Date]]</f>
        <v>1</v>
      </c>
      <c r="N1037">
        <f>WEEKNUM([1]!orders[[#This Row],[Order Date]])</f>
        <v>7</v>
      </c>
      <c r="O1037" t="str" cm="1">
        <f t="array" ref="O1037">_xlfn.IFS([1]!orders[[#This Row],[Customer Gender]]="M","Male", [1]!orders[[#This Row],[Customer Gender]]="F","Female", [1]!orders[[#This Row],[Customer Gender]]="O","Other", TRUE,"Unknown")</f>
        <v>Male</v>
      </c>
    </row>
    <row r="1038" spans="1:15" x14ac:dyDescent="0.25">
      <c r="A1038" s="1" t="s">
        <v>1120</v>
      </c>
      <c r="B1038" s="1" t="s">
        <v>17</v>
      </c>
      <c r="C1038" s="1">
        <v>5</v>
      </c>
      <c r="D1038" s="1">
        <v>62</v>
      </c>
      <c r="E1038" s="1">
        <v>310</v>
      </c>
      <c r="F1038" s="2">
        <v>45698</v>
      </c>
      <c r="G1038" s="2">
        <v>45699</v>
      </c>
      <c r="H1038" s="1" t="s">
        <v>8</v>
      </c>
      <c r="I1038" s="1" t="s">
        <v>55</v>
      </c>
      <c r="J1038" s="1">
        <v>5</v>
      </c>
      <c r="K1038" s="1" t="s">
        <v>4</v>
      </c>
      <c r="L1038" s="1" t="s">
        <v>173</v>
      </c>
      <c r="M1038" s="1">
        <f>[1]!orders[[#This Row],[Ship Date]]-[1]!orders[[#This Row],[Order Date]]</f>
        <v>1</v>
      </c>
      <c r="N1038" s="1">
        <f>WEEKNUM([1]!orders[[#This Row],[Order Date]])</f>
        <v>7</v>
      </c>
      <c r="O1038" t="str" cm="1">
        <f t="array" ref="O1038">_xlfn.IFS([1]!orders[[#This Row],[Customer Gender]]="M","Male", [1]!orders[[#This Row],[Customer Gender]]="F","Female", [1]!orders[[#This Row],[Customer Gender]]="O","Other", TRUE,"Unknown")</f>
        <v>Male</v>
      </c>
    </row>
    <row r="1039" spans="1:15" x14ac:dyDescent="0.25">
      <c r="A1039" t="s">
        <v>1121</v>
      </c>
      <c r="B1039" t="s">
        <v>61</v>
      </c>
      <c r="C1039">
        <v>6</v>
      </c>
      <c r="D1039">
        <v>28.9</v>
      </c>
      <c r="E1039">
        <v>173.39999999999998</v>
      </c>
      <c r="F1039" s="3">
        <v>45698</v>
      </c>
      <c r="G1039" s="3">
        <v>45701</v>
      </c>
      <c r="H1039" t="s">
        <v>12</v>
      </c>
      <c r="I1039" t="s">
        <v>3</v>
      </c>
      <c r="J1039">
        <v>3</v>
      </c>
      <c r="K1039" t="s">
        <v>4</v>
      </c>
      <c r="L1039" t="s">
        <v>40</v>
      </c>
      <c r="M1039">
        <f>[1]!orders[[#This Row],[Ship Date]]-[1]!orders[[#This Row],[Order Date]]</f>
        <v>3</v>
      </c>
      <c r="N1039">
        <f>WEEKNUM([1]!orders[[#This Row],[Order Date]])</f>
        <v>7</v>
      </c>
      <c r="O1039" t="str" cm="1">
        <f t="array" ref="O1039">_xlfn.IFS([1]!orders[[#This Row],[Customer Gender]]="M","Male", [1]!orders[[#This Row],[Customer Gender]]="F","Female", [1]!orders[[#This Row],[Customer Gender]]="O","Other", TRUE,"Unknown")</f>
        <v>Female</v>
      </c>
    </row>
    <row r="1040" spans="1:15" x14ac:dyDescent="0.25">
      <c r="A1040" s="1" t="s">
        <v>1122</v>
      </c>
      <c r="B1040" s="1" t="s">
        <v>24</v>
      </c>
      <c r="C1040" s="1">
        <v>8</v>
      </c>
      <c r="D1040" s="1">
        <v>42.8</v>
      </c>
      <c r="E1040" s="1">
        <v>342.4</v>
      </c>
      <c r="F1040" s="2">
        <v>45698</v>
      </c>
      <c r="G1040" s="2">
        <v>45700</v>
      </c>
      <c r="H1040" s="1" t="s">
        <v>12</v>
      </c>
      <c r="I1040" s="1" t="s">
        <v>3</v>
      </c>
      <c r="J1040" s="1">
        <v>5</v>
      </c>
      <c r="K1040" s="1" t="s">
        <v>4</v>
      </c>
      <c r="L1040" s="1" t="s">
        <v>40</v>
      </c>
      <c r="M1040" s="1">
        <f>[1]!orders[[#This Row],[Ship Date]]-[1]!orders[[#This Row],[Order Date]]</f>
        <v>2</v>
      </c>
      <c r="N1040" s="1">
        <f>WEEKNUM([1]!orders[[#This Row],[Order Date]])</f>
        <v>7</v>
      </c>
      <c r="O1040" t="str" cm="1">
        <f t="array" ref="O1040">_xlfn.IFS([1]!orders[[#This Row],[Customer Gender]]="M","Male", [1]!orders[[#This Row],[Customer Gender]]="F","Female", [1]!orders[[#This Row],[Customer Gender]]="O","Other", TRUE,"Unknown")</f>
        <v>Female</v>
      </c>
    </row>
    <row r="1041" spans="1:15" x14ac:dyDescent="0.25">
      <c r="A1041" t="s">
        <v>1123</v>
      </c>
      <c r="B1041" t="s">
        <v>29</v>
      </c>
      <c r="C1041">
        <v>8</v>
      </c>
      <c r="D1041">
        <v>39.4</v>
      </c>
      <c r="E1041">
        <v>315.2</v>
      </c>
      <c r="F1041" s="3">
        <v>45698</v>
      </c>
      <c r="G1041" s="3">
        <v>45700</v>
      </c>
      <c r="H1041" t="s">
        <v>8</v>
      </c>
      <c r="I1041" t="s">
        <v>3</v>
      </c>
      <c r="J1041">
        <v>4</v>
      </c>
      <c r="K1041" t="s">
        <v>4</v>
      </c>
      <c r="L1041" t="s">
        <v>327</v>
      </c>
      <c r="M1041">
        <f>[1]!orders[[#This Row],[Ship Date]]-[1]!orders[[#This Row],[Order Date]]</f>
        <v>2</v>
      </c>
      <c r="N1041">
        <f>WEEKNUM([1]!orders[[#This Row],[Order Date]])</f>
        <v>7</v>
      </c>
      <c r="O1041" t="str" cm="1">
        <f t="array" ref="O1041">_xlfn.IFS([1]!orders[[#This Row],[Customer Gender]]="M","Male", [1]!orders[[#This Row],[Customer Gender]]="F","Female", [1]!orders[[#This Row],[Customer Gender]]="O","Other", TRUE,"Unknown")</f>
        <v>Male</v>
      </c>
    </row>
    <row r="1042" spans="1:15" x14ac:dyDescent="0.25">
      <c r="A1042" s="1" t="s">
        <v>1124</v>
      </c>
      <c r="B1042" s="1" t="s">
        <v>131</v>
      </c>
      <c r="C1042" s="1">
        <v>3</v>
      </c>
      <c r="D1042" s="1">
        <v>66.400000000000006</v>
      </c>
      <c r="E1042" s="1">
        <v>199.20000000000002</v>
      </c>
      <c r="F1042" s="2">
        <v>45698</v>
      </c>
      <c r="G1042" s="2">
        <v>45699</v>
      </c>
      <c r="H1042" s="1" t="s">
        <v>2</v>
      </c>
      <c r="I1042" s="1" t="s">
        <v>25</v>
      </c>
      <c r="J1042" s="1">
        <v>3</v>
      </c>
      <c r="K1042" s="1" t="s">
        <v>4</v>
      </c>
      <c r="L1042" s="1" t="s">
        <v>44</v>
      </c>
      <c r="M1042" s="1">
        <f>[1]!orders[[#This Row],[Ship Date]]-[1]!orders[[#This Row],[Order Date]]</f>
        <v>1</v>
      </c>
      <c r="N1042" s="1">
        <f>WEEKNUM([1]!orders[[#This Row],[Order Date]])</f>
        <v>7</v>
      </c>
      <c r="O1042" t="str" cm="1">
        <f t="array" ref="O1042">_xlfn.IFS([1]!orders[[#This Row],[Customer Gender]]="M","Male", [1]!orders[[#This Row],[Customer Gender]]="F","Female", [1]!orders[[#This Row],[Customer Gender]]="O","Other", TRUE,"Unknown")</f>
        <v>Unknown</v>
      </c>
    </row>
    <row r="1043" spans="1:15" x14ac:dyDescent="0.25">
      <c r="A1043" t="s">
        <v>1125</v>
      </c>
      <c r="B1043" t="s">
        <v>120</v>
      </c>
      <c r="C1043">
        <v>4</v>
      </c>
      <c r="D1043">
        <v>35.9</v>
      </c>
      <c r="E1043">
        <v>143.6</v>
      </c>
      <c r="F1043" s="3">
        <v>45698</v>
      </c>
      <c r="G1043" s="3">
        <v>45705</v>
      </c>
      <c r="H1043" t="s">
        <v>12</v>
      </c>
      <c r="I1043" t="s">
        <v>20</v>
      </c>
      <c r="J1043">
        <v>4</v>
      </c>
      <c r="K1043" t="s">
        <v>4</v>
      </c>
      <c r="L1043" t="s">
        <v>44</v>
      </c>
      <c r="M1043">
        <f>[1]!orders[[#This Row],[Ship Date]]-[1]!orders[[#This Row],[Order Date]]</f>
        <v>7</v>
      </c>
      <c r="N1043">
        <f>WEEKNUM([1]!orders[[#This Row],[Order Date]])</f>
        <v>7</v>
      </c>
      <c r="O1043" t="str" cm="1">
        <f t="array" ref="O1043">_xlfn.IFS([1]!orders[[#This Row],[Customer Gender]]="M","Male", [1]!orders[[#This Row],[Customer Gender]]="F","Female", [1]!orders[[#This Row],[Customer Gender]]="O","Other", TRUE,"Unknown")</f>
        <v>Female</v>
      </c>
    </row>
    <row r="1044" spans="1:15" x14ac:dyDescent="0.25">
      <c r="A1044" s="1" t="s">
        <v>1126</v>
      </c>
      <c r="B1044" s="1" t="s">
        <v>1</v>
      </c>
      <c r="C1044" s="1">
        <v>4</v>
      </c>
      <c r="D1044" s="1">
        <v>26.9</v>
      </c>
      <c r="E1044" s="1">
        <v>107.6</v>
      </c>
      <c r="F1044" s="2">
        <v>45698</v>
      </c>
      <c r="G1044" s="2">
        <v>45699</v>
      </c>
      <c r="H1044" s="1" t="s">
        <v>8</v>
      </c>
      <c r="I1044" s="1" t="s">
        <v>20</v>
      </c>
      <c r="J1044" s="1">
        <v>4</v>
      </c>
      <c r="K1044" s="1" t="s">
        <v>4</v>
      </c>
      <c r="L1044" s="1" t="s">
        <v>44</v>
      </c>
      <c r="M1044" s="1">
        <f>[1]!orders[[#This Row],[Ship Date]]-[1]!orders[[#This Row],[Order Date]]</f>
        <v>1</v>
      </c>
      <c r="N1044" s="1">
        <f>WEEKNUM([1]!orders[[#This Row],[Order Date]])</f>
        <v>7</v>
      </c>
      <c r="O1044" t="str" cm="1">
        <f t="array" ref="O1044">_xlfn.IFS([1]!orders[[#This Row],[Customer Gender]]="M","Male", [1]!orders[[#This Row],[Customer Gender]]="F","Female", [1]!orders[[#This Row],[Customer Gender]]="O","Other", TRUE,"Unknown")</f>
        <v>Male</v>
      </c>
    </row>
    <row r="1045" spans="1:15" x14ac:dyDescent="0.25">
      <c r="A1045" t="s">
        <v>1127</v>
      </c>
      <c r="B1045" t="s">
        <v>11</v>
      </c>
      <c r="C1045">
        <v>1</v>
      </c>
      <c r="D1045">
        <v>55.1</v>
      </c>
      <c r="E1045">
        <v>55.1</v>
      </c>
      <c r="F1045" s="3">
        <v>45698</v>
      </c>
      <c r="G1045" s="3">
        <v>45699</v>
      </c>
      <c r="H1045" t="s">
        <v>12</v>
      </c>
      <c r="I1045" t="s">
        <v>3</v>
      </c>
      <c r="J1045">
        <v>4</v>
      </c>
      <c r="K1045" t="s">
        <v>4</v>
      </c>
      <c r="L1045" t="s">
        <v>44</v>
      </c>
      <c r="M1045">
        <f>[1]!orders[[#This Row],[Ship Date]]-[1]!orders[[#This Row],[Order Date]]</f>
        <v>1</v>
      </c>
      <c r="N1045">
        <f>WEEKNUM([1]!orders[[#This Row],[Order Date]])</f>
        <v>7</v>
      </c>
      <c r="O1045" t="str" cm="1">
        <f t="array" ref="O1045">_xlfn.IFS([1]!orders[[#This Row],[Customer Gender]]="M","Male", [1]!orders[[#This Row],[Customer Gender]]="F","Female", [1]!orders[[#This Row],[Customer Gender]]="O","Other", TRUE,"Unknown")</f>
        <v>Female</v>
      </c>
    </row>
    <row r="1046" spans="1:15" x14ac:dyDescent="0.25">
      <c r="A1046" s="1" t="s">
        <v>1128</v>
      </c>
      <c r="B1046" s="1" t="s">
        <v>17</v>
      </c>
      <c r="C1046" s="1">
        <v>2</v>
      </c>
      <c r="D1046" s="1">
        <v>23.9</v>
      </c>
      <c r="E1046" s="1">
        <v>47.8</v>
      </c>
      <c r="F1046" s="2">
        <v>45698</v>
      </c>
      <c r="G1046" s="2">
        <v>45699</v>
      </c>
      <c r="H1046" s="1" t="s">
        <v>8</v>
      </c>
      <c r="I1046" s="1" t="s">
        <v>3</v>
      </c>
      <c r="J1046" s="1">
        <v>5</v>
      </c>
      <c r="K1046" s="1" t="s">
        <v>4</v>
      </c>
      <c r="L1046" s="1" t="s">
        <v>47</v>
      </c>
      <c r="M1046" s="1">
        <f>[1]!orders[[#This Row],[Ship Date]]-[1]!orders[[#This Row],[Order Date]]</f>
        <v>1</v>
      </c>
      <c r="N1046" s="1">
        <f>WEEKNUM([1]!orders[[#This Row],[Order Date]])</f>
        <v>7</v>
      </c>
      <c r="O1046" t="str" cm="1">
        <f t="array" ref="O1046">_xlfn.IFS([1]!orders[[#This Row],[Customer Gender]]="M","Male", [1]!orders[[#This Row],[Customer Gender]]="F","Female", [1]!orders[[#This Row],[Customer Gender]]="O","Other", TRUE,"Unknown")</f>
        <v>Male</v>
      </c>
    </row>
    <row r="1047" spans="1:15" x14ac:dyDescent="0.25">
      <c r="A1047" t="s">
        <v>1129</v>
      </c>
      <c r="B1047" t="s">
        <v>31</v>
      </c>
      <c r="C1047">
        <v>13</v>
      </c>
      <c r="D1047">
        <v>21.1</v>
      </c>
      <c r="E1047">
        <v>274.3</v>
      </c>
      <c r="F1047" s="3">
        <v>45698</v>
      </c>
      <c r="G1047" s="3">
        <v>45706</v>
      </c>
      <c r="H1047" t="s">
        <v>12</v>
      </c>
      <c r="I1047" t="s">
        <v>3</v>
      </c>
      <c r="J1047">
        <v>3</v>
      </c>
      <c r="K1047" t="s">
        <v>4</v>
      </c>
      <c r="L1047" t="s">
        <v>47</v>
      </c>
      <c r="M1047">
        <f>[1]!orders[[#This Row],[Ship Date]]-[1]!orders[[#This Row],[Order Date]]</f>
        <v>8</v>
      </c>
      <c r="N1047">
        <f>WEEKNUM([1]!orders[[#This Row],[Order Date]])</f>
        <v>7</v>
      </c>
      <c r="O1047" t="str" cm="1">
        <f t="array" ref="O1047">_xlfn.IFS([1]!orders[[#This Row],[Customer Gender]]="M","Male", [1]!orders[[#This Row],[Customer Gender]]="F","Female", [1]!orders[[#This Row],[Customer Gender]]="O","Other", TRUE,"Unknown")</f>
        <v>Female</v>
      </c>
    </row>
    <row r="1048" spans="1:15" x14ac:dyDescent="0.25">
      <c r="A1048" s="1" t="s">
        <v>1130</v>
      </c>
      <c r="B1048" s="1" t="s">
        <v>29</v>
      </c>
      <c r="C1048" s="1">
        <v>5</v>
      </c>
      <c r="D1048" s="1">
        <v>33.799999999999997</v>
      </c>
      <c r="E1048" s="1">
        <v>169</v>
      </c>
      <c r="F1048" s="2">
        <v>45698</v>
      </c>
      <c r="G1048" s="2">
        <v>45700</v>
      </c>
      <c r="H1048" s="1" t="s">
        <v>12</v>
      </c>
      <c r="I1048" s="1" t="s">
        <v>3</v>
      </c>
      <c r="J1048" s="1">
        <v>4</v>
      </c>
      <c r="K1048" s="1" t="s">
        <v>4</v>
      </c>
      <c r="L1048" s="1" t="s">
        <v>47</v>
      </c>
      <c r="M1048" s="1">
        <f>[1]!orders[[#This Row],[Ship Date]]-[1]!orders[[#This Row],[Order Date]]</f>
        <v>2</v>
      </c>
      <c r="N1048" s="1">
        <f>WEEKNUM([1]!orders[[#This Row],[Order Date]])</f>
        <v>7</v>
      </c>
      <c r="O1048" t="str" cm="1">
        <f t="array" ref="O1048">_xlfn.IFS([1]!orders[[#This Row],[Customer Gender]]="M","Male", [1]!orders[[#This Row],[Customer Gender]]="F","Female", [1]!orders[[#This Row],[Customer Gender]]="O","Other", TRUE,"Unknown")</f>
        <v>Female</v>
      </c>
    </row>
    <row r="1049" spans="1:15" x14ac:dyDescent="0.25">
      <c r="A1049" t="s">
        <v>1131</v>
      </c>
      <c r="B1049" t="s">
        <v>11</v>
      </c>
      <c r="C1049">
        <v>4</v>
      </c>
      <c r="D1049">
        <v>56.1</v>
      </c>
      <c r="E1049">
        <v>224.4</v>
      </c>
      <c r="F1049" s="3">
        <v>45698</v>
      </c>
      <c r="G1049" s="3">
        <v>45698</v>
      </c>
      <c r="H1049" t="s">
        <v>12</v>
      </c>
      <c r="I1049" t="s">
        <v>36</v>
      </c>
      <c r="J1049">
        <v>5</v>
      </c>
      <c r="K1049" t="s">
        <v>4</v>
      </c>
      <c r="L1049" t="s">
        <v>57</v>
      </c>
      <c r="M1049">
        <f>[1]!orders[[#This Row],[Ship Date]]-[1]!orders[[#This Row],[Order Date]]</f>
        <v>0</v>
      </c>
      <c r="N1049">
        <f>WEEKNUM([1]!orders[[#This Row],[Order Date]])</f>
        <v>7</v>
      </c>
      <c r="O1049" t="str" cm="1">
        <f t="array" ref="O1049">_xlfn.IFS([1]!orders[[#This Row],[Customer Gender]]="M","Male", [1]!orders[[#This Row],[Customer Gender]]="F","Female", [1]!orders[[#This Row],[Customer Gender]]="O","Other", TRUE,"Unknown")</f>
        <v>Female</v>
      </c>
    </row>
    <row r="1050" spans="1:15" x14ac:dyDescent="0.25">
      <c r="A1050" s="1" t="s">
        <v>1132</v>
      </c>
      <c r="B1050" s="1" t="s">
        <v>15</v>
      </c>
      <c r="C1050" s="1">
        <v>1</v>
      </c>
      <c r="D1050" s="1">
        <v>58.5</v>
      </c>
      <c r="E1050" s="1">
        <v>58.5</v>
      </c>
      <c r="F1050" s="2">
        <v>45699</v>
      </c>
      <c r="G1050" s="2">
        <v>45703</v>
      </c>
      <c r="H1050" s="1" t="s">
        <v>12</v>
      </c>
      <c r="I1050" s="1" t="s">
        <v>20</v>
      </c>
      <c r="J1050" s="1">
        <v>5</v>
      </c>
      <c r="K1050" s="1" t="s">
        <v>4</v>
      </c>
      <c r="L1050" s="1" t="s">
        <v>57</v>
      </c>
      <c r="M1050" s="1">
        <f>[1]!orders[[#This Row],[Ship Date]]-[1]!orders[[#This Row],[Order Date]]</f>
        <v>4</v>
      </c>
      <c r="N1050" s="1">
        <f>WEEKNUM([1]!orders[[#This Row],[Order Date]])</f>
        <v>7</v>
      </c>
      <c r="O1050" t="str" cm="1">
        <f t="array" ref="O1050">_xlfn.IFS([1]!orders[[#This Row],[Customer Gender]]="M","Male", [1]!orders[[#This Row],[Customer Gender]]="F","Female", [1]!orders[[#This Row],[Customer Gender]]="O","Other", TRUE,"Unknown")</f>
        <v>Female</v>
      </c>
    </row>
    <row r="1051" spans="1:15" x14ac:dyDescent="0.25">
      <c r="A1051" t="s">
        <v>1133</v>
      </c>
      <c r="B1051" t="s">
        <v>24</v>
      </c>
      <c r="C1051">
        <v>1</v>
      </c>
      <c r="D1051">
        <v>84.2</v>
      </c>
      <c r="E1051">
        <v>84.2</v>
      </c>
      <c r="F1051" s="3">
        <v>45699</v>
      </c>
      <c r="G1051" s="3">
        <v>45701</v>
      </c>
      <c r="H1051" t="s">
        <v>8</v>
      </c>
      <c r="I1051" t="s">
        <v>36</v>
      </c>
      <c r="J1051">
        <v>4</v>
      </c>
      <c r="K1051" t="s">
        <v>4</v>
      </c>
      <c r="L1051" t="s">
        <v>62</v>
      </c>
      <c r="M1051">
        <f>[1]!orders[[#This Row],[Ship Date]]-[1]!orders[[#This Row],[Order Date]]</f>
        <v>2</v>
      </c>
      <c r="N1051">
        <f>WEEKNUM([1]!orders[[#This Row],[Order Date]])</f>
        <v>7</v>
      </c>
      <c r="O1051" t="str" cm="1">
        <f t="array" ref="O1051">_xlfn.IFS([1]!orders[[#This Row],[Customer Gender]]="M","Male", [1]!orders[[#This Row],[Customer Gender]]="F","Female", [1]!orders[[#This Row],[Customer Gender]]="O","Other", TRUE,"Unknown")</f>
        <v>Male</v>
      </c>
    </row>
    <row r="1052" spans="1:15" x14ac:dyDescent="0.25">
      <c r="A1052" s="1" t="s">
        <v>1134</v>
      </c>
      <c r="B1052" s="1" t="s">
        <v>52</v>
      </c>
      <c r="C1052" s="1">
        <v>4</v>
      </c>
      <c r="D1052" s="1">
        <v>52</v>
      </c>
      <c r="E1052" s="1">
        <v>208</v>
      </c>
      <c r="F1052" s="2">
        <v>45699</v>
      </c>
      <c r="G1052" s="2">
        <v>45702</v>
      </c>
      <c r="H1052" s="1" t="s">
        <v>8</v>
      </c>
      <c r="I1052" s="1" t="s">
        <v>3</v>
      </c>
      <c r="J1052" s="1">
        <v>4</v>
      </c>
      <c r="K1052" s="1" t="s">
        <v>4</v>
      </c>
      <c r="L1052" s="1" t="s">
        <v>62</v>
      </c>
      <c r="M1052" s="1">
        <f>[1]!orders[[#This Row],[Ship Date]]-[1]!orders[[#This Row],[Order Date]]</f>
        <v>3</v>
      </c>
      <c r="N1052" s="1">
        <f>WEEKNUM([1]!orders[[#This Row],[Order Date]])</f>
        <v>7</v>
      </c>
      <c r="O1052" t="str" cm="1">
        <f t="array" ref="O1052">_xlfn.IFS([1]!orders[[#This Row],[Customer Gender]]="M","Male", [1]!orders[[#This Row],[Customer Gender]]="F","Female", [1]!orders[[#This Row],[Customer Gender]]="O","Other", TRUE,"Unknown")</f>
        <v>Male</v>
      </c>
    </row>
    <row r="1053" spans="1:15" x14ac:dyDescent="0.25">
      <c r="A1053" t="s">
        <v>1135</v>
      </c>
      <c r="B1053" t="s">
        <v>17</v>
      </c>
      <c r="C1053">
        <v>5</v>
      </c>
      <c r="D1053">
        <v>31.5</v>
      </c>
      <c r="E1053">
        <v>157.5</v>
      </c>
      <c r="F1053" s="3">
        <v>45699</v>
      </c>
      <c r="G1053" s="3">
        <v>45700</v>
      </c>
      <c r="H1053" t="s">
        <v>12</v>
      </c>
      <c r="I1053" t="s">
        <v>3</v>
      </c>
      <c r="J1053">
        <v>5</v>
      </c>
      <c r="K1053" t="s">
        <v>4</v>
      </c>
      <c r="L1053" t="s">
        <v>62</v>
      </c>
      <c r="M1053">
        <f>[1]!orders[[#This Row],[Ship Date]]-[1]!orders[[#This Row],[Order Date]]</f>
        <v>1</v>
      </c>
      <c r="N1053">
        <f>WEEKNUM([1]!orders[[#This Row],[Order Date]])</f>
        <v>7</v>
      </c>
      <c r="O1053" t="str" cm="1">
        <f t="array" ref="O1053">_xlfn.IFS([1]!orders[[#This Row],[Customer Gender]]="M","Male", [1]!orders[[#This Row],[Customer Gender]]="F","Female", [1]!orders[[#This Row],[Customer Gender]]="O","Other", TRUE,"Unknown")</f>
        <v>Female</v>
      </c>
    </row>
    <row r="1054" spans="1:15" x14ac:dyDescent="0.25">
      <c r="A1054" s="1" t="s">
        <v>1136</v>
      </c>
      <c r="B1054" s="1" t="s">
        <v>113</v>
      </c>
      <c r="C1054" s="1">
        <v>3</v>
      </c>
      <c r="D1054" s="1">
        <v>46.2</v>
      </c>
      <c r="E1054" s="1">
        <v>138.60000000000002</v>
      </c>
      <c r="F1054" s="2">
        <v>45699</v>
      </c>
      <c r="G1054" s="2">
        <v>45700</v>
      </c>
      <c r="H1054" s="1" t="s">
        <v>8</v>
      </c>
      <c r="I1054" s="1" t="s">
        <v>3</v>
      </c>
      <c r="J1054" s="1">
        <v>4</v>
      </c>
      <c r="K1054" s="1" t="s">
        <v>4</v>
      </c>
      <c r="L1054" s="1" t="s">
        <v>1101</v>
      </c>
      <c r="M1054" s="1">
        <f>[1]!orders[[#This Row],[Ship Date]]-[1]!orders[[#This Row],[Order Date]]</f>
        <v>1</v>
      </c>
      <c r="N1054" s="1">
        <f>WEEKNUM([1]!orders[[#This Row],[Order Date]])</f>
        <v>7</v>
      </c>
      <c r="O1054" t="str" cm="1">
        <f t="array" ref="O1054">_xlfn.IFS([1]!orders[[#This Row],[Customer Gender]]="M","Male", [1]!orders[[#This Row],[Customer Gender]]="F","Female", [1]!orders[[#This Row],[Customer Gender]]="O","Other", TRUE,"Unknown")</f>
        <v>Male</v>
      </c>
    </row>
    <row r="1055" spans="1:15" x14ac:dyDescent="0.25">
      <c r="A1055" t="s">
        <v>1137</v>
      </c>
      <c r="B1055" t="s">
        <v>11</v>
      </c>
      <c r="C1055">
        <v>6</v>
      </c>
      <c r="D1055">
        <v>135</v>
      </c>
      <c r="E1055">
        <v>810</v>
      </c>
      <c r="F1055" s="3">
        <v>45699</v>
      </c>
      <c r="G1055" s="3">
        <v>45700</v>
      </c>
      <c r="H1055" t="s">
        <v>12</v>
      </c>
      <c r="I1055" t="s">
        <v>20</v>
      </c>
      <c r="J1055">
        <v>5</v>
      </c>
      <c r="K1055" t="s">
        <v>4</v>
      </c>
      <c r="L1055" t="s">
        <v>93</v>
      </c>
      <c r="M1055">
        <f>[1]!orders[[#This Row],[Ship Date]]-[1]!orders[[#This Row],[Order Date]]</f>
        <v>1</v>
      </c>
      <c r="N1055">
        <f>WEEKNUM([1]!orders[[#This Row],[Order Date]])</f>
        <v>7</v>
      </c>
      <c r="O1055" t="str" cm="1">
        <f t="array" ref="O1055">_xlfn.IFS([1]!orders[[#This Row],[Customer Gender]]="M","Male", [1]!orders[[#This Row],[Customer Gender]]="F","Female", [1]!orders[[#This Row],[Customer Gender]]="O","Other", TRUE,"Unknown")</f>
        <v>Female</v>
      </c>
    </row>
    <row r="1056" spans="1:15" x14ac:dyDescent="0.25">
      <c r="A1056" s="1" t="s">
        <v>1138</v>
      </c>
      <c r="B1056" s="1" t="s">
        <v>54</v>
      </c>
      <c r="C1056" s="1">
        <v>3</v>
      </c>
      <c r="D1056" s="1">
        <v>92.2</v>
      </c>
      <c r="E1056" s="1">
        <v>276.60000000000002</v>
      </c>
      <c r="F1056" s="2">
        <v>45699</v>
      </c>
      <c r="G1056" s="2">
        <v>45703</v>
      </c>
      <c r="H1056" s="1" t="s">
        <v>8</v>
      </c>
      <c r="I1056" s="1" t="s">
        <v>3</v>
      </c>
      <c r="J1056" s="1">
        <v>4</v>
      </c>
      <c r="K1056" s="1" t="s">
        <v>4</v>
      </c>
      <c r="L1056" s="1" t="s">
        <v>100</v>
      </c>
      <c r="M1056" s="1">
        <f>[1]!orders[[#This Row],[Ship Date]]-[1]!orders[[#This Row],[Order Date]]</f>
        <v>4</v>
      </c>
      <c r="N1056" s="1">
        <f>WEEKNUM([1]!orders[[#This Row],[Order Date]])</f>
        <v>7</v>
      </c>
      <c r="O1056" t="str" cm="1">
        <f t="array" ref="O1056">_xlfn.IFS([1]!orders[[#This Row],[Customer Gender]]="M","Male", [1]!orders[[#This Row],[Customer Gender]]="F","Female", [1]!orders[[#This Row],[Customer Gender]]="O","Other", TRUE,"Unknown")</f>
        <v>Male</v>
      </c>
    </row>
    <row r="1057" spans="1:15" x14ac:dyDescent="0.25">
      <c r="A1057" t="s">
        <v>1139</v>
      </c>
      <c r="B1057" t="s">
        <v>29</v>
      </c>
      <c r="C1057">
        <v>1</v>
      </c>
      <c r="D1057">
        <v>36.6</v>
      </c>
      <c r="E1057">
        <v>36.6</v>
      </c>
      <c r="F1057" s="3">
        <v>45699</v>
      </c>
      <c r="G1057" s="3">
        <v>45701</v>
      </c>
      <c r="H1057" t="s">
        <v>8</v>
      </c>
      <c r="I1057" t="s">
        <v>25</v>
      </c>
      <c r="J1057">
        <v>5</v>
      </c>
      <c r="K1057" t="s">
        <v>4</v>
      </c>
      <c r="L1057" t="s">
        <v>100</v>
      </c>
      <c r="M1057">
        <f>[1]!orders[[#This Row],[Ship Date]]-[1]!orders[[#This Row],[Order Date]]</f>
        <v>2</v>
      </c>
      <c r="N1057">
        <f>WEEKNUM([1]!orders[[#This Row],[Order Date]])</f>
        <v>7</v>
      </c>
      <c r="O1057" t="str" cm="1">
        <f t="array" ref="O1057">_xlfn.IFS([1]!orders[[#This Row],[Customer Gender]]="M","Male", [1]!orders[[#This Row],[Customer Gender]]="F","Female", [1]!orders[[#This Row],[Customer Gender]]="O","Other", TRUE,"Unknown")</f>
        <v>Male</v>
      </c>
    </row>
    <row r="1058" spans="1:15" x14ac:dyDescent="0.25">
      <c r="A1058" s="1" t="s">
        <v>1140</v>
      </c>
      <c r="B1058" s="1" t="s">
        <v>31</v>
      </c>
      <c r="C1058" s="1">
        <v>2</v>
      </c>
      <c r="D1058" s="1">
        <v>50.6</v>
      </c>
      <c r="E1058" s="1">
        <v>101.2</v>
      </c>
      <c r="F1058" s="2">
        <v>45699</v>
      </c>
      <c r="G1058" s="2">
        <v>45702</v>
      </c>
      <c r="H1058" s="1" t="s">
        <v>12</v>
      </c>
      <c r="I1058" s="1" t="s">
        <v>3</v>
      </c>
      <c r="J1058" s="1">
        <v>4</v>
      </c>
      <c r="K1058" s="1" t="s">
        <v>4</v>
      </c>
      <c r="L1058" s="1" t="s">
        <v>13</v>
      </c>
      <c r="M1058" s="1">
        <f>[1]!orders[[#This Row],[Ship Date]]-[1]!orders[[#This Row],[Order Date]]</f>
        <v>3</v>
      </c>
      <c r="N1058" s="1">
        <f>WEEKNUM([1]!orders[[#This Row],[Order Date]])</f>
        <v>7</v>
      </c>
      <c r="O1058" t="str" cm="1">
        <f t="array" ref="O1058">_xlfn.IFS([1]!orders[[#This Row],[Customer Gender]]="M","Male", [1]!orders[[#This Row],[Customer Gender]]="F","Female", [1]!orders[[#This Row],[Customer Gender]]="O","Other", TRUE,"Unknown")</f>
        <v>Female</v>
      </c>
    </row>
    <row r="1059" spans="1:15" x14ac:dyDescent="0.25">
      <c r="A1059" t="s">
        <v>1141</v>
      </c>
      <c r="B1059" t="s">
        <v>131</v>
      </c>
      <c r="C1059">
        <v>7</v>
      </c>
      <c r="D1059">
        <v>56.7</v>
      </c>
      <c r="E1059">
        <v>396.90000000000003</v>
      </c>
      <c r="F1059" s="3">
        <v>45699</v>
      </c>
      <c r="G1059" s="3">
        <v>45702</v>
      </c>
      <c r="H1059" t="s">
        <v>12</v>
      </c>
      <c r="I1059" t="s">
        <v>3</v>
      </c>
      <c r="J1059">
        <v>4</v>
      </c>
      <c r="K1059" t="s">
        <v>4</v>
      </c>
      <c r="L1059" t="s">
        <v>13</v>
      </c>
      <c r="M1059">
        <f>[1]!orders[[#This Row],[Ship Date]]-[1]!orders[[#This Row],[Order Date]]</f>
        <v>3</v>
      </c>
      <c r="N1059">
        <f>WEEKNUM([1]!orders[[#This Row],[Order Date]])</f>
        <v>7</v>
      </c>
      <c r="O1059" t="str" cm="1">
        <f t="array" ref="O1059">_xlfn.IFS([1]!orders[[#This Row],[Customer Gender]]="M","Male", [1]!orders[[#This Row],[Customer Gender]]="F","Female", [1]!orders[[#This Row],[Customer Gender]]="O","Other", TRUE,"Unknown")</f>
        <v>Female</v>
      </c>
    </row>
    <row r="1060" spans="1:15" x14ac:dyDescent="0.25">
      <c r="A1060" s="1" t="s">
        <v>1142</v>
      </c>
      <c r="B1060" s="1" t="s">
        <v>31</v>
      </c>
      <c r="C1060" s="1">
        <v>13</v>
      </c>
      <c r="D1060" s="1">
        <v>22.9</v>
      </c>
      <c r="E1060" s="1">
        <v>297.7</v>
      </c>
      <c r="F1060" s="2">
        <v>45699</v>
      </c>
      <c r="G1060" s="2">
        <v>45700</v>
      </c>
      <c r="H1060" s="1" t="s">
        <v>12</v>
      </c>
      <c r="I1060" s="1" t="s">
        <v>3</v>
      </c>
      <c r="J1060" s="1">
        <v>3</v>
      </c>
      <c r="K1060" s="1" t="s">
        <v>4</v>
      </c>
      <c r="L1060" s="1" t="s">
        <v>572</v>
      </c>
      <c r="M1060" s="1">
        <f>[1]!orders[[#This Row],[Ship Date]]-[1]!orders[[#This Row],[Order Date]]</f>
        <v>1</v>
      </c>
      <c r="N1060" s="1">
        <f>WEEKNUM([1]!orders[[#This Row],[Order Date]])</f>
        <v>7</v>
      </c>
      <c r="O1060" t="str" cm="1">
        <f t="array" ref="O1060">_xlfn.IFS([1]!orders[[#This Row],[Customer Gender]]="M","Male", [1]!orders[[#This Row],[Customer Gender]]="F","Female", [1]!orders[[#This Row],[Customer Gender]]="O","Other", TRUE,"Unknown")</f>
        <v>Female</v>
      </c>
    </row>
    <row r="1061" spans="1:15" x14ac:dyDescent="0.25">
      <c r="A1061" t="s">
        <v>1143</v>
      </c>
      <c r="B1061" t="s">
        <v>108</v>
      </c>
      <c r="C1061">
        <v>19</v>
      </c>
      <c r="D1061">
        <v>53.6</v>
      </c>
      <c r="E1061">
        <v>1018.4</v>
      </c>
      <c r="F1061" s="3">
        <v>45699</v>
      </c>
      <c r="G1061" s="3">
        <v>45700</v>
      </c>
      <c r="H1061" t="s">
        <v>8</v>
      </c>
      <c r="I1061" t="s">
        <v>3</v>
      </c>
      <c r="J1061">
        <v>4</v>
      </c>
      <c r="K1061" t="s">
        <v>4</v>
      </c>
      <c r="L1061" t="s">
        <v>132</v>
      </c>
      <c r="M1061">
        <f>[1]!orders[[#This Row],[Ship Date]]-[1]!orders[[#This Row],[Order Date]]</f>
        <v>1</v>
      </c>
      <c r="N1061">
        <f>WEEKNUM([1]!orders[[#This Row],[Order Date]])</f>
        <v>7</v>
      </c>
      <c r="O1061" t="str" cm="1">
        <f t="array" ref="O1061">_xlfn.IFS([1]!orders[[#This Row],[Customer Gender]]="M","Male", [1]!orders[[#This Row],[Customer Gender]]="F","Female", [1]!orders[[#This Row],[Customer Gender]]="O","Other", TRUE,"Unknown")</f>
        <v>Male</v>
      </c>
    </row>
    <row r="1062" spans="1:15" x14ac:dyDescent="0.25">
      <c r="A1062" s="1" t="s">
        <v>1144</v>
      </c>
      <c r="B1062" s="1" t="s">
        <v>131</v>
      </c>
      <c r="C1062" s="1">
        <v>2</v>
      </c>
      <c r="D1062" s="1">
        <v>30.2</v>
      </c>
      <c r="E1062" s="1">
        <v>60.4</v>
      </c>
      <c r="F1062" s="2">
        <v>45699</v>
      </c>
      <c r="G1062" s="2">
        <v>45701</v>
      </c>
      <c r="H1062" s="1" t="s">
        <v>2</v>
      </c>
      <c r="I1062" s="1" t="s">
        <v>25</v>
      </c>
      <c r="J1062" s="1">
        <v>5</v>
      </c>
      <c r="K1062" s="1" t="s">
        <v>4</v>
      </c>
      <c r="L1062" s="1" t="s">
        <v>18</v>
      </c>
      <c r="M1062" s="1">
        <f>[1]!orders[[#This Row],[Ship Date]]-[1]!orders[[#This Row],[Order Date]]</f>
        <v>2</v>
      </c>
      <c r="N1062" s="1">
        <f>WEEKNUM([1]!orders[[#This Row],[Order Date]])</f>
        <v>7</v>
      </c>
      <c r="O1062" t="str" cm="1">
        <f t="array" ref="O1062">_xlfn.IFS([1]!orders[[#This Row],[Customer Gender]]="M","Male", [1]!orders[[#This Row],[Customer Gender]]="F","Female", [1]!orders[[#This Row],[Customer Gender]]="O","Other", TRUE,"Unknown")</f>
        <v>Unknown</v>
      </c>
    </row>
    <row r="1063" spans="1:15" x14ac:dyDescent="0.25">
      <c r="A1063" t="s">
        <v>1145</v>
      </c>
      <c r="B1063" t="s">
        <v>108</v>
      </c>
      <c r="C1063">
        <v>6</v>
      </c>
      <c r="D1063">
        <v>83.4</v>
      </c>
      <c r="E1063">
        <v>500.40000000000003</v>
      </c>
      <c r="F1063" s="3">
        <v>45699</v>
      </c>
      <c r="G1063" s="3">
        <v>45700</v>
      </c>
      <c r="H1063" t="s">
        <v>8</v>
      </c>
      <c r="I1063" t="s">
        <v>20</v>
      </c>
      <c r="J1063">
        <v>5</v>
      </c>
      <c r="K1063" t="s">
        <v>4</v>
      </c>
      <c r="L1063" t="s">
        <v>18</v>
      </c>
      <c r="M1063">
        <f>[1]!orders[[#This Row],[Ship Date]]-[1]!orders[[#This Row],[Order Date]]</f>
        <v>1</v>
      </c>
      <c r="N1063">
        <f>WEEKNUM([1]!orders[[#This Row],[Order Date]])</f>
        <v>7</v>
      </c>
      <c r="O1063" t="str" cm="1">
        <f t="array" ref="O1063">_xlfn.IFS([1]!orders[[#This Row],[Customer Gender]]="M","Male", [1]!orders[[#This Row],[Customer Gender]]="F","Female", [1]!orders[[#This Row],[Customer Gender]]="O","Other", TRUE,"Unknown")</f>
        <v>Male</v>
      </c>
    </row>
    <row r="1064" spans="1:15" x14ac:dyDescent="0.25">
      <c r="A1064" s="1" t="s">
        <v>1146</v>
      </c>
      <c r="B1064" s="1" t="s">
        <v>61</v>
      </c>
      <c r="C1064" s="1">
        <v>12</v>
      </c>
      <c r="D1064" s="1">
        <v>16.600000000000001</v>
      </c>
      <c r="E1064" s="1">
        <v>199.20000000000002</v>
      </c>
      <c r="F1064" s="2">
        <v>45699</v>
      </c>
      <c r="G1064" s="2">
        <v>45701</v>
      </c>
      <c r="H1064" s="1" t="s">
        <v>8</v>
      </c>
      <c r="I1064" s="1" t="s">
        <v>20</v>
      </c>
      <c r="J1064" s="1">
        <v>4</v>
      </c>
      <c r="K1064" s="1" t="s">
        <v>4</v>
      </c>
      <c r="L1064" s="1" t="s">
        <v>18</v>
      </c>
      <c r="M1064" s="1">
        <f>[1]!orders[[#This Row],[Ship Date]]-[1]!orders[[#This Row],[Order Date]]</f>
        <v>2</v>
      </c>
      <c r="N1064" s="1">
        <f>WEEKNUM([1]!orders[[#This Row],[Order Date]])</f>
        <v>7</v>
      </c>
      <c r="O1064" t="str" cm="1">
        <f t="array" ref="O1064">_xlfn.IFS([1]!orders[[#This Row],[Customer Gender]]="M","Male", [1]!orders[[#This Row],[Customer Gender]]="F","Female", [1]!orders[[#This Row],[Customer Gender]]="O","Other", TRUE,"Unknown")</f>
        <v>Male</v>
      </c>
    </row>
    <row r="1065" spans="1:15" x14ac:dyDescent="0.25">
      <c r="A1065" t="s">
        <v>1147</v>
      </c>
      <c r="B1065" t="s">
        <v>29</v>
      </c>
      <c r="C1065">
        <v>17</v>
      </c>
      <c r="D1065">
        <v>21.9</v>
      </c>
      <c r="E1065">
        <v>372.29999999999995</v>
      </c>
      <c r="F1065" s="3">
        <v>45699</v>
      </c>
      <c r="G1065" s="3">
        <v>45701</v>
      </c>
      <c r="H1065" t="s">
        <v>12</v>
      </c>
      <c r="I1065" t="s">
        <v>55</v>
      </c>
      <c r="J1065">
        <v>3</v>
      </c>
      <c r="K1065" t="s">
        <v>4</v>
      </c>
      <c r="L1065" t="s">
        <v>18</v>
      </c>
      <c r="M1065">
        <f>[1]!orders[[#This Row],[Ship Date]]-[1]!orders[[#This Row],[Order Date]]</f>
        <v>2</v>
      </c>
      <c r="N1065">
        <f>WEEKNUM([1]!orders[[#This Row],[Order Date]])</f>
        <v>7</v>
      </c>
      <c r="O1065" t="str" cm="1">
        <f t="array" ref="O1065">_xlfn.IFS([1]!orders[[#This Row],[Customer Gender]]="M","Male", [1]!orders[[#This Row],[Customer Gender]]="F","Female", [1]!orders[[#This Row],[Customer Gender]]="O","Other", TRUE,"Unknown")</f>
        <v>Female</v>
      </c>
    </row>
    <row r="1066" spans="1:15" x14ac:dyDescent="0.25">
      <c r="A1066" s="1" t="s">
        <v>1148</v>
      </c>
      <c r="B1066" s="1" t="s">
        <v>29</v>
      </c>
      <c r="C1066" s="1">
        <v>28</v>
      </c>
      <c r="D1066" s="1">
        <v>33.799999999999997</v>
      </c>
      <c r="E1066" s="1">
        <v>946.39999999999986</v>
      </c>
      <c r="F1066" s="2">
        <v>45699</v>
      </c>
      <c r="G1066" s="2">
        <v>45701</v>
      </c>
      <c r="H1066" s="1" t="s">
        <v>8</v>
      </c>
      <c r="I1066" s="1" t="s">
        <v>25</v>
      </c>
      <c r="J1066" s="1">
        <v>2</v>
      </c>
      <c r="K1066" s="1" t="s">
        <v>4</v>
      </c>
      <c r="L1066" s="1" t="s">
        <v>18</v>
      </c>
      <c r="M1066" s="1">
        <f>[1]!orders[[#This Row],[Ship Date]]-[1]!orders[[#This Row],[Order Date]]</f>
        <v>2</v>
      </c>
      <c r="N1066" s="1">
        <f>WEEKNUM([1]!orders[[#This Row],[Order Date]])</f>
        <v>7</v>
      </c>
      <c r="O1066" t="str" cm="1">
        <f t="array" ref="O1066">_xlfn.IFS([1]!orders[[#This Row],[Customer Gender]]="M","Male", [1]!orders[[#This Row],[Customer Gender]]="F","Female", [1]!orders[[#This Row],[Customer Gender]]="O","Other", TRUE,"Unknown")</f>
        <v>Male</v>
      </c>
    </row>
    <row r="1067" spans="1:15" x14ac:dyDescent="0.25">
      <c r="A1067" t="s">
        <v>1149</v>
      </c>
      <c r="B1067" t="s">
        <v>131</v>
      </c>
      <c r="C1067">
        <v>2</v>
      </c>
      <c r="D1067">
        <v>53.2</v>
      </c>
      <c r="E1067">
        <v>106.4</v>
      </c>
      <c r="F1067" s="3">
        <v>45699</v>
      </c>
      <c r="G1067" s="3">
        <v>45699</v>
      </c>
      <c r="H1067" t="s">
        <v>8</v>
      </c>
      <c r="I1067" t="s">
        <v>20</v>
      </c>
      <c r="J1067">
        <v>4</v>
      </c>
      <c r="K1067" t="s">
        <v>4</v>
      </c>
      <c r="L1067" t="s">
        <v>18</v>
      </c>
      <c r="M1067">
        <f>[1]!orders[[#This Row],[Ship Date]]-[1]!orders[[#This Row],[Order Date]]</f>
        <v>0</v>
      </c>
      <c r="N1067">
        <f>WEEKNUM([1]!orders[[#This Row],[Order Date]])</f>
        <v>7</v>
      </c>
      <c r="O1067" t="str" cm="1">
        <f t="array" ref="O1067">_xlfn.IFS([1]!orders[[#This Row],[Customer Gender]]="M","Male", [1]!orders[[#This Row],[Customer Gender]]="F","Female", [1]!orders[[#This Row],[Customer Gender]]="O","Other", TRUE,"Unknown")</f>
        <v>Male</v>
      </c>
    </row>
    <row r="1068" spans="1:15" x14ac:dyDescent="0.25">
      <c r="A1068" s="1" t="s">
        <v>1150</v>
      </c>
      <c r="B1068" s="1" t="s">
        <v>11</v>
      </c>
      <c r="C1068" s="1">
        <v>2</v>
      </c>
      <c r="D1068" s="1">
        <v>176.7</v>
      </c>
      <c r="E1068" s="1">
        <v>353.4</v>
      </c>
      <c r="F1068" s="2">
        <v>45699</v>
      </c>
      <c r="G1068" s="2">
        <v>45702</v>
      </c>
      <c r="H1068" s="1" t="s">
        <v>12</v>
      </c>
      <c r="I1068" s="1" t="s">
        <v>25</v>
      </c>
      <c r="J1068" s="1">
        <v>4</v>
      </c>
      <c r="K1068" s="1" t="s">
        <v>4</v>
      </c>
      <c r="L1068" s="1" t="s">
        <v>18</v>
      </c>
      <c r="M1068" s="1">
        <f>[1]!orders[[#This Row],[Ship Date]]-[1]!orders[[#This Row],[Order Date]]</f>
        <v>3</v>
      </c>
      <c r="N1068" s="1">
        <f>WEEKNUM([1]!orders[[#This Row],[Order Date]])</f>
        <v>7</v>
      </c>
      <c r="O1068" t="str" cm="1">
        <f t="array" ref="O1068">_xlfn.IFS([1]!orders[[#This Row],[Customer Gender]]="M","Male", [1]!orders[[#This Row],[Customer Gender]]="F","Female", [1]!orders[[#This Row],[Customer Gender]]="O","Other", TRUE,"Unknown")</f>
        <v>Female</v>
      </c>
    </row>
    <row r="1069" spans="1:15" x14ac:dyDescent="0.25">
      <c r="A1069" t="s">
        <v>1151</v>
      </c>
      <c r="B1069" t="s">
        <v>54</v>
      </c>
      <c r="C1069">
        <v>3</v>
      </c>
      <c r="D1069">
        <v>54</v>
      </c>
      <c r="E1069">
        <v>162</v>
      </c>
      <c r="F1069" s="3">
        <v>45699</v>
      </c>
      <c r="G1069" s="3">
        <v>45702</v>
      </c>
      <c r="H1069" t="s">
        <v>8</v>
      </c>
      <c r="I1069" t="s">
        <v>3</v>
      </c>
      <c r="J1069">
        <v>3</v>
      </c>
      <c r="K1069" t="s">
        <v>4</v>
      </c>
      <c r="L1069" t="s">
        <v>18</v>
      </c>
      <c r="M1069">
        <f>[1]!orders[[#This Row],[Ship Date]]-[1]!orders[[#This Row],[Order Date]]</f>
        <v>3</v>
      </c>
      <c r="N1069">
        <f>WEEKNUM([1]!orders[[#This Row],[Order Date]])</f>
        <v>7</v>
      </c>
      <c r="O1069" t="str" cm="1">
        <f t="array" ref="O1069">_xlfn.IFS([1]!orders[[#This Row],[Customer Gender]]="M","Male", [1]!orders[[#This Row],[Customer Gender]]="F","Female", [1]!orders[[#This Row],[Customer Gender]]="O","Other", TRUE,"Unknown")</f>
        <v>Male</v>
      </c>
    </row>
    <row r="1070" spans="1:15" x14ac:dyDescent="0.25">
      <c r="A1070" s="1" t="s">
        <v>1152</v>
      </c>
      <c r="B1070" s="1" t="s">
        <v>31</v>
      </c>
      <c r="C1070" s="1">
        <v>2</v>
      </c>
      <c r="D1070" s="1">
        <v>70.099999999999994</v>
      </c>
      <c r="E1070" s="1">
        <v>140.19999999999999</v>
      </c>
      <c r="F1070" s="2">
        <v>45699</v>
      </c>
      <c r="G1070" s="2">
        <v>45707</v>
      </c>
      <c r="H1070" s="1" t="s">
        <v>12</v>
      </c>
      <c r="I1070" s="1" t="s">
        <v>36</v>
      </c>
      <c r="J1070" s="1">
        <v>5</v>
      </c>
      <c r="K1070" s="1" t="s">
        <v>4</v>
      </c>
      <c r="L1070" s="1" t="s">
        <v>18</v>
      </c>
      <c r="M1070" s="1">
        <f>[1]!orders[[#This Row],[Ship Date]]-[1]!orders[[#This Row],[Order Date]]</f>
        <v>8</v>
      </c>
      <c r="N1070" s="1">
        <f>WEEKNUM([1]!orders[[#This Row],[Order Date]])</f>
        <v>7</v>
      </c>
      <c r="O1070" t="str" cm="1">
        <f t="array" ref="O1070">_xlfn.IFS([1]!orders[[#This Row],[Customer Gender]]="M","Male", [1]!orders[[#This Row],[Customer Gender]]="F","Female", [1]!orders[[#This Row],[Customer Gender]]="O","Other", TRUE,"Unknown")</f>
        <v>Female</v>
      </c>
    </row>
    <row r="1071" spans="1:15" x14ac:dyDescent="0.25">
      <c r="A1071" t="s">
        <v>1153</v>
      </c>
      <c r="B1071" t="s">
        <v>29</v>
      </c>
      <c r="C1071">
        <v>1</v>
      </c>
      <c r="D1071">
        <v>26.5</v>
      </c>
      <c r="E1071">
        <v>26.5</v>
      </c>
      <c r="F1071" s="3">
        <v>45699</v>
      </c>
      <c r="G1071" s="3">
        <v>45701</v>
      </c>
      <c r="H1071" t="s">
        <v>12</v>
      </c>
      <c r="I1071" t="s">
        <v>20</v>
      </c>
      <c r="J1071">
        <v>4</v>
      </c>
      <c r="K1071" t="s">
        <v>4</v>
      </c>
      <c r="L1071" t="s">
        <v>18</v>
      </c>
      <c r="M1071">
        <f>[1]!orders[[#This Row],[Ship Date]]-[1]!orders[[#This Row],[Order Date]]</f>
        <v>2</v>
      </c>
      <c r="N1071">
        <f>WEEKNUM([1]!orders[[#This Row],[Order Date]])</f>
        <v>7</v>
      </c>
      <c r="O1071" t="str" cm="1">
        <f t="array" ref="O1071">_xlfn.IFS([1]!orders[[#This Row],[Customer Gender]]="M","Male", [1]!orders[[#This Row],[Customer Gender]]="F","Female", [1]!orders[[#This Row],[Customer Gender]]="O","Other", TRUE,"Unknown")</f>
        <v>Female</v>
      </c>
    </row>
    <row r="1072" spans="1:15" x14ac:dyDescent="0.25">
      <c r="A1072" s="1" t="s">
        <v>1154</v>
      </c>
      <c r="B1072" s="1" t="s">
        <v>27</v>
      </c>
      <c r="C1072" s="1">
        <v>5</v>
      </c>
      <c r="D1072" s="1">
        <v>89</v>
      </c>
      <c r="E1072" s="1">
        <v>445</v>
      </c>
      <c r="F1072" s="2">
        <v>45699</v>
      </c>
      <c r="G1072" s="2">
        <v>45701</v>
      </c>
      <c r="H1072" s="1" t="s">
        <v>8</v>
      </c>
      <c r="I1072" s="1" t="s">
        <v>25</v>
      </c>
      <c r="J1072" s="1">
        <v>2</v>
      </c>
      <c r="K1072" s="1" t="s">
        <v>4</v>
      </c>
      <c r="L1072" s="1" t="s">
        <v>18</v>
      </c>
      <c r="M1072" s="1">
        <f>[1]!orders[[#This Row],[Ship Date]]-[1]!orders[[#This Row],[Order Date]]</f>
        <v>2</v>
      </c>
      <c r="N1072" s="1">
        <f>WEEKNUM([1]!orders[[#This Row],[Order Date]])</f>
        <v>7</v>
      </c>
      <c r="O1072" t="str" cm="1">
        <f t="array" ref="O1072">_xlfn.IFS([1]!orders[[#This Row],[Customer Gender]]="M","Male", [1]!orders[[#This Row],[Customer Gender]]="F","Female", [1]!orders[[#This Row],[Customer Gender]]="O","Other", TRUE,"Unknown")</f>
        <v>Male</v>
      </c>
    </row>
    <row r="1073" spans="1:15" x14ac:dyDescent="0.25">
      <c r="A1073" t="s">
        <v>1155</v>
      </c>
      <c r="B1073" t="s">
        <v>7</v>
      </c>
      <c r="C1073">
        <v>6</v>
      </c>
      <c r="D1073">
        <v>47</v>
      </c>
      <c r="E1073">
        <v>282</v>
      </c>
      <c r="F1073" s="3">
        <v>45699</v>
      </c>
      <c r="G1073" s="3">
        <v>45702</v>
      </c>
      <c r="H1073" t="s">
        <v>12</v>
      </c>
      <c r="I1073" t="s">
        <v>36</v>
      </c>
      <c r="J1073">
        <v>4</v>
      </c>
      <c r="K1073" t="s">
        <v>4</v>
      </c>
      <c r="L1073" t="s">
        <v>171</v>
      </c>
      <c r="M1073">
        <f>[1]!orders[[#This Row],[Ship Date]]-[1]!orders[[#This Row],[Order Date]]</f>
        <v>3</v>
      </c>
      <c r="N1073">
        <f>WEEKNUM([1]!orders[[#This Row],[Order Date]])</f>
        <v>7</v>
      </c>
      <c r="O1073" t="str" cm="1">
        <f t="array" ref="O1073">_xlfn.IFS([1]!orders[[#This Row],[Customer Gender]]="M","Male", [1]!orders[[#This Row],[Customer Gender]]="F","Female", [1]!orders[[#This Row],[Customer Gender]]="O","Other", TRUE,"Unknown")</f>
        <v>Female</v>
      </c>
    </row>
    <row r="1074" spans="1:15" x14ac:dyDescent="0.25">
      <c r="A1074" s="1" t="s">
        <v>1156</v>
      </c>
      <c r="B1074" s="1" t="s">
        <v>15</v>
      </c>
      <c r="C1074" s="1">
        <v>2</v>
      </c>
      <c r="D1074" s="1">
        <v>55.2</v>
      </c>
      <c r="E1074" s="1">
        <v>110.4</v>
      </c>
      <c r="F1074" s="2">
        <v>45699</v>
      </c>
      <c r="G1074" s="2">
        <v>45702</v>
      </c>
      <c r="H1074" s="1" t="s">
        <v>8</v>
      </c>
      <c r="I1074" s="1" t="s">
        <v>20</v>
      </c>
      <c r="J1074" s="1">
        <v>3</v>
      </c>
      <c r="K1074" s="1" t="s">
        <v>4</v>
      </c>
      <c r="L1074" s="1" t="s">
        <v>40</v>
      </c>
      <c r="M1074" s="1">
        <f>[1]!orders[[#This Row],[Ship Date]]-[1]!orders[[#This Row],[Order Date]]</f>
        <v>3</v>
      </c>
      <c r="N1074" s="1">
        <f>WEEKNUM([1]!orders[[#This Row],[Order Date]])</f>
        <v>7</v>
      </c>
      <c r="O1074" t="str" cm="1">
        <f t="array" ref="O1074">_xlfn.IFS([1]!orders[[#This Row],[Customer Gender]]="M","Male", [1]!orders[[#This Row],[Customer Gender]]="F","Female", [1]!orders[[#This Row],[Customer Gender]]="O","Other", TRUE,"Unknown")</f>
        <v>Male</v>
      </c>
    </row>
    <row r="1075" spans="1:15" x14ac:dyDescent="0.25">
      <c r="A1075" t="s">
        <v>1157</v>
      </c>
      <c r="B1075" t="s">
        <v>29</v>
      </c>
      <c r="C1075">
        <v>42</v>
      </c>
      <c r="D1075">
        <v>33.299999999999997</v>
      </c>
      <c r="E1075">
        <v>1398.6</v>
      </c>
      <c r="F1075" s="3">
        <v>45699</v>
      </c>
      <c r="G1075" s="3">
        <v>45713</v>
      </c>
      <c r="H1075" t="s">
        <v>8</v>
      </c>
      <c r="I1075" t="s">
        <v>20</v>
      </c>
      <c r="J1075">
        <v>5</v>
      </c>
      <c r="K1075" t="s">
        <v>4</v>
      </c>
      <c r="L1075" t="s">
        <v>40</v>
      </c>
      <c r="M1075">
        <f>[1]!orders[[#This Row],[Ship Date]]-[1]!orders[[#This Row],[Order Date]]</f>
        <v>14</v>
      </c>
      <c r="N1075">
        <f>WEEKNUM([1]!orders[[#This Row],[Order Date]])</f>
        <v>7</v>
      </c>
      <c r="O1075" t="str" cm="1">
        <f t="array" ref="O1075">_xlfn.IFS([1]!orders[[#This Row],[Customer Gender]]="M","Male", [1]!orders[[#This Row],[Customer Gender]]="F","Female", [1]!orders[[#This Row],[Customer Gender]]="O","Other", TRUE,"Unknown")</f>
        <v>Male</v>
      </c>
    </row>
    <row r="1076" spans="1:15" x14ac:dyDescent="0.25">
      <c r="A1076" s="1" t="s">
        <v>1158</v>
      </c>
      <c r="B1076" s="1" t="s">
        <v>11</v>
      </c>
      <c r="C1076" s="1">
        <v>4</v>
      </c>
      <c r="D1076" s="1">
        <v>110.9</v>
      </c>
      <c r="E1076" s="1">
        <v>443.6</v>
      </c>
      <c r="F1076" s="2">
        <v>45700</v>
      </c>
      <c r="G1076" s="2">
        <v>45700</v>
      </c>
      <c r="H1076" s="1" t="s">
        <v>8</v>
      </c>
      <c r="I1076" s="1" t="s">
        <v>25</v>
      </c>
      <c r="J1076" s="1">
        <v>2</v>
      </c>
      <c r="K1076" s="1" t="s">
        <v>4</v>
      </c>
      <c r="L1076" s="1" t="s">
        <v>40</v>
      </c>
      <c r="M1076" s="1">
        <f>[1]!orders[[#This Row],[Ship Date]]-[1]!orders[[#This Row],[Order Date]]</f>
        <v>0</v>
      </c>
      <c r="N1076" s="1">
        <f>WEEKNUM([1]!orders[[#This Row],[Order Date]])</f>
        <v>7</v>
      </c>
      <c r="O1076" t="str" cm="1">
        <f t="array" ref="O1076">_xlfn.IFS([1]!orders[[#This Row],[Customer Gender]]="M","Male", [1]!orders[[#This Row],[Customer Gender]]="F","Female", [1]!orders[[#This Row],[Customer Gender]]="O","Other", TRUE,"Unknown")</f>
        <v>Male</v>
      </c>
    </row>
    <row r="1077" spans="1:15" x14ac:dyDescent="0.25">
      <c r="A1077" t="s">
        <v>1159</v>
      </c>
      <c r="B1077" t="s">
        <v>11</v>
      </c>
      <c r="C1077">
        <v>6</v>
      </c>
      <c r="D1077">
        <v>67.3</v>
      </c>
      <c r="E1077">
        <v>403.79999999999995</v>
      </c>
      <c r="F1077" s="3">
        <v>45700</v>
      </c>
      <c r="G1077" s="3">
        <v>45701</v>
      </c>
      <c r="H1077" t="s">
        <v>8</v>
      </c>
      <c r="I1077" t="s">
        <v>3</v>
      </c>
      <c r="J1077">
        <v>4</v>
      </c>
      <c r="K1077" t="s">
        <v>4</v>
      </c>
      <c r="L1077" t="s">
        <v>47</v>
      </c>
      <c r="M1077">
        <f>[1]!orders[[#This Row],[Ship Date]]-[1]!orders[[#This Row],[Order Date]]</f>
        <v>1</v>
      </c>
      <c r="N1077">
        <f>WEEKNUM([1]!orders[[#This Row],[Order Date]])</f>
        <v>7</v>
      </c>
      <c r="O1077" t="str" cm="1">
        <f t="array" ref="O1077">_xlfn.IFS([1]!orders[[#This Row],[Customer Gender]]="M","Male", [1]!orders[[#This Row],[Customer Gender]]="F","Female", [1]!orders[[#This Row],[Customer Gender]]="O","Other", TRUE,"Unknown")</f>
        <v>Male</v>
      </c>
    </row>
    <row r="1078" spans="1:15" x14ac:dyDescent="0.25">
      <c r="A1078" s="1" t="s">
        <v>1160</v>
      </c>
      <c r="B1078" s="1" t="s">
        <v>24</v>
      </c>
      <c r="C1078" s="1">
        <v>3</v>
      </c>
      <c r="D1078" s="1">
        <v>69.7</v>
      </c>
      <c r="E1078" s="1">
        <v>209.10000000000002</v>
      </c>
      <c r="F1078" s="2">
        <v>45700</v>
      </c>
      <c r="G1078" s="2">
        <v>45701</v>
      </c>
      <c r="H1078" s="1" t="s">
        <v>8</v>
      </c>
      <c r="I1078" s="1" t="s">
        <v>25</v>
      </c>
      <c r="J1078" s="1">
        <v>3</v>
      </c>
      <c r="K1078" s="1" t="s">
        <v>4</v>
      </c>
      <c r="L1078" s="1" t="s">
        <v>47</v>
      </c>
      <c r="M1078" s="1">
        <f>[1]!orders[[#This Row],[Ship Date]]-[1]!orders[[#This Row],[Order Date]]</f>
        <v>1</v>
      </c>
      <c r="N1078" s="1">
        <f>WEEKNUM([1]!orders[[#This Row],[Order Date]])</f>
        <v>7</v>
      </c>
      <c r="O1078" t="str" cm="1">
        <f t="array" ref="O1078">_xlfn.IFS([1]!orders[[#This Row],[Customer Gender]]="M","Male", [1]!orders[[#This Row],[Customer Gender]]="F","Female", [1]!orders[[#This Row],[Customer Gender]]="O","Other", TRUE,"Unknown")</f>
        <v>Male</v>
      </c>
    </row>
    <row r="1079" spans="1:15" x14ac:dyDescent="0.25">
      <c r="A1079" t="s">
        <v>1161</v>
      </c>
      <c r="B1079" t="s">
        <v>22</v>
      </c>
      <c r="C1079">
        <v>1</v>
      </c>
      <c r="D1079">
        <v>39.1</v>
      </c>
      <c r="E1079">
        <v>39.1</v>
      </c>
      <c r="F1079" s="3">
        <v>45700</v>
      </c>
      <c r="G1079" s="3">
        <v>45705</v>
      </c>
      <c r="H1079" t="s">
        <v>8</v>
      </c>
      <c r="I1079" t="s">
        <v>3</v>
      </c>
      <c r="J1079">
        <v>3</v>
      </c>
      <c r="K1079" t="s">
        <v>4</v>
      </c>
      <c r="L1079" t="s">
        <v>88</v>
      </c>
      <c r="M1079">
        <f>[1]!orders[[#This Row],[Ship Date]]-[1]!orders[[#This Row],[Order Date]]</f>
        <v>5</v>
      </c>
      <c r="N1079">
        <f>WEEKNUM([1]!orders[[#This Row],[Order Date]])</f>
        <v>7</v>
      </c>
      <c r="O1079" t="str" cm="1">
        <f t="array" ref="O1079">_xlfn.IFS([1]!orders[[#This Row],[Customer Gender]]="M","Male", [1]!orders[[#This Row],[Customer Gender]]="F","Female", [1]!orders[[#This Row],[Customer Gender]]="O","Other", TRUE,"Unknown")</f>
        <v>Male</v>
      </c>
    </row>
    <row r="1080" spans="1:15" x14ac:dyDescent="0.25">
      <c r="A1080" s="1" t="s">
        <v>1162</v>
      </c>
      <c r="B1080" s="1" t="s">
        <v>11</v>
      </c>
      <c r="C1080" s="1">
        <v>3</v>
      </c>
      <c r="D1080" s="1">
        <v>208.6</v>
      </c>
      <c r="E1080" s="1">
        <v>625.79999999999995</v>
      </c>
      <c r="F1080" s="2">
        <v>45700</v>
      </c>
      <c r="G1080" s="2">
        <v>45700</v>
      </c>
      <c r="H1080" s="1" t="s">
        <v>8</v>
      </c>
      <c r="I1080" s="1" t="s">
        <v>55</v>
      </c>
      <c r="J1080" s="1">
        <v>5</v>
      </c>
      <c r="K1080" s="1" t="s">
        <v>4</v>
      </c>
      <c r="L1080" s="1" t="s">
        <v>88</v>
      </c>
      <c r="M1080" s="1">
        <f>[1]!orders[[#This Row],[Ship Date]]-[1]!orders[[#This Row],[Order Date]]</f>
        <v>0</v>
      </c>
      <c r="N1080" s="1">
        <f>WEEKNUM([1]!orders[[#This Row],[Order Date]])</f>
        <v>7</v>
      </c>
      <c r="O1080" t="str" cm="1">
        <f t="array" ref="O1080">_xlfn.IFS([1]!orders[[#This Row],[Customer Gender]]="M","Male", [1]!orders[[#This Row],[Customer Gender]]="F","Female", [1]!orders[[#This Row],[Customer Gender]]="O","Other", TRUE,"Unknown")</f>
        <v>Male</v>
      </c>
    </row>
    <row r="1081" spans="1:15" x14ac:dyDescent="0.25">
      <c r="A1081" t="s">
        <v>1163</v>
      </c>
      <c r="B1081" t="s">
        <v>108</v>
      </c>
      <c r="C1081">
        <v>3</v>
      </c>
      <c r="D1081">
        <v>27.8</v>
      </c>
      <c r="E1081">
        <v>83.4</v>
      </c>
      <c r="F1081" s="3">
        <v>45700</v>
      </c>
      <c r="G1081" s="3">
        <v>45701</v>
      </c>
      <c r="H1081" t="s">
        <v>8</v>
      </c>
      <c r="I1081" t="s">
        <v>36</v>
      </c>
      <c r="J1081">
        <v>3</v>
      </c>
      <c r="K1081" t="s">
        <v>4</v>
      </c>
      <c r="L1081" t="s">
        <v>62</v>
      </c>
      <c r="M1081">
        <f>[1]!orders[[#This Row],[Ship Date]]-[1]!orders[[#This Row],[Order Date]]</f>
        <v>1</v>
      </c>
      <c r="N1081">
        <f>WEEKNUM([1]!orders[[#This Row],[Order Date]])</f>
        <v>7</v>
      </c>
      <c r="O1081" t="str" cm="1">
        <f t="array" ref="O1081">_xlfn.IFS([1]!orders[[#This Row],[Customer Gender]]="M","Male", [1]!orders[[#This Row],[Customer Gender]]="F","Female", [1]!orders[[#This Row],[Customer Gender]]="O","Other", TRUE,"Unknown")</f>
        <v>Male</v>
      </c>
    </row>
    <row r="1082" spans="1:15" x14ac:dyDescent="0.25">
      <c r="A1082" s="1" t="s">
        <v>1164</v>
      </c>
      <c r="B1082" s="1" t="s">
        <v>39</v>
      </c>
      <c r="C1082" s="1">
        <v>5</v>
      </c>
      <c r="D1082" s="1">
        <v>29.4</v>
      </c>
      <c r="E1082" s="1">
        <v>147</v>
      </c>
      <c r="F1082" s="2">
        <v>45700</v>
      </c>
      <c r="G1082" s="2">
        <v>45702</v>
      </c>
      <c r="H1082" s="1" t="s">
        <v>12</v>
      </c>
      <c r="I1082" s="1" t="s">
        <v>3</v>
      </c>
      <c r="J1082" s="1">
        <v>4</v>
      </c>
      <c r="K1082" s="1" t="s">
        <v>4</v>
      </c>
      <c r="L1082" s="1" t="s">
        <v>62</v>
      </c>
      <c r="M1082" s="1">
        <f>[1]!orders[[#This Row],[Ship Date]]-[1]!orders[[#This Row],[Order Date]]</f>
        <v>2</v>
      </c>
      <c r="N1082" s="1">
        <f>WEEKNUM([1]!orders[[#This Row],[Order Date]])</f>
        <v>7</v>
      </c>
      <c r="O1082" t="str" cm="1">
        <f t="array" ref="O1082">_xlfn.IFS([1]!orders[[#This Row],[Customer Gender]]="M","Male", [1]!orders[[#This Row],[Customer Gender]]="F","Female", [1]!orders[[#This Row],[Customer Gender]]="O","Other", TRUE,"Unknown")</f>
        <v>Female</v>
      </c>
    </row>
    <row r="1083" spans="1:15" x14ac:dyDescent="0.25">
      <c r="A1083" t="s">
        <v>1165</v>
      </c>
      <c r="B1083" t="s">
        <v>31</v>
      </c>
      <c r="C1083">
        <v>2</v>
      </c>
      <c r="D1083">
        <v>29.2</v>
      </c>
      <c r="E1083">
        <v>58.4</v>
      </c>
      <c r="F1083" s="3">
        <v>45700</v>
      </c>
      <c r="G1083" s="3">
        <v>45702</v>
      </c>
      <c r="H1083" t="s">
        <v>12</v>
      </c>
      <c r="I1083" t="s">
        <v>20</v>
      </c>
      <c r="J1083">
        <v>5</v>
      </c>
      <c r="K1083" t="s">
        <v>4</v>
      </c>
      <c r="L1083" t="s">
        <v>98</v>
      </c>
      <c r="M1083">
        <f>[1]!orders[[#This Row],[Ship Date]]-[1]!orders[[#This Row],[Order Date]]</f>
        <v>2</v>
      </c>
      <c r="N1083">
        <f>WEEKNUM([1]!orders[[#This Row],[Order Date]])</f>
        <v>7</v>
      </c>
      <c r="O1083" t="str" cm="1">
        <f t="array" ref="O1083">_xlfn.IFS([1]!orders[[#This Row],[Customer Gender]]="M","Male", [1]!orders[[#This Row],[Customer Gender]]="F","Female", [1]!orders[[#This Row],[Customer Gender]]="O","Other", TRUE,"Unknown")</f>
        <v>Female</v>
      </c>
    </row>
    <row r="1084" spans="1:15" x14ac:dyDescent="0.25">
      <c r="A1084" s="1" t="s">
        <v>1166</v>
      </c>
      <c r="B1084" s="1" t="s">
        <v>39</v>
      </c>
      <c r="C1084" s="1">
        <v>5</v>
      </c>
      <c r="D1084" s="1">
        <v>26.5</v>
      </c>
      <c r="E1084" s="1">
        <v>132.5</v>
      </c>
      <c r="F1084" s="2">
        <v>45700</v>
      </c>
      <c r="G1084" s="2">
        <v>45702</v>
      </c>
      <c r="H1084" s="1" t="s">
        <v>12</v>
      </c>
      <c r="I1084" s="1" t="s">
        <v>3</v>
      </c>
      <c r="J1084" s="1">
        <v>4</v>
      </c>
      <c r="K1084" s="1" t="s">
        <v>4</v>
      </c>
      <c r="L1084" s="1" t="s">
        <v>982</v>
      </c>
      <c r="M1084" s="1">
        <f>[1]!orders[[#This Row],[Ship Date]]-[1]!orders[[#This Row],[Order Date]]</f>
        <v>2</v>
      </c>
      <c r="N1084" s="1">
        <f>WEEKNUM([1]!orders[[#This Row],[Order Date]])</f>
        <v>7</v>
      </c>
      <c r="O1084" t="str" cm="1">
        <f t="array" ref="O1084">_xlfn.IFS([1]!orders[[#This Row],[Customer Gender]]="M","Male", [1]!orders[[#This Row],[Customer Gender]]="F","Female", [1]!orders[[#This Row],[Customer Gender]]="O","Other", TRUE,"Unknown")</f>
        <v>Female</v>
      </c>
    </row>
    <row r="1085" spans="1:15" x14ac:dyDescent="0.25">
      <c r="A1085" t="s">
        <v>1167</v>
      </c>
      <c r="B1085" t="s">
        <v>22</v>
      </c>
      <c r="C1085">
        <v>1</v>
      </c>
      <c r="D1085">
        <v>30.3</v>
      </c>
      <c r="E1085">
        <v>30.3</v>
      </c>
      <c r="F1085" s="3">
        <v>45700</v>
      </c>
      <c r="G1085" s="3">
        <v>45701</v>
      </c>
      <c r="H1085" t="s">
        <v>12</v>
      </c>
      <c r="I1085" t="s">
        <v>55</v>
      </c>
      <c r="J1085">
        <v>3</v>
      </c>
      <c r="K1085" t="s">
        <v>4</v>
      </c>
      <c r="L1085" t="s">
        <v>67</v>
      </c>
      <c r="M1085">
        <f>[1]!orders[[#This Row],[Ship Date]]-[1]!orders[[#This Row],[Order Date]]</f>
        <v>1</v>
      </c>
      <c r="N1085">
        <f>WEEKNUM([1]!orders[[#This Row],[Order Date]])</f>
        <v>7</v>
      </c>
      <c r="O1085" t="str" cm="1">
        <f t="array" ref="O1085">_xlfn.IFS([1]!orders[[#This Row],[Customer Gender]]="M","Male", [1]!orders[[#This Row],[Customer Gender]]="F","Female", [1]!orders[[#This Row],[Customer Gender]]="O","Other", TRUE,"Unknown")</f>
        <v>Female</v>
      </c>
    </row>
    <row r="1086" spans="1:15" x14ac:dyDescent="0.25">
      <c r="A1086" s="1" t="s">
        <v>1168</v>
      </c>
      <c r="B1086" s="1" t="s">
        <v>113</v>
      </c>
      <c r="C1086" s="1">
        <v>12</v>
      </c>
      <c r="D1086" s="1">
        <v>39.700000000000003</v>
      </c>
      <c r="E1086" s="1">
        <v>476.40000000000003</v>
      </c>
      <c r="F1086" s="2">
        <v>45700</v>
      </c>
      <c r="G1086" s="2">
        <v>45701</v>
      </c>
      <c r="H1086" s="1" t="s">
        <v>12</v>
      </c>
      <c r="I1086" s="1" t="s">
        <v>3</v>
      </c>
      <c r="J1086" s="1">
        <v>4</v>
      </c>
      <c r="K1086" s="1" t="s">
        <v>4</v>
      </c>
      <c r="L1086" s="1" t="s">
        <v>100</v>
      </c>
      <c r="M1086" s="1">
        <f>[1]!orders[[#This Row],[Ship Date]]-[1]!orders[[#This Row],[Order Date]]</f>
        <v>1</v>
      </c>
      <c r="N1086" s="1">
        <f>WEEKNUM([1]!orders[[#This Row],[Order Date]])</f>
        <v>7</v>
      </c>
      <c r="O1086" t="str" cm="1">
        <f t="array" ref="O1086">_xlfn.IFS([1]!orders[[#This Row],[Customer Gender]]="M","Male", [1]!orders[[#This Row],[Customer Gender]]="F","Female", [1]!orders[[#This Row],[Customer Gender]]="O","Other", TRUE,"Unknown")</f>
        <v>Female</v>
      </c>
    </row>
    <row r="1087" spans="1:15" x14ac:dyDescent="0.25">
      <c r="A1087" t="s">
        <v>1169</v>
      </c>
      <c r="B1087" t="s">
        <v>27</v>
      </c>
      <c r="C1087">
        <v>10</v>
      </c>
      <c r="D1087">
        <v>58.9</v>
      </c>
      <c r="E1087">
        <v>589</v>
      </c>
      <c r="F1087" s="3">
        <v>45700</v>
      </c>
      <c r="G1087" s="3">
        <v>45702</v>
      </c>
      <c r="H1087" t="s">
        <v>12</v>
      </c>
      <c r="I1087" t="s">
        <v>20</v>
      </c>
      <c r="J1087">
        <v>2</v>
      </c>
      <c r="K1087" t="s">
        <v>4</v>
      </c>
      <c r="L1087" t="s">
        <v>100</v>
      </c>
      <c r="M1087">
        <f>[1]!orders[[#This Row],[Ship Date]]-[1]!orders[[#This Row],[Order Date]]</f>
        <v>2</v>
      </c>
      <c r="N1087">
        <f>WEEKNUM([1]!orders[[#This Row],[Order Date]])</f>
        <v>7</v>
      </c>
      <c r="O1087" t="str" cm="1">
        <f t="array" ref="O1087">_xlfn.IFS([1]!orders[[#This Row],[Customer Gender]]="M","Male", [1]!orders[[#This Row],[Customer Gender]]="F","Female", [1]!orders[[#This Row],[Customer Gender]]="O","Other", TRUE,"Unknown")</f>
        <v>Female</v>
      </c>
    </row>
    <row r="1088" spans="1:15" x14ac:dyDescent="0.25">
      <c r="A1088" s="1" t="s">
        <v>1170</v>
      </c>
      <c r="B1088" s="1" t="s">
        <v>11</v>
      </c>
      <c r="C1088" s="1">
        <v>2</v>
      </c>
      <c r="D1088" s="1">
        <v>174.1</v>
      </c>
      <c r="E1088" s="1">
        <v>348.2</v>
      </c>
      <c r="F1088" s="2">
        <v>45700</v>
      </c>
      <c r="G1088" s="2">
        <v>45702</v>
      </c>
      <c r="H1088" s="1" t="s">
        <v>12</v>
      </c>
      <c r="I1088" s="1" t="s">
        <v>3</v>
      </c>
      <c r="J1088" s="1">
        <v>3</v>
      </c>
      <c r="K1088" s="1" t="s">
        <v>4</v>
      </c>
      <c r="L1088" s="1" t="s">
        <v>626</v>
      </c>
      <c r="M1088" s="1">
        <f>[1]!orders[[#This Row],[Ship Date]]-[1]!orders[[#This Row],[Order Date]]</f>
        <v>2</v>
      </c>
      <c r="N1088" s="1">
        <f>WEEKNUM([1]!orders[[#This Row],[Order Date]])</f>
        <v>7</v>
      </c>
      <c r="O1088" t="str" cm="1">
        <f t="array" ref="O1088">_xlfn.IFS([1]!orders[[#This Row],[Customer Gender]]="M","Male", [1]!orders[[#This Row],[Customer Gender]]="F","Female", [1]!orders[[#This Row],[Customer Gender]]="O","Other", TRUE,"Unknown")</f>
        <v>Female</v>
      </c>
    </row>
    <row r="1089" spans="1:15" x14ac:dyDescent="0.25">
      <c r="A1089" t="s">
        <v>1171</v>
      </c>
      <c r="B1089" t="s">
        <v>24</v>
      </c>
      <c r="C1089">
        <v>2</v>
      </c>
      <c r="D1089">
        <v>70.8</v>
      </c>
      <c r="E1089">
        <v>141.6</v>
      </c>
      <c r="F1089" s="3">
        <v>45700</v>
      </c>
      <c r="G1089" s="3">
        <v>45703</v>
      </c>
      <c r="H1089" t="s">
        <v>8</v>
      </c>
      <c r="I1089" t="s">
        <v>25</v>
      </c>
      <c r="J1089">
        <v>4</v>
      </c>
      <c r="K1089" t="s">
        <v>4</v>
      </c>
      <c r="L1089" t="s">
        <v>132</v>
      </c>
      <c r="M1089">
        <f>[1]!orders[[#This Row],[Ship Date]]-[1]!orders[[#This Row],[Order Date]]</f>
        <v>3</v>
      </c>
      <c r="N1089">
        <f>WEEKNUM([1]!orders[[#This Row],[Order Date]])</f>
        <v>7</v>
      </c>
      <c r="O1089" t="str" cm="1">
        <f t="array" ref="O1089">_xlfn.IFS([1]!orders[[#This Row],[Customer Gender]]="M","Male", [1]!orders[[#This Row],[Customer Gender]]="F","Female", [1]!orders[[#This Row],[Customer Gender]]="O","Other", TRUE,"Unknown")</f>
        <v>Male</v>
      </c>
    </row>
    <row r="1090" spans="1:15" x14ac:dyDescent="0.25">
      <c r="A1090" s="1" t="s">
        <v>1172</v>
      </c>
      <c r="B1090" s="1" t="s">
        <v>27</v>
      </c>
      <c r="C1090" s="1">
        <v>2</v>
      </c>
      <c r="D1090" s="1">
        <v>57.4</v>
      </c>
      <c r="E1090" s="1">
        <v>114.8</v>
      </c>
      <c r="F1090" s="2">
        <v>45700</v>
      </c>
      <c r="G1090" s="2">
        <v>45702</v>
      </c>
      <c r="H1090" s="1" t="s">
        <v>12</v>
      </c>
      <c r="I1090" s="1" t="s">
        <v>20</v>
      </c>
      <c r="J1090" s="1">
        <v>3</v>
      </c>
      <c r="K1090" s="1" t="s">
        <v>4</v>
      </c>
      <c r="L1090" s="1" t="s">
        <v>319</v>
      </c>
      <c r="M1090" s="1">
        <f>[1]!orders[[#This Row],[Ship Date]]-[1]!orders[[#This Row],[Order Date]]</f>
        <v>2</v>
      </c>
      <c r="N1090" s="1">
        <f>WEEKNUM([1]!orders[[#This Row],[Order Date]])</f>
        <v>7</v>
      </c>
      <c r="O1090" t="str" cm="1">
        <f t="array" ref="O1090">_xlfn.IFS([1]!orders[[#This Row],[Customer Gender]]="M","Male", [1]!orders[[#This Row],[Customer Gender]]="F","Female", [1]!orders[[#This Row],[Customer Gender]]="O","Other", TRUE,"Unknown")</f>
        <v>Female</v>
      </c>
    </row>
    <row r="1091" spans="1:15" x14ac:dyDescent="0.25">
      <c r="A1091" t="s">
        <v>1173</v>
      </c>
      <c r="B1091" t="s">
        <v>1</v>
      </c>
      <c r="C1091">
        <v>2</v>
      </c>
      <c r="D1091">
        <v>28.5</v>
      </c>
      <c r="E1091">
        <v>57</v>
      </c>
      <c r="F1091" s="3">
        <v>45700</v>
      </c>
      <c r="G1091" s="3">
        <v>45702</v>
      </c>
      <c r="H1091" t="s">
        <v>8</v>
      </c>
      <c r="I1091" t="s">
        <v>36</v>
      </c>
      <c r="J1091">
        <v>3</v>
      </c>
      <c r="K1091" t="s">
        <v>4</v>
      </c>
      <c r="L1091" t="s">
        <v>18</v>
      </c>
      <c r="M1091">
        <f>[1]!orders[[#This Row],[Ship Date]]-[1]!orders[[#This Row],[Order Date]]</f>
        <v>2</v>
      </c>
      <c r="N1091">
        <f>WEEKNUM([1]!orders[[#This Row],[Order Date]])</f>
        <v>7</v>
      </c>
      <c r="O1091" t="str" cm="1">
        <f t="array" ref="O1091">_xlfn.IFS([1]!orders[[#This Row],[Customer Gender]]="M","Male", [1]!orders[[#This Row],[Customer Gender]]="F","Female", [1]!orders[[#This Row],[Customer Gender]]="O","Other", TRUE,"Unknown")</f>
        <v>Male</v>
      </c>
    </row>
    <row r="1092" spans="1:15" x14ac:dyDescent="0.25">
      <c r="A1092" s="1" t="s">
        <v>1174</v>
      </c>
      <c r="B1092" s="1" t="s">
        <v>11</v>
      </c>
      <c r="C1092" s="1">
        <v>20</v>
      </c>
      <c r="D1092" s="1">
        <v>106.6</v>
      </c>
      <c r="E1092" s="1">
        <v>2132</v>
      </c>
      <c r="F1092" s="2">
        <v>45700</v>
      </c>
      <c r="G1092" s="2">
        <v>45701</v>
      </c>
      <c r="H1092" s="1" t="s">
        <v>2</v>
      </c>
      <c r="I1092" s="1" t="s">
        <v>20</v>
      </c>
      <c r="J1092" s="1">
        <v>2</v>
      </c>
      <c r="K1092" s="1" t="s">
        <v>4</v>
      </c>
      <c r="L1092" s="1" t="s">
        <v>18</v>
      </c>
      <c r="M1092" s="1">
        <f>[1]!orders[[#This Row],[Ship Date]]-[1]!orders[[#This Row],[Order Date]]</f>
        <v>1</v>
      </c>
      <c r="N1092" s="1">
        <f>WEEKNUM([1]!orders[[#This Row],[Order Date]])</f>
        <v>7</v>
      </c>
      <c r="O1092" t="str" cm="1">
        <f t="array" ref="O1092">_xlfn.IFS([1]!orders[[#This Row],[Customer Gender]]="M","Male", [1]!orders[[#This Row],[Customer Gender]]="F","Female", [1]!orders[[#This Row],[Customer Gender]]="O","Other", TRUE,"Unknown")</f>
        <v>Unknown</v>
      </c>
    </row>
    <row r="1093" spans="1:15" x14ac:dyDescent="0.25">
      <c r="A1093" t="s">
        <v>1175</v>
      </c>
      <c r="B1093" t="s">
        <v>11</v>
      </c>
      <c r="C1093">
        <v>3</v>
      </c>
      <c r="D1093">
        <v>119.7</v>
      </c>
      <c r="E1093">
        <v>359.1</v>
      </c>
      <c r="F1093" s="3">
        <v>45700</v>
      </c>
      <c r="G1093" s="3">
        <v>45701</v>
      </c>
      <c r="H1093" t="s">
        <v>12</v>
      </c>
      <c r="I1093" t="s">
        <v>20</v>
      </c>
      <c r="J1093">
        <v>2</v>
      </c>
      <c r="K1093" t="s">
        <v>4</v>
      </c>
      <c r="L1093" t="s">
        <v>18</v>
      </c>
      <c r="M1093">
        <f>[1]!orders[[#This Row],[Ship Date]]-[1]!orders[[#This Row],[Order Date]]</f>
        <v>1</v>
      </c>
      <c r="N1093">
        <f>WEEKNUM([1]!orders[[#This Row],[Order Date]])</f>
        <v>7</v>
      </c>
      <c r="O1093" t="str" cm="1">
        <f t="array" ref="O1093">_xlfn.IFS([1]!orders[[#This Row],[Customer Gender]]="M","Male", [1]!orders[[#This Row],[Customer Gender]]="F","Female", [1]!orders[[#This Row],[Customer Gender]]="O","Other", TRUE,"Unknown")</f>
        <v>Female</v>
      </c>
    </row>
    <row r="1094" spans="1:15" x14ac:dyDescent="0.25">
      <c r="A1094" s="1" t="s">
        <v>1176</v>
      </c>
      <c r="B1094" s="1" t="s">
        <v>131</v>
      </c>
      <c r="C1094" s="1">
        <v>1</v>
      </c>
      <c r="D1094" s="1">
        <v>73.3</v>
      </c>
      <c r="E1094" s="1">
        <v>73.3</v>
      </c>
      <c r="F1094" s="2">
        <v>45700</v>
      </c>
      <c r="G1094" s="2">
        <v>45705</v>
      </c>
      <c r="H1094" s="1" t="s">
        <v>12</v>
      </c>
      <c r="I1094" s="1" t="s">
        <v>3</v>
      </c>
      <c r="J1094" s="1">
        <v>5</v>
      </c>
      <c r="K1094" s="1" t="s">
        <v>4</v>
      </c>
      <c r="L1094" s="1" t="s">
        <v>18</v>
      </c>
      <c r="M1094" s="1">
        <f>[1]!orders[[#This Row],[Ship Date]]-[1]!orders[[#This Row],[Order Date]]</f>
        <v>5</v>
      </c>
      <c r="N1094" s="1">
        <f>WEEKNUM([1]!orders[[#This Row],[Order Date]])</f>
        <v>7</v>
      </c>
      <c r="O1094" t="str" cm="1">
        <f t="array" ref="O1094">_xlfn.IFS([1]!orders[[#This Row],[Customer Gender]]="M","Male", [1]!orders[[#This Row],[Customer Gender]]="F","Female", [1]!orders[[#This Row],[Customer Gender]]="O","Other", TRUE,"Unknown")</f>
        <v>Female</v>
      </c>
    </row>
    <row r="1095" spans="1:15" x14ac:dyDescent="0.25">
      <c r="A1095" t="s">
        <v>1177</v>
      </c>
      <c r="B1095" t="s">
        <v>1</v>
      </c>
      <c r="C1095">
        <v>2</v>
      </c>
      <c r="D1095">
        <v>25.8</v>
      </c>
      <c r="E1095">
        <v>51.6</v>
      </c>
      <c r="F1095" s="3">
        <v>45700</v>
      </c>
      <c r="G1095" s="3">
        <v>45714</v>
      </c>
      <c r="H1095" t="s">
        <v>8</v>
      </c>
      <c r="I1095" t="s">
        <v>25</v>
      </c>
      <c r="J1095">
        <v>4</v>
      </c>
      <c r="K1095" t="s">
        <v>4</v>
      </c>
      <c r="L1095" t="s">
        <v>18</v>
      </c>
      <c r="M1095">
        <f>[1]!orders[[#This Row],[Ship Date]]-[1]!orders[[#This Row],[Order Date]]</f>
        <v>14</v>
      </c>
      <c r="N1095">
        <f>WEEKNUM([1]!orders[[#This Row],[Order Date]])</f>
        <v>7</v>
      </c>
      <c r="O1095" t="str" cm="1">
        <f t="array" ref="O1095">_xlfn.IFS([1]!orders[[#This Row],[Customer Gender]]="M","Male", [1]!orders[[#This Row],[Customer Gender]]="F","Female", [1]!orders[[#This Row],[Customer Gender]]="O","Other", TRUE,"Unknown")</f>
        <v>Male</v>
      </c>
    </row>
    <row r="1096" spans="1:15" x14ac:dyDescent="0.25">
      <c r="A1096" s="1" t="s">
        <v>1178</v>
      </c>
      <c r="B1096" s="1" t="s">
        <v>120</v>
      </c>
      <c r="C1096" s="1">
        <v>3</v>
      </c>
      <c r="D1096" s="1">
        <v>49.1</v>
      </c>
      <c r="E1096" s="1">
        <v>147.30000000000001</v>
      </c>
      <c r="F1096" s="2">
        <v>45700</v>
      </c>
      <c r="G1096" s="2">
        <v>45702</v>
      </c>
      <c r="H1096" s="1" t="s">
        <v>12</v>
      </c>
      <c r="I1096" s="1" t="s">
        <v>3</v>
      </c>
      <c r="J1096" s="1">
        <v>4</v>
      </c>
      <c r="K1096" s="1" t="s">
        <v>4</v>
      </c>
      <c r="L1096" s="1" t="s">
        <v>171</v>
      </c>
      <c r="M1096" s="1">
        <f>[1]!orders[[#This Row],[Ship Date]]-[1]!orders[[#This Row],[Order Date]]</f>
        <v>2</v>
      </c>
      <c r="N1096" s="1">
        <f>WEEKNUM([1]!orders[[#This Row],[Order Date]])</f>
        <v>7</v>
      </c>
      <c r="O1096" t="str" cm="1">
        <f t="array" ref="O1096">_xlfn.IFS([1]!orders[[#This Row],[Customer Gender]]="M","Male", [1]!orders[[#This Row],[Customer Gender]]="F","Female", [1]!orders[[#This Row],[Customer Gender]]="O","Other", TRUE,"Unknown")</f>
        <v>Female</v>
      </c>
    </row>
    <row r="1097" spans="1:15" x14ac:dyDescent="0.25">
      <c r="A1097" t="s">
        <v>1179</v>
      </c>
      <c r="B1097" t="s">
        <v>7</v>
      </c>
      <c r="C1097">
        <v>1</v>
      </c>
      <c r="D1097">
        <v>44.9</v>
      </c>
      <c r="E1097">
        <v>44.9</v>
      </c>
      <c r="F1097" s="3">
        <v>45700</v>
      </c>
      <c r="G1097" s="3">
        <v>45703</v>
      </c>
      <c r="H1097" t="s">
        <v>12</v>
      </c>
      <c r="I1097" t="s">
        <v>36</v>
      </c>
      <c r="J1097">
        <v>5</v>
      </c>
      <c r="K1097" t="s">
        <v>4</v>
      </c>
      <c r="L1097" t="s">
        <v>40</v>
      </c>
      <c r="M1097">
        <f>[1]!orders[[#This Row],[Ship Date]]-[1]!orders[[#This Row],[Order Date]]</f>
        <v>3</v>
      </c>
      <c r="N1097">
        <f>WEEKNUM([1]!orders[[#This Row],[Order Date]])</f>
        <v>7</v>
      </c>
      <c r="O1097" t="str" cm="1">
        <f t="array" ref="O1097">_xlfn.IFS([1]!orders[[#This Row],[Customer Gender]]="M","Male", [1]!orders[[#This Row],[Customer Gender]]="F","Female", [1]!orders[[#This Row],[Customer Gender]]="O","Other", TRUE,"Unknown")</f>
        <v>Female</v>
      </c>
    </row>
    <row r="1098" spans="1:15" x14ac:dyDescent="0.25">
      <c r="A1098" s="1" t="s">
        <v>1180</v>
      </c>
      <c r="B1098" s="1" t="s">
        <v>108</v>
      </c>
      <c r="C1098" s="1">
        <v>7</v>
      </c>
      <c r="D1098" s="1">
        <v>29.9</v>
      </c>
      <c r="E1098" s="1">
        <v>209.29999999999998</v>
      </c>
      <c r="F1098" s="2">
        <v>45700</v>
      </c>
      <c r="G1098" s="2">
        <v>45701</v>
      </c>
      <c r="H1098" s="1" t="s">
        <v>12</v>
      </c>
      <c r="I1098" s="1" t="s">
        <v>3</v>
      </c>
      <c r="J1098" s="1">
        <v>4</v>
      </c>
      <c r="K1098" s="1" t="s">
        <v>4</v>
      </c>
      <c r="L1098" s="1" t="s">
        <v>40</v>
      </c>
      <c r="M1098" s="1">
        <f>[1]!orders[[#This Row],[Ship Date]]-[1]!orders[[#This Row],[Order Date]]</f>
        <v>1</v>
      </c>
      <c r="N1098" s="1">
        <f>WEEKNUM([1]!orders[[#This Row],[Order Date]])</f>
        <v>7</v>
      </c>
      <c r="O1098" t="str" cm="1">
        <f t="array" ref="O1098">_xlfn.IFS([1]!orders[[#This Row],[Customer Gender]]="M","Male", [1]!orders[[#This Row],[Customer Gender]]="F","Female", [1]!orders[[#This Row],[Customer Gender]]="O","Other", TRUE,"Unknown")</f>
        <v>Female</v>
      </c>
    </row>
    <row r="1099" spans="1:15" x14ac:dyDescent="0.25">
      <c r="A1099" t="s">
        <v>1181</v>
      </c>
      <c r="B1099" t="s">
        <v>27</v>
      </c>
      <c r="C1099">
        <v>2</v>
      </c>
      <c r="D1099">
        <v>54.3</v>
      </c>
      <c r="E1099">
        <v>108.6</v>
      </c>
      <c r="F1099" s="3">
        <v>45701</v>
      </c>
      <c r="G1099" s="3">
        <v>45702</v>
      </c>
      <c r="H1099" t="s">
        <v>8</v>
      </c>
      <c r="I1099" t="s">
        <v>36</v>
      </c>
      <c r="J1099">
        <v>4</v>
      </c>
      <c r="K1099" t="s">
        <v>4</v>
      </c>
      <c r="L1099" t="s">
        <v>327</v>
      </c>
      <c r="M1099">
        <f>[1]!orders[[#This Row],[Ship Date]]-[1]!orders[[#This Row],[Order Date]]</f>
        <v>1</v>
      </c>
      <c r="N1099">
        <f>WEEKNUM([1]!orders[[#This Row],[Order Date]])</f>
        <v>7</v>
      </c>
      <c r="O1099" t="str" cm="1">
        <f t="array" ref="O1099">_xlfn.IFS([1]!orders[[#This Row],[Customer Gender]]="M","Male", [1]!orders[[#This Row],[Customer Gender]]="F","Female", [1]!orders[[#This Row],[Customer Gender]]="O","Other", TRUE,"Unknown")</f>
        <v>Male</v>
      </c>
    </row>
    <row r="1100" spans="1:15" x14ac:dyDescent="0.25">
      <c r="A1100" s="1" t="s">
        <v>1182</v>
      </c>
      <c r="B1100" s="1" t="s">
        <v>31</v>
      </c>
      <c r="C1100" s="1">
        <v>4</v>
      </c>
      <c r="D1100" s="1">
        <v>57</v>
      </c>
      <c r="E1100" s="1">
        <v>228</v>
      </c>
      <c r="F1100" s="2">
        <v>45701</v>
      </c>
      <c r="G1100" s="2">
        <v>45703</v>
      </c>
      <c r="H1100" s="1" t="s">
        <v>12</v>
      </c>
      <c r="I1100" s="1" t="s">
        <v>3</v>
      </c>
      <c r="J1100" s="1">
        <v>4</v>
      </c>
      <c r="K1100" s="1" t="s">
        <v>4</v>
      </c>
      <c r="L1100" s="1" t="s">
        <v>47</v>
      </c>
      <c r="M1100" s="1">
        <f>[1]!orders[[#This Row],[Ship Date]]-[1]!orders[[#This Row],[Order Date]]</f>
        <v>2</v>
      </c>
      <c r="N1100" s="1">
        <f>WEEKNUM([1]!orders[[#This Row],[Order Date]])</f>
        <v>7</v>
      </c>
      <c r="O1100" t="str" cm="1">
        <f t="array" ref="O1100">_xlfn.IFS([1]!orders[[#This Row],[Customer Gender]]="M","Male", [1]!orders[[#This Row],[Customer Gender]]="F","Female", [1]!orders[[#This Row],[Customer Gender]]="O","Other", TRUE,"Unknown")</f>
        <v>Female</v>
      </c>
    </row>
    <row r="1101" spans="1:15" x14ac:dyDescent="0.25">
      <c r="A1101" t="s">
        <v>1183</v>
      </c>
      <c r="B1101" t="s">
        <v>11</v>
      </c>
      <c r="C1101">
        <v>1</v>
      </c>
      <c r="D1101">
        <v>139.19999999999999</v>
      </c>
      <c r="E1101">
        <v>139.19999999999999</v>
      </c>
      <c r="F1101" s="3">
        <v>45701</v>
      </c>
      <c r="G1101" s="3">
        <v>45702</v>
      </c>
      <c r="H1101" t="s">
        <v>12</v>
      </c>
      <c r="I1101" t="s">
        <v>36</v>
      </c>
      <c r="J1101">
        <v>5</v>
      </c>
      <c r="K1101" t="s">
        <v>4</v>
      </c>
      <c r="L1101" t="s">
        <v>47</v>
      </c>
      <c r="M1101">
        <f>[1]!orders[[#This Row],[Ship Date]]-[1]!orders[[#This Row],[Order Date]]</f>
        <v>1</v>
      </c>
      <c r="N1101">
        <f>WEEKNUM([1]!orders[[#This Row],[Order Date]])</f>
        <v>7</v>
      </c>
      <c r="O1101" t="str" cm="1">
        <f t="array" ref="O1101">_xlfn.IFS([1]!orders[[#This Row],[Customer Gender]]="M","Male", [1]!orders[[#This Row],[Customer Gender]]="F","Female", [1]!orders[[#This Row],[Customer Gender]]="O","Other", TRUE,"Unknown")</f>
        <v>Female</v>
      </c>
    </row>
    <row r="1102" spans="1:15" x14ac:dyDescent="0.25">
      <c r="A1102" s="1" t="s">
        <v>1184</v>
      </c>
      <c r="B1102" s="1" t="s">
        <v>39</v>
      </c>
      <c r="C1102" s="1">
        <v>1</v>
      </c>
      <c r="D1102" s="1">
        <v>33</v>
      </c>
      <c r="E1102" s="1">
        <v>33</v>
      </c>
      <c r="F1102" s="2">
        <v>45701</v>
      </c>
      <c r="G1102" s="2">
        <v>45704</v>
      </c>
      <c r="H1102" s="1" t="s">
        <v>12</v>
      </c>
      <c r="I1102" s="1" t="s">
        <v>3</v>
      </c>
      <c r="J1102" s="1">
        <v>5</v>
      </c>
      <c r="K1102" s="1" t="s">
        <v>4</v>
      </c>
      <c r="L1102" s="1" t="s">
        <v>47</v>
      </c>
      <c r="M1102" s="1">
        <f>[1]!orders[[#This Row],[Ship Date]]-[1]!orders[[#This Row],[Order Date]]</f>
        <v>3</v>
      </c>
      <c r="N1102" s="1">
        <f>WEEKNUM([1]!orders[[#This Row],[Order Date]])</f>
        <v>7</v>
      </c>
      <c r="O1102" t="str" cm="1">
        <f t="array" ref="O1102">_xlfn.IFS([1]!orders[[#This Row],[Customer Gender]]="M","Male", [1]!orders[[#This Row],[Customer Gender]]="F","Female", [1]!orders[[#This Row],[Customer Gender]]="O","Other", TRUE,"Unknown")</f>
        <v>Female</v>
      </c>
    </row>
    <row r="1103" spans="1:15" x14ac:dyDescent="0.25">
      <c r="A1103" t="s">
        <v>1185</v>
      </c>
      <c r="B1103" t="s">
        <v>52</v>
      </c>
      <c r="C1103">
        <v>6</v>
      </c>
      <c r="D1103">
        <v>80.2</v>
      </c>
      <c r="E1103">
        <v>481.20000000000005</v>
      </c>
      <c r="F1103" s="3">
        <v>45701</v>
      </c>
      <c r="G1103" s="3">
        <v>45703</v>
      </c>
      <c r="H1103" t="s">
        <v>8</v>
      </c>
      <c r="I1103" t="s">
        <v>20</v>
      </c>
      <c r="J1103">
        <v>2</v>
      </c>
      <c r="K1103" t="s">
        <v>4</v>
      </c>
      <c r="L1103" t="s">
        <v>47</v>
      </c>
      <c r="M1103">
        <f>[1]!orders[[#This Row],[Ship Date]]-[1]!orders[[#This Row],[Order Date]]</f>
        <v>2</v>
      </c>
      <c r="N1103">
        <f>WEEKNUM([1]!orders[[#This Row],[Order Date]])</f>
        <v>7</v>
      </c>
      <c r="O1103" t="str" cm="1">
        <f t="array" ref="O1103">_xlfn.IFS([1]!orders[[#This Row],[Customer Gender]]="M","Male", [1]!orders[[#This Row],[Customer Gender]]="F","Female", [1]!orders[[#This Row],[Customer Gender]]="O","Other", TRUE,"Unknown")</f>
        <v>Male</v>
      </c>
    </row>
    <row r="1104" spans="1:15" x14ac:dyDescent="0.25">
      <c r="A1104" s="1" t="s">
        <v>1186</v>
      </c>
      <c r="B1104" s="1" t="s">
        <v>131</v>
      </c>
      <c r="C1104" s="1">
        <v>8</v>
      </c>
      <c r="D1104" s="1">
        <v>49</v>
      </c>
      <c r="E1104" s="1">
        <v>392</v>
      </c>
      <c r="F1104" s="2">
        <v>45701</v>
      </c>
      <c r="G1104" s="2">
        <v>45702</v>
      </c>
      <c r="H1104" s="1" t="s">
        <v>2</v>
      </c>
      <c r="I1104" s="1" t="s">
        <v>25</v>
      </c>
      <c r="J1104" s="1">
        <v>3</v>
      </c>
      <c r="K1104" s="1" t="s">
        <v>4</v>
      </c>
      <c r="L1104" s="1" t="s">
        <v>57</v>
      </c>
      <c r="M1104" s="1">
        <f>[1]!orders[[#This Row],[Ship Date]]-[1]!orders[[#This Row],[Order Date]]</f>
        <v>1</v>
      </c>
      <c r="N1104" s="1">
        <f>WEEKNUM([1]!orders[[#This Row],[Order Date]])</f>
        <v>7</v>
      </c>
      <c r="O1104" t="str" cm="1">
        <f t="array" ref="O1104">_xlfn.IFS([1]!orders[[#This Row],[Customer Gender]]="M","Male", [1]!orders[[#This Row],[Customer Gender]]="F","Female", [1]!orders[[#This Row],[Customer Gender]]="O","Other", TRUE,"Unknown")</f>
        <v>Unknown</v>
      </c>
    </row>
    <row r="1105" spans="1:15" x14ac:dyDescent="0.25">
      <c r="A1105" t="s">
        <v>1187</v>
      </c>
      <c r="B1105" t="s">
        <v>7</v>
      </c>
      <c r="C1105">
        <v>4</v>
      </c>
      <c r="D1105">
        <v>104.4</v>
      </c>
      <c r="E1105">
        <v>417.6</v>
      </c>
      <c r="F1105" s="3">
        <v>45701</v>
      </c>
      <c r="G1105" s="3">
        <v>45701</v>
      </c>
      <c r="H1105" t="s">
        <v>12</v>
      </c>
      <c r="I1105" t="s">
        <v>3</v>
      </c>
      <c r="J1105">
        <v>4</v>
      </c>
      <c r="K1105" t="s">
        <v>4</v>
      </c>
      <c r="L1105" t="s">
        <v>57</v>
      </c>
      <c r="M1105">
        <f>[1]!orders[[#This Row],[Ship Date]]-[1]!orders[[#This Row],[Order Date]]</f>
        <v>0</v>
      </c>
      <c r="N1105">
        <f>WEEKNUM([1]!orders[[#This Row],[Order Date]])</f>
        <v>7</v>
      </c>
      <c r="O1105" t="str" cm="1">
        <f t="array" ref="O1105">_xlfn.IFS([1]!orders[[#This Row],[Customer Gender]]="M","Male", [1]!orders[[#This Row],[Customer Gender]]="F","Female", [1]!orders[[#This Row],[Customer Gender]]="O","Other", TRUE,"Unknown")</f>
        <v>Female</v>
      </c>
    </row>
    <row r="1106" spans="1:15" x14ac:dyDescent="0.25">
      <c r="A1106" s="1" t="s">
        <v>1188</v>
      </c>
      <c r="B1106" s="1" t="s">
        <v>15</v>
      </c>
      <c r="C1106" s="1">
        <v>1</v>
      </c>
      <c r="D1106" s="1">
        <v>41.6</v>
      </c>
      <c r="E1106" s="1">
        <v>41.6</v>
      </c>
      <c r="F1106" s="2">
        <v>45701</v>
      </c>
      <c r="G1106" s="2">
        <v>45704</v>
      </c>
      <c r="H1106" s="1" t="s">
        <v>8</v>
      </c>
      <c r="I1106" s="1" t="s">
        <v>36</v>
      </c>
      <c r="J1106" s="1">
        <v>4</v>
      </c>
      <c r="K1106" s="1" t="s">
        <v>4</v>
      </c>
      <c r="L1106" s="1" t="s">
        <v>62</v>
      </c>
      <c r="M1106" s="1">
        <f>[1]!orders[[#This Row],[Ship Date]]-[1]!orders[[#This Row],[Order Date]]</f>
        <v>3</v>
      </c>
      <c r="N1106" s="1">
        <f>WEEKNUM([1]!orders[[#This Row],[Order Date]])</f>
        <v>7</v>
      </c>
      <c r="O1106" t="str" cm="1">
        <f t="array" ref="O1106">_xlfn.IFS([1]!orders[[#This Row],[Customer Gender]]="M","Male", [1]!orders[[#This Row],[Customer Gender]]="F","Female", [1]!orders[[#This Row],[Customer Gender]]="O","Other", TRUE,"Unknown")</f>
        <v>Male</v>
      </c>
    </row>
    <row r="1107" spans="1:15" x14ac:dyDescent="0.25">
      <c r="A1107" t="s">
        <v>1189</v>
      </c>
      <c r="B1107" t="s">
        <v>156</v>
      </c>
      <c r="C1107">
        <v>2</v>
      </c>
      <c r="D1107">
        <v>16.399999999999999</v>
      </c>
      <c r="E1107">
        <v>32.799999999999997</v>
      </c>
      <c r="F1107" s="3">
        <v>45701</v>
      </c>
      <c r="G1107" s="3">
        <v>45702</v>
      </c>
      <c r="H1107" t="s">
        <v>74</v>
      </c>
      <c r="I1107" t="s">
        <v>3</v>
      </c>
      <c r="J1107">
        <v>5</v>
      </c>
      <c r="K1107" t="s">
        <v>4</v>
      </c>
      <c r="L1107" t="s">
        <v>62</v>
      </c>
      <c r="M1107">
        <f>[1]!orders[[#This Row],[Ship Date]]-[1]!orders[[#This Row],[Order Date]]</f>
        <v>1</v>
      </c>
      <c r="N1107">
        <f>WEEKNUM([1]!orders[[#This Row],[Order Date]])</f>
        <v>7</v>
      </c>
      <c r="O1107" t="str" cm="1">
        <f t="array" ref="O1107">_xlfn.IFS([1]!orders[[#This Row],[Customer Gender]]="M","Male", [1]!orders[[#This Row],[Customer Gender]]="F","Female", [1]!orders[[#This Row],[Customer Gender]]="O","Other", TRUE,"Unknown")</f>
        <v>Other</v>
      </c>
    </row>
    <row r="1108" spans="1:15" x14ac:dyDescent="0.25">
      <c r="A1108" s="1" t="s">
        <v>1190</v>
      </c>
      <c r="B1108" s="1" t="s">
        <v>29</v>
      </c>
      <c r="C1108" s="1">
        <v>2</v>
      </c>
      <c r="D1108" s="1">
        <v>22</v>
      </c>
      <c r="E1108" s="1">
        <v>44</v>
      </c>
      <c r="F1108" s="2">
        <v>45701</v>
      </c>
      <c r="G1108" s="2">
        <v>45702</v>
      </c>
      <c r="H1108" s="1" t="s">
        <v>8</v>
      </c>
      <c r="I1108" s="1" t="s">
        <v>25</v>
      </c>
      <c r="J1108" s="1">
        <v>5</v>
      </c>
      <c r="K1108" s="1" t="s">
        <v>4</v>
      </c>
      <c r="L1108" s="1" t="s">
        <v>1101</v>
      </c>
      <c r="M1108" s="1">
        <f>[1]!orders[[#This Row],[Ship Date]]-[1]!orders[[#This Row],[Order Date]]</f>
        <v>1</v>
      </c>
      <c r="N1108" s="1">
        <f>WEEKNUM([1]!orders[[#This Row],[Order Date]])</f>
        <v>7</v>
      </c>
      <c r="O1108" t="str" cm="1">
        <f t="array" ref="O1108">_xlfn.IFS([1]!orders[[#This Row],[Customer Gender]]="M","Male", [1]!orders[[#This Row],[Customer Gender]]="F","Female", [1]!orders[[#This Row],[Customer Gender]]="O","Other", TRUE,"Unknown")</f>
        <v>Male</v>
      </c>
    </row>
    <row r="1109" spans="1:15" x14ac:dyDescent="0.25">
      <c r="A1109" t="s">
        <v>1191</v>
      </c>
      <c r="B1109" t="s">
        <v>108</v>
      </c>
      <c r="C1109">
        <v>2</v>
      </c>
      <c r="D1109">
        <v>33.6</v>
      </c>
      <c r="E1109">
        <v>67.2</v>
      </c>
      <c r="F1109" s="3">
        <v>45701</v>
      </c>
      <c r="G1109" s="3">
        <v>45706</v>
      </c>
      <c r="H1109" t="s">
        <v>12</v>
      </c>
      <c r="I1109" t="s">
        <v>3</v>
      </c>
      <c r="J1109">
        <v>4</v>
      </c>
      <c r="K1109" t="s">
        <v>4</v>
      </c>
      <c r="L1109" t="s">
        <v>100</v>
      </c>
      <c r="M1109">
        <f>[1]!orders[[#This Row],[Ship Date]]-[1]!orders[[#This Row],[Order Date]]</f>
        <v>5</v>
      </c>
      <c r="N1109">
        <f>WEEKNUM([1]!orders[[#This Row],[Order Date]])</f>
        <v>7</v>
      </c>
      <c r="O1109" t="str" cm="1">
        <f t="array" ref="O1109">_xlfn.IFS([1]!orders[[#This Row],[Customer Gender]]="M","Male", [1]!orders[[#This Row],[Customer Gender]]="F","Female", [1]!orders[[#This Row],[Customer Gender]]="O","Other", TRUE,"Unknown")</f>
        <v>Female</v>
      </c>
    </row>
    <row r="1110" spans="1:15" x14ac:dyDescent="0.25">
      <c r="A1110" s="1" t="s">
        <v>1192</v>
      </c>
      <c r="B1110" s="1" t="s">
        <v>52</v>
      </c>
      <c r="C1110" s="1">
        <v>6</v>
      </c>
      <c r="D1110" s="1">
        <v>43</v>
      </c>
      <c r="E1110" s="1">
        <v>258</v>
      </c>
      <c r="F1110" s="2">
        <v>45701</v>
      </c>
      <c r="G1110" s="2">
        <v>45702</v>
      </c>
      <c r="H1110" s="1" t="s">
        <v>12</v>
      </c>
      <c r="I1110" s="1" t="s">
        <v>25</v>
      </c>
      <c r="J1110" s="1">
        <v>4</v>
      </c>
      <c r="K1110" s="1" t="s">
        <v>4</v>
      </c>
      <c r="L1110" s="1" t="s">
        <v>100</v>
      </c>
      <c r="M1110" s="1">
        <f>[1]!orders[[#This Row],[Ship Date]]-[1]!orders[[#This Row],[Order Date]]</f>
        <v>1</v>
      </c>
      <c r="N1110" s="1">
        <f>WEEKNUM([1]!orders[[#This Row],[Order Date]])</f>
        <v>7</v>
      </c>
      <c r="O1110" t="str" cm="1">
        <f t="array" ref="O1110">_xlfn.IFS([1]!orders[[#This Row],[Customer Gender]]="M","Male", [1]!orders[[#This Row],[Customer Gender]]="F","Female", [1]!orders[[#This Row],[Customer Gender]]="O","Other", TRUE,"Unknown")</f>
        <v>Female</v>
      </c>
    </row>
    <row r="1111" spans="1:15" x14ac:dyDescent="0.25">
      <c r="A1111" t="s">
        <v>1193</v>
      </c>
      <c r="B1111" t="s">
        <v>24</v>
      </c>
      <c r="C1111">
        <v>5</v>
      </c>
      <c r="D1111">
        <v>108.8</v>
      </c>
      <c r="E1111">
        <v>544</v>
      </c>
      <c r="F1111" s="3">
        <v>45701</v>
      </c>
      <c r="G1111" s="3">
        <v>45704</v>
      </c>
      <c r="H1111" t="s">
        <v>12</v>
      </c>
      <c r="I1111" t="s">
        <v>55</v>
      </c>
      <c r="J1111">
        <v>5</v>
      </c>
      <c r="K1111" t="s">
        <v>4</v>
      </c>
      <c r="L1111" t="s">
        <v>100</v>
      </c>
      <c r="M1111">
        <f>[1]!orders[[#This Row],[Ship Date]]-[1]!orders[[#This Row],[Order Date]]</f>
        <v>3</v>
      </c>
      <c r="N1111">
        <f>WEEKNUM([1]!orders[[#This Row],[Order Date]])</f>
        <v>7</v>
      </c>
      <c r="O1111" t="str" cm="1">
        <f t="array" ref="O1111">_xlfn.IFS([1]!orders[[#This Row],[Customer Gender]]="M","Male", [1]!orders[[#This Row],[Customer Gender]]="F","Female", [1]!orders[[#This Row],[Customer Gender]]="O","Other", TRUE,"Unknown")</f>
        <v>Female</v>
      </c>
    </row>
    <row r="1112" spans="1:15" x14ac:dyDescent="0.25">
      <c r="A1112" s="1" t="s">
        <v>1194</v>
      </c>
      <c r="B1112" s="1" t="s">
        <v>1</v>
      </c>
      <c r="C1112" s="1">
        <v>9</v>
      </c>
      <c r="D1112" s="1">
        <v>29.3</v>
      </c>
      <c r="E1112" s="1">
        <v>263.7</v>
      </c>
      <c r="F1112" s="2">
        <v>45701</v>
      </c>
      <c r="G1112" s="2">
        <v>45703</v>
      </c>
      <c r="H1112" s="1" t="s">
        <v>8</v>
      </c>
      <c r="I1112" s="1" t="s">
        <v>55</v>
      </c>
      <c r="J1112" s="1">
        <v>5</v>
      </c>
      <c r="K1112" s="1" t="s">
        <v>4</v>
      </c>
      <c r="L1112" s="1" t="s">
        <v>100</v>
      </c>
      <c r="M1112" s="1">
        <f>[1]!orders[[#This Row],[Ship Date]]-[1]!orders[[#This Row],[Order Date]]</f>
        <v>2</v>
      </c>
      <c r="N1112" s="1">
        <f>WEEKNUM([1]!orders[[#This Row],[Order Date]])</f>
        <v>7</v>
      </c>
      <c r="O1112" t="str" cm="1">
        <f t="array" ref="O1112">_xlfn.IFS([1]!orders[[#This Row],[Customer Gender]]="M","Male", [1]!orders[[#This Row],[Customer Gender]]="F","Female", [1]!orders[[#This Row],[Customer Gender]]="O","Other", TRUE,"Unknown")</f>
        <v>Male</v>
      </c>
    </row>
    <row r="1113" spans="1:15" x14ac:dyDescent="0.25">
      <c r="A1113" t="s">
        <v>1195</v>
      </c>
      <c r="B1113" t="s">
        <v>11</v>
      </c>
      <c r="C1113">
        <v>1</v>
      </c>
      <c r="D1113">
        <v>122.7</v>
      </c>
      <c r="E1113">
        <v>122.7</v>
      </c>
      <c r="F1113" s="3">
        <v>45701</v>
      </c>
      <c r="G1113" s="3">
        <v>45704</v>
      </c>
      <c r="H1113" t="s">
        <v>74</v>
      </c>
      <c r="I1113" t="s">
        <v>3</v>
      </c>
      <c r="J1113">
        <v>5</v>
      </c>
      <c r="K1113" t="s">
        <v>4</v>
      </c>
      <c r="L1113" t="s">
        <v>9</v>
      </c>
      <c r="M1113">
        <f>[1]!orders[[#This Row],[Ship Date]]-[1]!orders[[#This Row],[Order Date]]</f>
        <v>3</v>
      </c>
      <c r="N1113">
        <f>WEEKNUM([1]!orders[[#This Row],[Order Date]])</f>
        <v>7</v>
      </c>
      <c r="O1113" t="str" cm="1">
        <f t="array" ref="O1113">_xlfn.IFS([1]!orders[[#This Row],[Customer Gender]]="M","Male", [1]!orders[[#This Row],[Customer Gender]]="F","Female", [1]!orders[[#This Row],[Customer Gender]]="O","Other", TRUE,"Unknown")</f>
        <v>Other</v>
      </c>
    </row>
    <row r="1114" spans="1:15" x14ac:dyDescent="0.25">
      <c r="A1114" s="1" t="s">
        <v>1196</v>
      </c>
      <c r="B1114" s="1" t="s">
        <v>17</v>
      </c>
      <c r="C1114" s="1">
        <v>7</v>
      </c>
      <c r="D1114" s="1">
        <v>22.9</v>
      </c>
      <c r="E1114" s="1">
        <v>160.29999999999998</v>
      </c>
      <c r="F1114" s="2">
        <v>45701</v>
      </c>
      <c r="G1114" s="2">
        <v>45702</v>
      </c>
      <c r="H1114" s="1" t="s">
        <v>12</v>
      </c>
      <c r="I1114" s="1" t="s">
        <v>3</v>
      </c>
      <c r="J1114" s="1">
        <v>4</v>
      </c>
      <c r="K1114" s="1" t="s">
        <v>4</v>
      </c>
      <c r="L1114" s="1" t="s">
        <v>422</v>
      </c>
      <c r="M1114" s="1">
        <f>[1]!orders[[#This Row],[Ship Date]]-[1]!orders[[#This Row],[Order Date]]</f>
        <v>1</v>
      </c>
      <c r="N1114" s="1">
        <f>WEEKNUM([1]!orders[[#This Row],[Order Date]])</f>
        <v>7</v>
      </c>
      <c r="O1114" t="str" cm="1">
        <f t="array" ref="O1114">_xlfn.IFS([1]!orders[[#This Row],[Customer Gender]]="M","Male", [1]!orders[[#This Row],[Customer Gender]]="F","Female", [1]!orders[[#This Row],[Customer Gender]]="O","Other", TRUE,"Unknown")</f>
        <v>Female</v>
      </c>
    </row>
    <row r="1115" spans="1:15" x14ac:dyDescent="0.25">
      <c r="A1115" t="s">
        <v>1197</v>
      </c>
      <c r="B1115" t="s">
        <v>29</v>
      </c>
      <c r="C1115">
        <v>10</v>
      </c>
      <c r="D1115">
        <v>25.5</v>
      </c>
      <c r="E1115">
        <v>255</v>
      </c>
      <c r="F1115" s="3">
        <v>45701</v>
      </c>
      <c r="G1115" s="3">
        <v>45708</v>
      </c>
      <c r="H1115" t="s">
        <v>12</v>
      </c>
      <c r="I1115" t="s">
        <v>3</v>
      </c>
      <c r="J1115">
        <v>4</v>
      </c>
      <c r="K1115" t="s">
        <v>4</v>
      </c>
      <c r="L1115" t="s">
        <v>316</v>
      </c>
      <c r="M1115">
        <f>[1]!orders[[#This Row],[Ship Date]]-[1]!orders[[#This Row],[Order Date]]</f>
        <v>7</v>
      </c>
      <c r="N1115">
        <f>WEEKNUM([1]!orders[[#This Row],[Order Date]])</f>
        <v>7</v>
      </c>
      <c r="O1115" t="str" cm="1">
        <f t="array" ref="O1115">_xlfn.IFS([1]!orders[[#This Row],[Customer Gender]]="M","Male", [1]!orders[[#This Row],[Customer Gender]]="F","Female", [1]!orders[[#This Row],[Customer Gender]]="O","Other", TRUE,"Unknown")</f>
        <v>Female</v>
      </c>
    </row>
    <row r="1116" spans="1:15" x14ac:dyDescent="0.25">
      <c r="A1116" s="1" t="s">
        <v>1198</v>
      </c>
      <c r="B1116" s="1" t="s">
        <v>120</v>
      </c>
      <c r="C1116" s="1">
        <v>3</v>
      </c>
      <c r="D1116" s="1">
        <v>23.4</v>
      </c>
      <c r="E1116" s="1">
        <v>70.199999999999989</v>
      </c>
      <c r="F1116" s="2">
        <v>45701</v>
      </c>
      <c r="G1116" s="2">
        <v>45705</v>
      </c>
      <c r="H1116" s="1" t="s">
        <v>12</v>
      </c>
      <c r="I1116" s="1" t="s">
        <v>3</v>
      </c>
      <c r="J1116" s="1">
        <v>5</v>
      </c>
      <c r="K1116" s="1" t="s">
        <v>4</v>
      </c>
      <c r="L1116" s="1" t="s">
        <v>18</v>
      </c>
      <c r="M1116" s="1">
        <f>[1]!orders[[#This Row],[Ship Date]]-[1]!orders[[#This Row],[Order Date]]</f>
        <v>4</v>
      </c>
      <c r="N1116" s="1">
        <f>WEEKNUM([1]!orders[[#This Row],[Order Date]])</f>
        <v>7</v>
      </c>
      <c r="O1116" t="str" cm="1">
        <f t="array" ref="O1116">_xlfn.IFS([1]!orders[[#This Row],[Customer Gender]]="M","Male", [1]!orders[[#This Row],[Customer Gender]]="F","Female", [1]!orders[[#This Row],[Customer Gender]]="O","Other", TRUE,"Unknown")</f>
        <v>Female</v>
      </c>
    </row>
    <row r="1117" spans="1:15" x14ac:dyDescent="0.25">
      <c r="A1117" t="s">
        <v>1199</v>
      </c>
      <c r="B1117" t="s">
        <v>22</v>
      </c>
      <c r="C1117">
        <v>8</v>
      </c>
      <c r="D1117">
        <v>27.4</v>
      </c>
      <c r="E1117">
        <v>219.2</v>
      </c>
      <c r="F1117" s="3">
        <v>45701</v>
      </c>
      <c r="G1117" s="3">
        <v>45704</v>
      </c>
      <c r="H1117" t="s">
        <v>12</v>
      </c>
      <c r="I1117" t="s">
        <v>25</v>
      </c>
      <c r="J1117">
        <v>4</v>
      </c>
      <c r="K1117" t="s">
        <v>4</v>
      </c>
      <c r="L1117" t="s">
        <v>18</v>
      </c>
      <c r="M1117">
        <f>[1]!orders[[#This Row],[Ship Date]]-[1]!orders[[#This Row],[Order Date]]</f>
        <v>3</v>
      </c>
      <c r="N1117">
        <f>WEEKNUM([1]!orders[[#This Row],[Order Date]])</f>
        <v>7</v>
      </c>
      <c r="O1117" t="str" cm="1">
        <f t="array" ref="O1117">_xlfn.IFS([1]!orders[[#This Row],[Customer Gender]]="M","Male", [1]!orders[[#This Row],[Customer Gender]]="F","Female", [1]!orders[[#This Row],[Customer Gender]]="O","Other", TRUE,"Unknown")</f>
        <v>Female</v>
      </c>
    </row>
    <row r="1118" spans="1:15" x14ac:dyDescent="0.25">
      <c r="A1118" s="1" t="s">
        <v>1200</v>
      </c>
      <c r="B1118" s="1" t="s">
        <v>22</v>
      </c>
      <c r="C1118" s="1">
        <v>5</v>
      </c>
      <c r="D1118" s="1">
        <v>68.400000000000006</v>
      </c>
      <c r="E1118" s="1">
        <v>342</v>
      </c>
      <c r="F1118" s="2">
        <v>45701</v>
      </c>
      <c r="G1118" s="2">
        <v>45702</v>
      </c>
      <c r="H1118" s="1" t="s">
        <v>12</v>
      </c>
      <c r="I1118" s="1" t="s">
        <v>3</v>
      </c>
      <c r="J1118" s="1">
        <v>4</v>
      </c>
      <c r="K1118" s="1" t="s">
        <v>4</v>
      </c>
      <c r="L1118" s="1" t="s">
        <v>18</v>
      </c>
      <c r="M1118" s="1">
        <f>[1]!orders[[#This Row],[Ship Date]]-[1]!orders[[#This Row],[Order Date]]</f>
        <v>1</v>
      </c>
      <c r="N1118" s="1">
        <f>WEEKNUM([1]!orders[[#This Row],[Order Date]])</f>
        <v>7</v>
      </c>
      <c r="O1118" t="str" cm="1">
        <f t="array" ref="O1118">_xlfn.IFS([1]!orders[[#This Row],[Customer Gender]]="M","Male", [1]!orders[[#This Row],[Customer Gender]]="F","Female", [1]!orders[[#This Row],[Customer Gender]]="O","Other", TRUE,"Unknown")</f>
        <v>Female</v>
      </c>
    </row>
    <row r="1119" spans="1:15" x14ac:dyDescent="0.25">
      <c r="A1119" t="s">
        <v>1201</v>
      </c>
      <c r="B1119" t="s">
        <v>24</v>
      </c>
      <c r="C1119">
        <v>1</v>
      </c>
      <c r="D1119">
        <v>51.9</v>
      </c>
      <c r="E1119">
        <v>51.9</v>
      </c>
      <c r="F1119" s="3">
        <v>45701</v>
      </c>
      <c r="G1119" s="3">
        <v>45701</v>
      </c>
      <c r="H1119" t="s">
        <v>12</v>
      </c>
      <c r="I1119" t="s">
        <v>3</v>
      </c>
      <c r="J1119">
        <v>4</v>
      </c>
      <c r="K1119" t="s">
        <v>4</v>
      </c>
      <c r="L1119" t="s">
        <v>18</v>
      </c>
      <c r="M1119">
        <f>[1]!orders[[#This Row],[Ship Date]]-[1]!orders[[#This Row],[Order Date]]</f>
        <v>0</v>
      </c>
      <c r="N1119">
        <f>WEEKNUM([1]!orders[[#This Row],[Order Date]])</f>
        <v>7</v>
      </c>
      <c r="O1119" t="str" cm="1">
        <f t="array" ref="O1119">_xlfn.IFS([1]!orders[[#This Row],[Customer Gender]]="M","Male", [1]!orders[[#This Row],[Customer Gender]]="F","Female", [1]!orders[[#This Row],[Customer Gender]]="O","Other", TRUE,"Unknown")</f>
        <v>Female</v>
      </c>
    </row>
    <row r="1120" spans="1:15" x14ac:dyDescent="0.25">
      <c r="A1120" s="1" t="s">
        <v>1202</v>
      </c>
      <c r="B1120" s="1" t="s">
        <v>1</v>
      </c>
      <c r="C1120" s="1">
        <v>5</v>
      </c>
      <c r="D1120" s="1">
        <v>26.4</v>
      </c>
      <c r="E1120" s="1">
        <v>132</v>
      </c>
      <c r="F1120" s="2">
        <v>45701</v>
      </c>
      <c r="G1120" s="2">
        <v>45704</v>
      </c>
      <c r="H1120" s="1" t="s">
        <v>12</v>
      </c>
      <c r="I1120" s="1" t="s">
        <v>3</v>
      </c>
      <c r="J1120" s="1">
        <v>5</v>
      </c>
      <c r="K1120" s="1" t="s">
        <v>4</v>
      </c>
      <c r="L1120" s="1" t="s">
        <v>18</v>
      </c>
      <c r="M1120" s="1">
        <f>[1]!orders[[#This Row],[Ship Date]]-[1]!orders[[#This Row],[Order Date]]</f>
        <v>3</v>
      </c>
      <c r="N1120" s="1">
        <f>WEEKNUM([1]!orders[[#This Row],[Order Date]])</f>
        <v>7</v>
      </c>
      <c r="O1120" t="str" cm="1">
        <f t="array" ref="O1120">_xlfn.IFS([1]!orders[[#This Row],[Customer Gender]]="M","Male", [1]!orders[[#This Row],[Customer Gender]]="F","Female", [1]!orders[[#This Row],[Customer Gender]]="O","Other", TRUE,"Unknown")</f>
        <v>Female</v>
      </c>
    </row>
    <row r="1121" spans="1:15" x14ac:dyDescent="0.25">
      <c r="A1121" t="s">
        <v>1203</v>
      </c>
      <c r="B1121" t="s">
        <v>54</v>
      </c>
      <c r="C1121">
        <v>2</v>
      </c>
      <c r="D1121">
        <v>117</v>
      </c>
      <c r="E1121">
        <v>234</v>
      </c>
      <c r="F1121" s="3">
        <v>45701</v>
      </c>
      <c r="G1121" s="3">
        <v>45702</v>
      </c>
      <c r="H1121" t="s">
        <v>12</v>
      </c>
      <c r="I1121" t="s">
        <v>20</v>
      </c>
      <c r="J1121">
        <v>3</v>
      </c>
      <c r="K1121" t="s">
        <v>4</v>
      </c>
      <c r="L1121" t="s">
        <v>18</v>
      </c>
      <c r="M1121">
        <f>[1]!orders[[#This Row],[Ship Date]]-[1]!orders[[#This Row],[Order Date]]</f>
        <v>1</v>
      </c>
      <c r="N1121">
        <f>WEEKNUM([1]!orders[[#This Row],[Order Date]])</f>
        <v>7</v>
      </c>
      <c r="O1121" t="str" cm="1">
        <f t="array" ref="O1121">_xlfn.IFS([1]!orders[[#This Row],[Customer Gender]]="M","Male", [1]!orders[[#This Row],[Customer Gender]]="F","Female", [1]!orders[[#This Row],[Customer Gender]]="O","Other", TRUE,"Unknown")</f>
        <v>Female</v>
      </c>
    </row>
    <row r="1122" spans="1:15" x14ac:dyDescent="0.25">
      <c r="A1122" s="1" t="s">
        <v>1204</v>
      </c>
      <c r="B1122" s="1" t="s">
        <v>27</v>
      </c>
      <c r="C1122" s="1">
        <v>3</v>
      </c>
      <c r="D1122" s="1">
        <v>49.6</v>
      </c>
      <c r="E1122" s="1">
        <v>148.80000000000001</v>
      </c>
      <c r="F1122" s="2">
        <v>45702</v>
      </c>
      <c r="G1122" s="2">
        <v>45704</v>
      </c>
      <c r="H1122" s="1" t="s">
        <v>12</v>
      </c>
      <c r="I1122" s="1" t="s">
        <v>3</v>
      </c>
      <c r="J1122" s="1">
        <v>4</v>
      </c>
      <c r="K1122" s="1" t="s">
        <v>4</v>
      </c>
      <c r="L1122" s="1" t="s">
        <v>18</v>
      </c>
      <c r="M1122" s="1">
        <f>[1]!orders[[#This Row],[Ship Date]]-[1]!orders[[#This Row],[Order Date]]</f>
        <v>2</v>
      </c>
      <c r="N1122" s="1">
        <f>WEEKNUM([1]!orders[[#This Row],[Order Date]])</f>
        <v>7</v>
      </c>
      <c r="O1122" t="str" cm="1">
        <f t="array" ref="O1122">_xlfn.IFS([1]!orders[[#This Row],[Customer Gender]]="M","Male", [1]!orders[[#This Row],[Customer Gender]]="F","Female", [1]!orders[[#This Row],[Customer Gender]]="O","Other", TRUE,"Unknown")</f>
        <v>Female</v>
      </c>
    </row>
    <row r="1123" spans="1:15" x14ac:dyDescent="0.25">
      <c r="A1123" t="s">
        <v>1205</v>
      </c>
      <c r="B1123" t="s">
        <v>17</v>
      </c>
      <c r="C1123">
        <v>3</v>
      </c>
      <c r="D1123">
        <v>38</v>
      </c>
      <c r="E1123">
        <v>114</v>
      </c>
      <c r="F1123" s="3">
        <v>45702</v>
      </c>
      <c r="G1123" s="3">
        <v>45705</v>
      </c>
      <c r="H1123" t="s">
        <v>8</v>
      </c>
      <c r="I1123" t="s">
        <v>25</v>
      </c>
      <c r="J1123">
        <v>2</v>
      </c>
      <c r="K1123" t="s">
        <v>4</v>
      </c>
      <c r="L1123" t="s">
        <v>18</v>
      </c>
      <c r="M1123">
        <f>[1]!orders[[#This Row],[Ship Date]]-[1]!orders[[#This Row],[Order Date]]</f>
        <v>3</v>
      </c>
      <c r="N1123">
        <f>WEEKNUM([1]!orders[[#This Row],[Order Date]])</f>
        <v>7</v>
      </c>
      <c r="O1123" t="str" cm="1">
        <f t="array" ref="O1123">_xlfn.IFS([1]!orders[[#This Row],[Customer Gender]]="M","Male", [1]!orders[[#This Row],[Customer Gender]]="F","Female", [1]!orders[[#This Row],[Customer Gender]]="O","Other", TRUE,"Unknown")</f>
        <v>Male</v>
      </c>
    </row>
    <row r="1124" spans="1:15" x14ac:dyDescent="0.25">
      <c r="A1124" s="1" t="s">
        <v>1206</v>
      </c>
      <c r="B1124" s="1" t="s">
        <v>1</v>
      </c>
      <c r="C1124" s="1">
        <v>3</v>
      </c>
      <c r="D1124" s="1">
        <v>20.6</v>
      </c>
      <c r="E1124" s="1">
        <v>61.800000000000004</v>
      </c>
      <c r="F1124" s="2">
        <v>45702</v>
      </c>
      <c r="G1124" s="2">
        <v>45704</v>
      </c>
      <c r="H1124" s="1" t="s">
        <v>12</v>
      </c>
      <c r="I1124" s="1" t="s">
        <v>55</v>
      </c>
      <c r="J1124" s="1">
        <v>5</v>
      </c>
      <c r="K1124" s="1" t="s">
        <v>4</v>
      </c>
      <c r="L1124" s="1" t="s">
        <v>18</v>
      </c>
      <c r="M1124" s="1">
        <f>[1]!orders[[#This Row],[Ship Date]]-[1]!orders[[#This Row],[Order Date]]</f>
        <v>2</v>
      </c>
      <c r="N1124" s="1">
        <f>WEEKNUM([1]!orders[[#This Row],[Order Date]])</f>
        <v>7</v>
      </c>
      <c r="O1124" t="str" cm="1">
        <f t="array" ref="O1124">_xlfn.IFS([1]!orders[[#This Row],[Customer Gender]]="M","Male", [1]!orders[[#This Row],[Customer Gender]]="F","Female", [1]!orders[[#This Row],[Customer Gender]]="O","Other", TRUE,"Unknown")</f>
        <v>Female</v>
      </c>
    </row>
    <row r="1125" spans="1:15" x14ac:dyDescent="0.25">
      <c r="A1125" t="s">
        <v>1207</v>
      </c>
      <c r="B1125" t="s">
        <v>1</v>
      </c>
      <c r="C1125">
        <v>2</v>
      </c>
      <c r="D1125">
        <v>16</v>
      </c>
      <c r="E1125">
        <v>32</v>
      </c>
      <c r="F1125" s="3">
        <v>45702</v>
      </c>
      <c r="G1125" s="3">
        <v>45703</v>
      </c>
      <c r="H1125" t="s">
        <v>8</v>
      </c>
      <c r="I1125" t="s">
        <v>20</v>
      </c>
      <c r="J1125">
        <v>3</v>
      </c>
      <c r="K1125" t="s">
        <v>4</v>
      </c>
      <c r="L1125" t="s">
        <v>787</v>
      </c>
      <c r="M1125">
        <f>[1]!orders[[#This Row],[Ship Date]]-[1]!orders[[#This Row],[Order Date]]</f>
        <v>1</v>
      </c>
      <c r="N1125">
        <f>WEEKNUM([1]!orders[[#This Row],[Order Date]])</f>
        <v>7</v>
      </c>
      <c r="O1125" t="str" cm="1">
        <f t="array" ref="O1125">_xlfn.IFS([1]!orders[[#This Row],[Customer Gender]]="M","Male", [1]!orders[[#This Row],[Customer Gender]]="F","Female", [1]!orders[[#This Row],[Customer Gender]]="O","Other", TRUE,"Unknown")</f>
        <v>Male</v>
      </c>
    </row>
    <row r="1126" spans="1:15" x14ac:dyDescent="0.25">
      <c r="A1126" s="1" t="s">
        <v>1208</v>
      </c>
      <c r="B1126" s="1" t="s">
        <v>108</v>
      </c>
      <c r="C1126" s="1">
        <v>4</v>
      </c>
      <c r="D1126" s="1">
        <v>49.3</v>
      </c>
      <c r="E1126" s="1">
        <v>197.2</v>
      </c>
      <c r="F1126" s="2">
        <v>45702</v>
      </c>
      <c r="G1126" s="2">
        <v>45703</v>
      </c>
      <c r="H1126" s="1" t="s">
        <v>12</v>
      </c>
      <c r="I1126" s="1" t="s">
        <v>25</v>
      </c>
      <c r="J1126" s="1">
        <v>4</v>
      </c>
      <c r="K1126" s="1" t="s">
        <v>4</v>
      </c>
      <c r="L1126" s="1" t="s">
        <v>143</v>
      </c>
      <c r="M1126" s="1">
        <f>[1]!orders[[#This Row],[Ship Date]]-[1]!orders[[#This Row],[Order Date]]</f>
        <v>1</v>
      </c>
      <c r="N1126" s="1">
        <f>WEEKNUM([1]!orders[[#This Row],[Order Date]])</f>
        <v>7</v>
      </c>
      <c r="O1126" t="str" cm="1">
        <f t="array" ref="O1126">_xlfn.IFS([1]!orders[[#This Row],[Customer Gender]]="M","Male", [1]!orders[[#This Row],[Customer Gender]]="F","Female", [1]!orders[[#This Row],[Customer Gender]]="O","Other", TRUE,"Unknown")</f>
        <v>Female</v>
      </c>
    </row>
    <row r="1127" spans="1:15" x14ac:dyDescent="0.25">
      <c r="A1127" t="s">
        <v>1209</v>
      </c>
      <c r="B1127" t="s">
        <v>31</v>
      </c>
      <c r="C1127">
        <v>2</v>
      </c>
      <c r="D1127">
        <v>24.1</v>
      </c>
      <c r="E1127">
        <v>48.2</v>
      </c>
      <c r="F1127" s="3">
        <v>45702</v>
      </c>
      <c r="G1127" s="3">
        <v>45706</v>
      </c>
      <c r="H1127" t="s">
        <v>12</v>
      </c>
      <c r="I1127" t="s">
        <v>3</v>
      </c>
      <c r="J1127">
        <v>4</v>
      </c>
      <c r="K1127" t="s">
        <v>4</v>
      </c>
      <c r="L1127" t="s">
        <v>40</v>
      </c>
      <c r="M1127">
        <f>[1]!orders[[#This Row],[Ship Date]]-[1]!orders[[#This Row],[Order Date]]</f>
        <v>4</v>
      </c>
      <c r="N1127">
        <f>WEEKNUM([1]!orders[[#This Row],[Order Date]])</f>
        <v>7</v>
      </c>
      <c r="O1127" t="str" cm="1">
        <f t="array" ref="O1127">_xlfn.IFS([1]!orders[[#This Row],[Customer Gender]]="M","Male", [1]!orders[[#This Row],[Customer Gender]]="F","Female", [1]!orders[[#This Row],[Customer Gender]]="O","Other", TRUE,"Unknown")</f>
        <v>Female</v>
      </c>
    </row>
    <row r="1128" spans="1:15" x14ac:dyDescent="0.25">
      <c r="A1128" s="1" t="s">
        <v>1210</v>
      </c>
      <c r="B1128" s="1" t="s">
        <v>108</v>
      </c>
      <c r="C1128" s="1">
        <v>8</v>
      </c>
      <c r="D1128" s="1">
        <v>32.700000000000003</v>
      </c>
      <c r="E1128" s="1">
        <v>261.60000000000002</v>
      </c>
      <c r="F1128" s="2">
        <v>45702</v>
      </c>
      <c r="G1128" s="2">
        <v>45703</v>
      </c>
      <c r="H1128" s="1" t="s">
        <v>12</v>
      </c>
      <c r="I1128" s="1" t="s">
        <v>20</v>
      </c>
      <c r="J1128" s="1">
        <v>4</v>
      </c>
      <c r="K1128" s="1" t="s">
        <v>4</v>
      </c>
      <c r="L1128" s="1" t="s">
        <v>40</v>
      </c>
      <c r="M1128" s="1">
        <f>[1]!orders[[#This Row],[Ship Date]]-[1]!orders[[#This Row],[Order Date]]</f>
        <v>1</v>
      </c>
      <c r="N1128" s="1">
        <f>WEEKNUM([1]!orders[[#This Row],[Order Date]])</f>
        <v>7</v>
      </c>
      <c r="O1128" t="str" cm="1">
        <f t="array" ref="O1128">_xlfn.IFS([1]!orders[[#This Row],[Customer Gender]]="M","Male", [1]!orders[[#This Row],[Customer Gender]]="F","Female", [1]!orders[[#This Row],[Customer Gender]]="O","Other", TRUE,"Unknown")</f>
        <v>Female</v>
      </c>
    </row>
    <row r="1129" spans="1:15" x14ac:dyDescent="0.25">
      <c r="A1129" t="s">
        <v>1211</v>
      </c>
      <c r="B1129" t="s">
        <v>24</v>
      </c>
      <c r="C1129">
        <v>3</v>
      </c>
      <c r="D1129">
        <v>74.400000000000006</v>
      </c>
      <c r="E1129">
        <v>223.20000000000002</v>
      </c>
      <c r="F1129" s="3">
        <v>45702</v>
      </c>
      <c r="G1129" s="3">
        <v>45703</v>
      </c>
      <c r="H1129" t="s">
        <v>12</v>
      </c>
      <c r="I1129" t="s">
        <v>36</v>
      </c>
      <c r="J1129">
        <v>5</v>
      </c>
      <c r="K1129" t="s">
        <v>4</v>
      </c>
      <c r="L1129" t="s">
        <v>47</v>
      </c>
      <c r="M1129">
        <f>[1]!orders[[#This Row],[Ship Date]]-[1]!orders[[#This Row],[Order Date]]</f>
        <v>1</v>
      </c>
      <c r="N1129">
        <f>WEEKNUM([1]!orders[[#This Row],[Order Date]])</f>
        <v>7</v>
      </c>
      <c r="O1129" t="str" cm="1">
        <f t="array" ref="O1129">_xlfn.IFS([1]!orders[[#This Row],[Customer Gender]]="M","Male", [1]!orders[[#This Row],[Customer Gender]]="F","Female", [1]!orders[[#This Row],[Customer Gender]]="O","Other", TRUE,"Unknown")</f>
        <v>Female</v>
      </c>
    </row>
    <row r="1130" spans="1:15" x14ac:dyDescent="0.25">
      <c r="A1130" s="1" t="s">
        <v>1212</v>
      </c>
      <c r="B1130" s="1" t="s">
        <v>54</v>
      </c>
      <c r="C1130" s="1">
        <v>1</v>
      </c>
      <c r="D1130" s="1">
        <v>45.6</v>
      </c>
      <c r="E1130" s="1">
        <v>45.6</v>
      </c>
      <c r="F1130" s="2">
        <v>45702</v>
      </c>
      <c r="G1130" s="2">
        <v>45706</v>
      </c>
      <c r="H1130" s="1" t="s">
        <v>12</v>
      </c>
      <c r="I1130" s="1" t="s">
        <v>55</v>
      </c>
      <c r="J1130" s="1">
        <v>4</v>
      </c>
      <c r="K1130" s="1" t="s">
        <v>4</v>
      </c>
      <c r="L1130" s="1" t="s">
        <v>47</v>
      </c>
      <c r="M1130" s="1">
        <f>[1]!orders[[#This Row],[Ship Date]]-[1]!orders[[#This Row],[Order Date]]</f>
        <v>4</v>
      </c>
      <c r="N1130" s="1">
        <f>WEEKNUM([1]!orders[[#This Row],[Order Date]])</f>
        <v>7</v>
      </c>
      <c r="O1130" t="str" cm="1">
        <f t="array" ref="O1130">_xlfn.IFS([1]!orders[[#This Row],[Customer Gender]]="M","Male", [1]!orders[[#This Row],[Customer Gender]]="F","Female", [1]!orders[[#This Row],[Customer Gender]]="O","Other", TRUE,"Unknown")</f>
        <v>Female</v>
      </c>
    </row>
    <row r="1131" spans="1:15" x14ac:dyDescent="0.25">
      <c r="A1131" t="s">
        <v>1213</v>
      </c>
      <c r="B1131" t="s">
        <v>29</v>
      </c>
      <c r="C1131">
        <v>8</v>
      </c>
      <c r="D1131">
        <v>19.600000000000001</v>
      </c>
      <c r="E1131">
        <v>156.80000000000001</v>
      </c>
      <c r="F1131" s="3">
        <v>45702</v>
      </c>
      <c r="G1131" s="3">
        <v>45715</v>
      </c>
      <c r="H1131" t="s">
        <v>12</v>
      </c>
      <c r="I1131" t="s">
        <v>3</v>
      </c>
      <c r="J1131">
        <v>4</v>
      </c>
      <c r="K1131" t="s">
        <v>4</v>
      </c>
      <c r="L1131" t="s">
        <v>47</v>
      </c>
      <c r="M1131">
        <f>[1]!orders[[#This Row],[Ship Date]]-[1]!orders[[#This Row],[Order Date]]</f>
        <v>13</v>
      </c>
      <c r="N1131">
        <f>WEEKNUM([1]!orders[[#This Row],[Order Date]])</f>
        <v>7</v>
      </c>
      <c r="O1131" t="str" cm="1">
        <f t="array" ref="O1131">_xlfn.IFS([1]!orders[[#This Row],[Customer Gender]]="M","Male", [1]!orders[[#This Row],[Customer Gender]]="F","Female", [1]!orders[[#This Row],[Customer Gender]]="O","Other", TRUE,"Unknown")</f>
        <v>Female</v>
      </c>
    </row>
    <row r="1132" spans="1:15" x14ac:dyDescent="0.25">
      <c r="A1132" s="1" t="s">
        <v>1214</v>
      </c>
      <c r="B1132" s="1" t="s">
        <v>31</v>
      </c>
      <c r="C1132" s="1">
        <v>1</v>
      </c>
      <c r="D1132" s="1">
        <v>51.8</v>
      </c>
      <c r="E1132" s="1">
        <v>51.8</v>
      </c>
      <c r="F1132" s="2">
        <v>45702</v>
      </c>
      <c r="G1132" s="2">
        <v>45703</v>
      </c>
      <c r="H1132" s="1" t="s">
        <v>12</v>
      </c>
      <c r="I1132" s="1" t="s">
        <v>20</v>
      </c>
      <c r="J1132" s="1">
        <v>4</v>
      </c>
      <c r="K1132" s="1" t="s">
        <v>4</v>
      </c>
      <c r="L1132" s="1" t="s">
        <v>47</v>
      </c>
      <c r="M1132" s="1">
        <f>[1]!orders[[#This Row],[Ship Date]]-[1]!orders[[#This Row],[Order Date]]</f>
        <v>1</v>
      </c>
      <c r="N1132" s="1">
        <f>WEEKNUM([1]!orders[[#This Row],[Order Date]])</f>
        <v>7</v>
      </c>
      <c r="O1132" t="str" cm="1">
        <f t="array" ref="O1132">_xlfn.IFS([1]!orders[[#This Row],[Customer Gender]]="M","Male", [1]!orders[[#This Row],[Customer Gender]]="F","Female", [1]!orders[[#This Row],[Customer Gender]]="O","Other", TRUE,"Unknown")</f>
        <v>Female</v>
      </c>
    </row>
    <row r="1133" spans="1:15" x14ac:dyDescent="0.25">
      <c r="A1133" t="s">
        <v>1215</v>
      </c>
      <c r="B1133" t="s">
        <v>24</v>
      </c>
      <c r="C1133">
        <v>1</v>
      </c>
      <c r="D1133">
        <v>74.7</v>
      </c>
      <c r="E1133">
        <v>74.7</v>
      </c>
      <c r="F1133" s="3">
        <v>45702</v>
      </c>
      <c r="G1133" s="3">
        <v>45703</v>
      </c>
      <c r="H1133" t="s">
        <v>8</v>
      </c>
      <c r="I1133" t="s">
        <v>3</v>
      </c>
      <c r="J1133">
        <v>3</v>
      </c>
      <c r="K1133" t="s">
        <v>4</v>
      </c>
      <c r="L1133" t="s">
        <v>47</v>
      </c>
      <c r="M1133">
        <f>[1]!orders[[#This Row],[Ship Date]]-[1]!orders[[#This Row],[Order Date]]</f>
        <v>1</v>
      </c>
      <c r="N1133">
        <f>WEEKNUM([1]!orders[[#This Row],[Order Date]])</f>
        <v>7</v>
      </c>
      <c r="O1133" t="str" cm="1">
        <f t="array" ref="O1133">_xlfn.IFS([1]!orders[[#This Row],[Customer Gender]]="M","Male", [1]!orders[[#This Row],[Customer Gender]]="F","Female", [1]!orders[[#This Row],[Customer Gender]]="O","Other", TRUE,"Unknown")</f>
        <v>Male</v>
      </c>
    </row>
    <row r="1134" spans="1:15" x14ac:dyDescent="0.25">
      <c r="A1134" s="1" t="s">
        <v>1216</v>
      </c>
      <c r="B1134" s="1" t="s">
        <v>156</v>
      </c>
      <c r="C1134" s="1">
        <v>3</v>
      </c>
      <c r="D1134" s="1">
        <v>22.4</v>
      </c>
      <c r="E1134" s="1">
        <v>67.199999999999989</v>
      </c>
      <c r="F1134" s="2">
        <v>45702</v>
      </c>
      <c r="G1134" s="2">
        <v>45703</v>
      </c>
      <c r="H1134" s="1" t="s">
        <v>12</v>
      </c>
      <c r="I1134" s="1" t="s">
        <v>20</v>
      </c>
      <c r="J1134" s="1">
        <v>5</v>
      </c>
      <c r="K1134" s="1" t="s">
        <v>4</v>
      </c>
      <c r="L1134" s="1" t="s">
        <v>57</v>
      </c>
      <c r="M1134" s="1">
        <f>[1]!orders[[#This Row],[Ship Date]]-[1]!orders[[#This Row],[Order Date]]</f>
        <v>1</v>
      </c>
      <c r="N1134" s="1">
        <f>WEEKNUM([1]!orders[[#This Row],[Order Date]])</f>
        <v>7</v>
      </c>
      <c r="O1134" t="str" cm="1">
        <f t="array" ref="O1134">_xlfn.IFS([1]!orders[[#This Row],[Customer Gender]]="M","Male", [1]!orders[[#This Row],[Customer Gender]]="F","Female", [1]!orders[[#This Row],[Customer Gender]]="O","Other", TRUE,"Unknown")</f>
        <v>Female</v>
      </c>
    </row>
    <row r="1135" spans="1:15" x14ac:dyDescent="0.25">
      <c r="A1135" t="s">
        <v>1217</v>
      </c>
      <c r="B1135" t="s">
        <v>7</v>
      </c>
      <c r="C1135">
        <v>4</v>
      </c>
      <c r="D1135">
        <v>31.4</v>
      </c>
      <c r="E1135">
        <v>125.6</v>
      </c>
      <c r="F1135" s="3">
        <v>45702</v>
      </c>
      <c r="G1135" s="3">
        <v>45703</v>
      </c>
      <c r="H1135" t="s">
        <v>12</v>
      </c>
      <c r="I1135" t="s">
        <v>20</v>
      </c>
      <c r="J1135">
        <v>4</v>
      </c>
      <c r="K1135" t="s">
        <v>4</v>
      </c>
      <c r="L1135" t="s">
        <v>57</v>
      </c>
      <c r="M1135">
        <f>[1]!orders[[#This Row],[Ship Date]]-[1]!orders[[#This Row],[Order Date]]</f>
        <v>1</v>
      </c>
      <c r="N1135">
        <f>WEEKNUM([1]!orders[[#This Row],[Order Date]])</f>
        <v>7</v>
      </c>
      <c r="O1135" t="str" cm="1">
        <f t="array" ref="O1135">_xlfn.IFS([1]!orders[[#This Row],[Customer Gender]]="M","Male", [1]!orders[[#This Row],[Customer Gender]]="F","Female", [1]!orders[[#This Row],[Customer Gender]]="O","Other", TRUE,"Unknown")</f>
        <v>Female</v>
      </c>
    </row>
    <row r="1136" spans="1:15" x14ac:dyDescent="0.25">
      <c r="A1136" s="1" t="s">
        <v>1218</v>
      </c>
      <c r="B1136" s="1" t="s">
        <v>24</v>
      </c>
      <c r="C1136" s="1">
        <v>1</v>
      </c>
      <c r="D1136" s="1">
        <v>94</v>
      </c>
      <c r="E1136" s="1">
        <v>94</v>
      </c>
      <c r="F1136" s="2">
        <v>45702</v>
      </c>
      <c r="G1136" s="2">
        <v>45702</v>
      </c>
      <c r="H1136" s="1" t="s">
        <v>12</v>
      </c>
      <c r="I1136" s="1" t="s">
        <v>20</v>
      </c>
      <c r="J1136" s="1">
        <v>5</v>
      </c>
      <c r="K1136" s="1" t="s">
        <v>4</v>
      </c>
      <c r="L1136" s="1" t="s">
        <v>59</v>
      </c>
      <c r="M1136" s="1">
        <f>[1]!orders[[#This Row],[Ship Date]]-[1]!orders[[#This Row],[Order Date]]</f>
        <v>0</v>
      </c>
      <c r="N1136" s="1">
        <f>WEEKNUM([1]!orders[[#This Row],[Order Date]])</f>
        <v>7</v>
      </c>
      <c r="O1136" t="str" cm="1">
        <f t="array" ref="O1136">_xlfn.IFS([1]!orders[[#This Row],[Customer Gender]]="M","Male", [1]!orders[[#This Row],[Customer Gender]]="F","Female", [1]!orders[[#This Row],[Customer Gender]]="O","Other", TRUE,"Unknown")</f>
        <v>Female</v>
      </c>
    </row>
    <row r="1137" spans="1:15" x14ac:dyDescent="0.25">
      <c r="A1137" t="s">
        <v>1219</v>
      </c>
      <c r="B1137" t="s">
        <v>39</v>
      </c>
      <c r="C1137">
        <v>1</v>
      </c>
      <c r="D1137">
        <v>22.3</v>
      </c>
      <c r="E1137">
        <v>22.3</v>
      </c>
      <c r="F1137" s="3">
        <v>45702</v>
      </c>
      <c r="G1137" s="3">
        <v>45703</v>
      </c>
      <c r="H1137" t="s">
        <v>8</v>
      </c>
      <c r="I1137" t="s">
        <v>55</v>
      </c>
      <c r="J1137">
        <v>4</v>
      </c>
      <c r="K1137" t="s">
        <v>4</v>
      </c>
      <c r="L1137" t="s">
        <v>98</v>
      </c>
      <c r="M1137">
        <f>[1]!orders[[#This Row],[Ship Date]]-[1]!orders[[#This Row],[Order Date]]</f>
        <v>1</v>
      </c>
      <c r="N1137">
        <f>WEEKNUM([1]!orders[[#This Row],[Order Date]])</f>
        <v>7</v>
      </c>
      <c r="O1137" t="str" cm="1">
        <f t="array" ref="O1137">_xlfn.IFS([1]!orders[[#This Row],[Customer Gender]]="M","Male", [1]!orders[[#This Row],[Customer Gender]]="F","Female", [1]!orders[[#This Row],[Customer Gender]]="O","Other", TRUE,"Unknown")</f>
        <v>Male</v>
      </c>
    </row>
    <row r="1138" spans="1:15" x14ac:dyDescent="0.25">
      <c r="A1138" s="1" t="s">
        <v>1220</v>
      </c>
      <c r="B1138" s="1" t="s">
        <v>1</v>
      </c>
      <c r="C1138" s="1">
        <v>1</v>
      </c>
      <c r="D1138" s="1">
        <v>21.9</v>
      </c>
      <c r="E1138" s="1">
        <v>21.9</v>
      </c>
      <c r="F1138" s="2">
        <v>45702</v>
      </c>
      <c r="G1138" s="2">
        <v>45705</v>
      </c>
      <c r="H1138" s="1" t="s">
        <v>12</v>
      </c>
      <c r="I1138" s="1" t="s">
        <v>25</v>
      </c>
      <c r="J1138" s="1">
        <v>4</v>
      </c>
      <c r="K1138" s="1" t="s">
        <v>4</v>
      </c>
      <c r="L1138" s="1" t="s">
        <v>100</v>
      </c>
      <c r="M1138" s="1">
        <f>[1]!orders[[#This Row],[Ship Date]]-[1]!orders[[#This Row],[Order Date]]</f>
        <v>3</v>
      </c>
      <c r="N1138" s="1">
        <f>WEEKNUM([1]!orders[[#This Row],[Order Date]])</f>
        <v>7</v>
      </c>
      <c r="O1138" t="str" cm="1">
        <f t="array" ref="O1138">_xlfn.IFS([1]!orders[[#This Row],[Customer Gender]]="M","Male", [1]!orders[[#This Row],[Customer Gender]]="F","Female", [1]!orders[[#This Row],[Customer Gender]]="O","Other", TRUE,"Unknown")</f>
        <v>Female</v>
      </c>
    </row>
    <row r="1139" spans="1:15" x14ac:dyDescent="0.25">
      <c r="A1139" t="s">
        <v>1221</v>
      </c>
      <c r="B1139" t="s">
        <v>120</v>
      </c>
      <c r="C1139">
        <v>3</v>
      </c>
      <c r="D1139">
        <v>27</v>
      </c>
      <c r="E1139">
        <v>81</v>
      </c>
      <c r="F1139" s="3">
        <v>45702</v>
      </c>
      <c r="G1139" s="3">
        <v>45704</v>
      </c>
      <c r="H1139" t="s">
        <v>12</v>
      </c>
      <c r="I1139" t="s">
        <v>55</v>
      </c>
      <c r="J1139">
        <v>5</v>
      </c>
      <c r="K1139" t="s">
        <v>4</v>
      </c>
      <c r="L1139" t="s">
        <v>13</v>
      </c>
      <c r="M1139">
        <f>[1]!orders[[#This Row],[Ship Date]]-[1]!orders[[#This Row],[Order Date]]</f>
        <v>2</v>
      </c>
      <c r="N1139">
        <f>WEEKNUM([1]!orders[[#This Row],[Order Date]])</f>
        <v>7</v>
      </c>
      <c r="O1139" t="str" cm="1">
        <f t="array" ref="O1139">_xlfn.IFS([1]!orders[[#This Row],[Customer Gender]]="M","Male", [1]!orders[[#This Row],[Customer Gender]]="F","Female", [1]!orders[[#This Row],[Customer Gender]]="O","Other", TRUE,"Unknown")</f>
        <v>Female</v>
      </c>
    </row>
    <row r="1140" spans="1:15" x14ac:dyDescent="0.25">
      <c r="A1140" s="1" t="s">
        <v>1222</v>
      </c>
      <c r="B1140" s="1" t="s">
        <v>11</v>
      </c>
      <c r="C1140" s="1">
        <v>4</v>
      </c>
      <c r="D1140" s="1">
        <v>149.6</v>
      </c>
      <c r="E1140" s="1">
        <v>598.4</v>
      </c>
      <c r="F1140" s="2">
        <v>45702</v>
      </c>
      <c r="G1140" s="2">
        <v>45702</v>
      </c>
      <c r="H1140" s="1" t="s">
        <v>12</v>
      </c>
      <c r="I1140" s="1" t="s">
        <v>55</v>
      </c>
      <c r="J1140" s="1">
        <v>4</v>
      </c>
      <c r="K1140" s="1" t="s">
        <v>4</v>
      </c>
      <c r="L1140" s="1" t="s">
        <v>132</v>
      </c>
      <c r="M1140" s="1">
        <f>[1]!orders[[#This Row],[Ship Date]]-[1]!orders[[#This Row],[Order Date]]</f>
        <v>0</v>
      </c>
      <c r="N1140" s="1">
        <f>WEEKNUM([1]!orders[[#This Row],[Order Date]])</f>
        <v>7</v>
      </c>
      <c r="O1140" t="str" cm="1">
        <f t="array" ref="O1140">_xlfn.IFS([1]!orders[[#This Row],[Customer Gender]]="M","Male", [1]!orders[[#This Row],[Customer Gender]]="F","Female", [1]!orders[[#This Row],[Customer Gender]]="O","Other", TRUE,"Unknown")</f>
        <v>Female</v>
      </c>
    </row>
    <row r="1141" spans="1:15" x14ac:dyDescent="0.25">
      <c r="A1141" t="s">
        <v>1223</v>
      </c>
      <c r="B1141" t="s">
        <v>11</v>
      </c>
      <c r="C1141">
        <v>4</v>
      </c>
      <c r="D1141">
        <v>129.1</v>
      </c>
      <c r="E1141">
        <v>516.4</v>
      </c>
      <c r="F1141" s="3">
        <v>45702</v>
      </c>
      <c r="G1141" s="3">
        <v>45712</v>
      </c>
      <c r="H1141" t="s">
        <v>8</v>
      </c>
      <c r="I1141" t="s">
        <v>3</v>
      </c>
      <c r="J1141">
        <v>3</v>
      </c>
      <c r="K1141" t="s">
        <v>4</v>
      </c>
      <c r="L1141" t="s">
        <v>18</v>
      </c>
      <c r="M1141">
        <f>[1]!orders[[#This Row],[Ship Date]]-[1]!orders[[#This Row],[Order Date]]</f>
        <v>10</v>
      </c>
      <c r="N1141">
        <f>WEEKNUM([1]!orders[[#This Row],[Order Date]])</f>
        <v>7</v>
      </c>
      <c r="O1141" t="str" cm="1">
        <f t="array" ref="O1141">_xlfn.IFS([1]!orders[[#This Row],[Customer Gender]]="M","Male", [1]!orders[[#This Row],[Customer Gender]]="F","Female", [1]!orders[[#This Row],[Customer Gender]]="O","Other", TRUE,"Unknown")</f>
        <v>Male</v>
      </c>
    </row>
    <row r="1142" spans="1:15" x14ac:dyDescent="0.25">
      <c r="A1142" s="1" t="s">
        <v>1224</v>
      </c>
      <c r="B1142" s="1" t="s">
        <v>7</v>
      </c>
      <c r="C1142" s="1">
        <v>12</v>
      </c>
      <c r="D1142" s="1">
        <v>40.4</v>
      </c>
      <c r="E1142" s="1">
        <v>484.79999999999995</v>
      </c>
      <c r="F1142" s="2">
        <v>45702</v>
      </c>
      <c r="G1142" s="2">
        <v>45703</v>
      </c>
      <c r="H1142" s="1" t="s">
        <v>8</v>
      </c>
      <c r="I1142" s="1" t="s">
        <v>20</v>
      </c>
      <c r="J1142" s="1">
        <v>3</v>
      </c>
      <c r="K1142" s="1" t="s">
        <v>4</v>
      </c>
      <c r="L1142" s="1" t="s">
        <v>18</v>
      </c>
      <c r="M1142" s="1">
        <f>[1]!orders[[#This Row],[Ship Date]]-[1]!orders[[#This Row],[Order Date]]</f>
        <v>1</v>
      </c>
      <c r="N1142" s="1">
        <f>WEEKNUM([1]!orders[[#This Row],[Order Date]])</f>
        <v>7</v>
      </c>
      <c r="O1142" t="str" cm="1">
        <f t="array" ref="O1142">_xlfn.IFS([1]!orders[[#This Row],[Customer Gender]]="M","Male", [1]!orders[[#This Row],[Customer Gender]]="F","Female", [1]!orders[[#This Row],[Customer Gender]]="O","Other", TRUE,"Unknown")</f>
        <v>Male</v>
      </c>
    </row>
    <row r="1143" spans="1:15" x14ac:dyDescent="0.25">
      <c r="A1143" t="s">
        <v>1225</v>
      </c>
      <c r="B1143" t="s">
        <v>17</v>
      </c>
      <c r="C1143">
        <v>3</v>
      </c>
      <c r="D1143">
        <v>48.5</v>
      </c>
      <c r="E1143">
        <v>145.5</v>
      </c>
      <c r="F1143" s="3">
        <v>45702</v>
      </c>
      <c r="G1143" s="3">
        <v>45704</v>
      </c>
      <c r="H1143" t="s">
        <v>12</v>
      </c>
      <c r="I1143" t="s">
        <v>3</v>
      </c>
      <c r="J1143">
        <v>2</v>
      </c>
      <c r="K1143" t="s">
        <v>4</v>
      </c>
      <c r="L1143" t="s">
        <v>18</v>
      </c>
      <c r="M1143">
        <f>[1]!orders[[#This Row],[Ship Date]]-[1]!orders[[#This Row],[Order Date]]</f>
        <v>2</v>
      </c>
      <c r="N1143">
        <f>WEEKNUM([1]!orders[[#This Row],[Order Date]])</f>
        <v>7</v>
      </c>
      <c r="O1143" t="str" cm="1">
        <f t="array" ref="O1143">_xlfn.IFS([1]!orders[[#This Row],[Customer Gender]]="M","Male", [1]!orders[[#This Row],[Customer Gender]]="F","Female", [1]!orders[[#This Row],[Customer Gender]]="O","Other", TRUE,"Unknown")</f>
        <v>Female</v>
      </c>
    </row>
    <row r="1144" spans="1:15" x14ac:dyDescent="0.25">
      <c r="A1144" s="1" t="s">
        <v>1226</v>
      </c>
      <c r="B1144" s="1" t="s">
        <v>31</v>
      </c>
      <c r="C1144" s="1">
        <v>2</v>
      </c>
      <c r="D1144" s="1">
        <v>37.6</v>
      </c>
      <c r="E1144" s="1">
        <v>75.2</v>
      </c>
      <c r="F1144" s="2">
        <v>45702</v>
      </c>
      <c r="G1144" s="2">
        <v>45704</v>
      </c>
      <c r="H1144" s="1" t="s">
        <v>12</v>
      </c>
      <c r="I1144" s="1" t="s">
        <v>20</v>
      </c>
      <c r="J1144" s="1">
        <v>5</v>
      </c>
      <c r="K1144" s="1" t="s">
        <v>4</v>
      </c>
      <c r="L1144" s="1" t="s">
        <v>18</v>
      </c>
      <c r="M1144" s="1">
        <f>[1]!orders[[#This Row],[Ship Date]]-[1]!orders[[#This Row],[Order Date]]</f>
        <v>2</v>
      </c>
      <c r="N1144" s="1">
        <f>WEEKNUM([1]!orders[[#This Row],[Order Date]])</f>
        <v>7</v>
      </c>
      <c r="O1144" t="str" cm="1">
        <f t="array" ref="O1144">_xlfn.IFS([1]!orders[[#This Row],[Customer Gender]]="M","Male", [1]!orders[[#This Row],[Customer Gender]]="F","Female", [1]!orders[[#This Row],[Customer Gender]]="O","Other", TRUE,"Unknown")</f>
        <v>Female</v>
      </c>
    </row>
    <row r="1145" spans="1:15" x14ac:dyDescent="0.25">
      <c r="A1145" t="s">
        <v>1227</v>
      </c>
      <c r="B1145" t="s">
        <v>29</v>
      </c>
      <c r="C1145">
        <v>2</v>
      </c>
      <c r="D1145">
        <v>19.600000000000001</v>
      </c>
      <c r="E1145">
        <v>39.200000000000003</v>
      </c>
      <c r="F1145" s="3">
        <v>45702</v>
      </c>
      <c r="G1145" s="3">
        <v>45703</v>
      </c>
      <c r="H1145" t="s">
        <v>8</v>
      </c>
      <c r="I1145" t="s">
        <v>36</v>
      </c>
      <c r="J1145">
        <v>2</v>
      </c>
      <c r="K1145" t="s">
        <v>4</v>
      </c>
      <c r="L1145" t="s">
        <v>530</v>
      </c>
      <c r="M1145">
        <f>[1]!orders[[#This Row],[Ship Date]]-[1]!orders[[#This Row],[Order Date]]</f>
        <v>1</v>
      </c>
      <c r="N1145">
        <f>WEEKNUM([1]!orders[[#This Row],[Order Date]])</f>
        <v>7</v>
      </c>
      <c r="O1145" t="str" cm="1">
        <f t="array" ref="O1145">_xlfn.IFS([1]!orders[[#This Row],[Customer Gender]]="M","Male", [1]!orders[[#This Row],[Customer Gender]]="F","Female", [1]!orders[[#This Row],[Customer Gender]]="O","Other", TRUE,"Unknown")</f>
        <v>Male</v>
      </c>
    </row>
    <row r="1146" spans="1:15" x14ac:dyDescent="0.25">
      <c r="A1146" s="1" t="s">
        <v>1228</v>
      </c>
      <c r="B1146" s="1" t="s">
        <v>29</v>
      </c>
      <c r="C1146" s="1">
        <v>5</v>
      </c>
      <c r="D1146" s="1">
        <v>18.5</v>
      </c>
      <c r="E1146" s="1">
        <v>92.5</v>
      </c>
      <c r="F1146" s="2">
        <v>45702</v>
      </c>
      <c r="G1146" s="2">
        <v>45703</v>
      </c>
      <c r="H1146" s="1" t="s">
        <v>12</v>
      </c>
      <c r="I1146" s="1" t="s">
        <v>25</v>
      </c>
      <c r="J1146" s="1">
        <v>3</v>
      </c>
      <c r="K1146" s="1" t="s">
        <v>4</v>
      </c>
      <c r="L1146" s="1" t="s">
        <v>40</v>
      </c>
      <c r="M1146" s="1">
        <f>[1]!orders[[#This Row],[Ship Date]]-[1]!orders[[#This Row],[Order Date]]</f>
        <v>1</v>
      </c>
      <c r="N1146" s="1">
        <f>WEEKNUM([1]!orders[[#This Row],[Order Date]])</f>
        <v>7</v>
      </c>
      <c r="O1146" t="str" cm="1">
        <f t="array" ref="O1146">_xlfn.IFS([1]!orders[[#This Row],[Customer Gender]]="M","Male", [1]!orders[[#This Row],[Customer Gender]]="F","Female", [1]!orders[[#This Row],[Customer Gender]]="O","Other", TRUE,"Unknown")</f>
        <v>Female</v>
      </c>
    </row>
    <row r="1147" spans="1:15" x14ac:dyDescent="0.25">
      <c r="A1147" t="s">
        <v>1229</v>
      </c>
      <c r="B1147" t="s">
        <v>22</v>
      </c>
      <c r="C1147">
        <v>3</v>
      </c>
      <c r="D1147">
        <v>25.5</v>
      </c>
      <c r="E1147">
        <v>76.5</v>
      </c>
      <c r="F1147" s="3">
        <v>45702</v>
      </c>
      <c r="G1147" s="3">
        <v>45704</v>
      </c>
      <c r="H1147" t="s">
        <v>12</v>
      </c>
      <c r="I1147" t="s">
        <v>55</v>
      </c>
      <c r="J1147">
        <v>3</v>
      </c>
      <c r="K1147" t="s">
        <v>4</v>
      </c>
      <c r="L1147" t="s">
        <v>40</v>
      </c>
      <c r="M1147">
        <f>[1]!orders[[#This Row],[Ship Date]]-[1]!orders[[#This Row],[Order Date]]</f>
        <v>2</v>
      </c>
      <c r="N1147">
        <f>WEEKNUM([1]!orders[[#This Row],[Order Date]])</f>
        <v>7</v>
      </c>
      <c r="O1147" t="str" cm="1">
        <f t="array" ref="O1147">_xlfn.IFS([1]!orders[[#This Row],[Customer Gender]]="M","Male", [1]!orders[[#This Row],[Customer Gender]]="F","Female", [1]!orders[[#This Row],[Customer Gender]]="O","Other", TRUE,"Unknown")</f>
        <v>Female</v>
      </c>
    </row>
    <row r="1148" spans="1:15" x14ac:dyDescent="0.25">
      <c r="A1148" s="1" t="s">
        <v>1230</v>
      </c>
      <c r="B1148" s="1" t="s">
        <v>11</v>
      </c>
      <c r="C1148" s="1">
        <v>2</v>
      </c>
      <c r="D1148" s="1">
        <v>94.7</v>
      </c>
      <c r="E1148" s="1">
        <v>189.4</v>
      </c>
      <c r="F1148" s="2">
        <v>45702</v>
      </c>
      <c r="G1148" s="2">
        <v>45703</v>
      </c>
      <c r="H1148" s="1" t="s">
        <v>12</v>
      </c>
      <c r="I1148" s="1" t="s">
        <v>25</v>
      </c>
      <c r="J1148" s="1">
        <v>4</v>
      </c>
      <c r="K1148" s="1" t="s">
        <v>4</v>
      </c>
      <c r="L1148" s="1" t="s">
        <v>327</v>
      </c>
      <c r="M1148" s="1">
        <f>[1]!orders[[#This Row],[Ship Date]]-[1]!orders[[#This Row],[Order Date]]</f>
        <v>1</v>
      </c>
      <c r="N1148" s="1">
        <f>WEEKNUM([1]!orders[[#This Row],[Order Date]])</f>
        <v>7</v>
      </c>
      <c r="O1148" t="str" cm="1">
        <f t="array" ref="O1148">_xlfn.IFS([1]!orders[[#This Row],[Customer Gender]]="M","Male", [1]!orders[[#This Row],[Customer Gender]]="F","Female", [1]!orders[[#This Row],[Customer Gender]]="O","Other", TRUE,"Unknown")</f>
        <v>Female</v>
      </c>
    </row>
    <row r="1149" spans="1:15" x14ac:dyDescent="0.25">
      <c r="A1149" t="s">
        <v>1231</v>
      </c>
      <c r="B1149" t="s">
        <v>7</v>
      </c>
      <c r="C1149">
        <v>6</v>
      </c>
      <c r="D1149">
        <v>38.799999999999997</v>
      </c>
      <c r="E1149">
        <v>232.79999999999998</v>
      </c>
      <c r="F1149" s="3">
        <v>45702</v>
      </c>
      <c r="G1149" s="3">
        <v>45707</v>
      </c>
      <c r="H1149" t="s">
        <v>12</v>
      </c>
      <c r="I1149" t="s">
        <v>25</v>
      </c>
      <c r="J1149">
        <v>5</v>
      </c>
      <c r="K1149" t="s">
        <v>4</v>
      </c>
      <c r="L1149" t="s">
        <v>47</v>
      </c>
      <c r="M1149">
        <f>[1]!orders[[#This Row],[Ship Date]]-[1]!orders[[#This Row],[Order Date]]</f>
        <v>5</v>
      </c>
      <c r="N1149">
        <f>WEEKNUM([1]!orders[[#This Row],[Order Date]])</f>
        <v>7</v>
      </c>
      <c r="O1149" t="str" cm="1">
        <f t="array" ref="O1149">_xlfn.IFS([1]!orders[[#This Row],[Customer Gender]]="M","Male", [1]!orders[[#This Row],[Customer Gender]]="F","Female", [1]!orders[[#This Row],[Customer Gender]]="O","Other", TRUE,"Unknown")</f>
        <v>Female</v>
      </c>
    </row>
    <row r="1150" spans="1:15" x14ac:dyDescent="0.25">
      <c r="A1150" s="1" t="s">
        <v>1232</v>
      </c>
      <c r="B1150" s="1" t="s">
        <v>31</v>
      </c>
      <c r="C1150" s="1">
        <v>2</v>
      </c>
      <c r="D1150" s="1">
        <v>49.4</v>
      </c>
      <c r="E1150" s="1">
        <v>98.8</v>
      </c>
      <c r="F1150" s="2">
        <v>45703</v>
      </c>
      <c r="G1150" s="2">
        <v>45711</v>
      </c>
      <c r="H1150" s="1" t="s">
        <v>8</v>
      </c>
      <c r="I1150" s="1" t="s">
        <v>55</v>
      </c>
      <c r="J1150" s="1">
        <v>3</v>
      </c>
      <c r="K1150" s="1" t="s">
        <v>4</v>
      </c>
      <c r="L1150" s="1" t="s">
        <v>47</v>
      </c>
      <c r="M1150" s="1">
        <f>[1]!orders[[#This Row],[Ship Date]]-[1]!orders[[#This Row],[Order Date]]</f>
        <v>8</v>
      </c>
      <c r="N1150" s="1">
        <f>WEEKNUM([1]!orders[[#This Row],[Order Date]])</f>
        <v>7</v>
      </c>
      <c r="O1150" t="str" cm="1">
        <f t="array" ref="O1150">_xlfn.IFS([1]!orders[[#This Row],[Customer Gender]]="M","Male", [1]!orders[[#This Row],[Customer Gender]]="F","Female", [1]!orders[[#This Row],[Customer Gender]]="O","Other", TRUE,"Unknown")</f>
        <v>Male</v>
      </c>
    </row>
    <row r="1151" spans="1:15" x14ac:dyDescent="0.25">
      <c r="A1151" t="s">
        <v>1233</v>
      </c>
      <c r="B1151" t="s">
        <v>27</v>
      </c>
      <c r="C1151">
        <v>3</v>
      </c>
      <c r="D1151">
        <v>68</v>
      </c>
      <c r="E1151">
        <v>204</v>
      </c>
      <c r="F1151" s="3">
        <v>45703</v>
      </c>
      <c r="G1151" s="3">
        <v>45706</v>
      </c>
      <c r="H1151" t="s">
        <v>8</v>
      </c>
      <c r="I1151" t="s">
        <v>3</v>
      </c>
      <c r="J1151">
        <v>5</v>
      </c>
      <c r="K1151" t="s">
        <v>4</v>
      </c>
      <c r="L1151" t="s">
        <v>47</v>
      </c>
      <c r="M1151">
        <f>[1]!orders[[#This Row],[Ship Date]]-[1]!orders[[#This Row],[Order Date]]</f>
        <v>3</v>
      </c>
      <c r="N1151">
        <f>WEEKNUM([1]!orders[[#This Row],[Order Date]])</f>
        <v>7</v>
      </c>
      <c r="O1151" t="str" cm="1">
        <f t="array" ref="O1151">_xlfn.IFS([1]!orders[[#This Row],[Customer Gender]]="M","Male", [1]!orders[[#This Row],[Customer Gender]]="F","Female", [1]!orders[[#This Row],[Customer Gender]]="O","Other", TRUE,"Unknown")</f>
        <v>Male</v>
      </c>
    </row>
    <row r="1152" spans="1:15" x14ac:dyDescent="0.25">
      <c r="A1152" s="1" t="s">
        <v>1234</v>
      </c>
      <c r="B1152" s="1" t="s">
        <v>108</v>
      </c>
      <c r="C1152" s="1">
        <v>7</v>
      </c>
      <c r="D1152" s="1">
        <v>63.7</v>
      </c>
      <c r="E1152" s="1">
        <v>445.90000000000003</v>
      </c>
      <c r="F1152" s="2">
        <v>45703</v>
      </c>
      <c r="G1152" s="2">
        <v>45704</v>
      </c>
      <c r="H1152" s="1" t="s">
        <v>12</v>
      </c>
      <c r="I1152" s="1" t="s">
        <v>25</v>
      </c>
      <c r="J1152" s="1">
        <v>5</v>
      </c>
      <c r="K1152" s="1" t="s">
        <v>4</v>
      </c>
      <c r="L1152" s="1" t="s">
        <v>47</v>
      </c>
      <c r="M1152" s="1">
        <f>[1]!orders[[#This Row],[Ship Date]]-[1]!orders[[#This Row],[Order Date]]</f>
        <v>1</v>
      </c>
      <c r="N1152" s="1">
        <f>WEEKNUM([1]!orders[[#This Row],[Order Date]])</f>
        <v>7</v>
      </c>
      <c r="O1152" t="str" cm="1">
        <f t="array" ref="O1152">_xlfn.IFS([1]!orders[[#This Row],[Customer Gender]]="M","Male", [1]!orders[[#This Row],[Customer Gender]]="F","Female", [1]!orders[[#This Row],[Customer Gender]]="O","Other", TRUE,"Unknown")</f>
        <v>Female</v>
      </c>
    </row>
    <row r="1153" spans="1:15" x14ac:dyDescent="0.25">
      <c r="A1153" t="s">
        <v>1235</v>
      </c>
      <c r="B1153" t="s">
        <v>39</v>
      </c>
      <c r="C1153">
        <v>2</v>
      </c>
      <c r="D1153">
        <v>66.2</v>
      </c>
      <c r="E1153">
        <v>132.4</v>
      </c>
      <c r="F1153" s="3">
        <v>45703</v>
      </c>
      <c r="G1153" s="3">
        <v>45704</v>
      </c>
      <c r="H1153" t="s">
        <v>12</v>
      </c>
      <c r="I1153" t="s">
        <v>55</v>
      </c>
      <c r="J1153">
        <v>5</v>
      </c>
      <c r="K1153" t="s">
        <v>4</v>
      </c>
      <c r="L1153" t="s">
        <v>88</v>
      </c>
      <c r="M1153">
        <f>[1]!orders[[#This Row],[Ship Date]]-[1]!orders[[#This Row],[Order Date]]</f>
        <v>1</v>
      </c>
      <c r="N1153">
        <f>WEEKNUM([1]!orders[[#This Row],[Order Date]])</f>
        <v>7</v>
      </c>
      <c r="O1153" t="str" cm="1">
        <f t="array" ref="O1153">_xlfn.IFS([1]!orders[[#This Row],[Customer Gender]]="M","Male", [1]!orders[[#This Row],[Customer Gender]]="F","Female", [1]!orders[[#This Row],[Customer Gender]]="O","Other", TRUE,"Unknown")</f>
        <v>Female</v>
      </c>
    </row>
    <row r="1154" spans="1:15" x14ac:dyDescent="0.25">
      <c r="A1154" s="1" t="s">
        <v>1236</v>
      </c>
      <c r="B1154" s="1" t="s">
        <v>54</v>
      </c>
      <c r="C1154" s="1">
        <v>3</v>
      </c>
      <c r="D1154" s="1">
        <v>32.299999999999997</v>
      </c>
      <c r="E1154" s="1">
        <v>96.899999999999991</v>
      </c>
      <c r="F1154" s="2">
        <v>45703</v>
      </c>
      <c r="G1154" s="2">
        <v>45704</v>
      </c>
      <c r="H1154" s="1" t="s">
        <v>74</v>
      </c>
      <c r="I1154" s="1" t="s">
        <v>25</v>
      </c>
      <c r="J1154" s="1">
        <v>3</v>
      </c>
      <c r="K1154" s="1" t="s">
        <v>4</v>
      </c>
      <c r="L1154" s="1" t="s">
        <v>57</v>
      </c>
      <c r="M1154" s="1">
        <f>[1]!orders[[#This Row],[Ship Date]]-[1]!orders[[#This Row],[Order Date]]</f>
        <v>1</v>
      </c>
      <c r="N1154" s="1">
        <f>WEEKNUM([1]!orders[[#This Row],[Order Date]])</f>
        <v>7</v>
      </c>
      <c r="O1154" t="str" cm="1">
        <f t="array" ref="O1154">_xlfn.IFS([1]!orders[[#This Row],[Customer Gender]]="M","Male", [1]!orders[[#This Row],[Customer Gender]]="F","Female", [1]!orders[[#This Row],[Customer Gender]]="O","Other", TRUE,"Unknown")</f>
        <v>Other</v>
      </c>
    </row>
    <row r="1155" spans="1:15" x14ac:dyDescent="0.25">
      <c r="A1155" t="s">
        <v>1237</v>
      </c>
      <c r="B1155" t="s">
        <v>17</v>
      </c>
      <c r="C1155">
        <v>2</v>
      </c>
      <c r="D1155">
        <v>66.900000000000006</v>
      </c>
      <c r="E1155">
        <v>133.80000000000001</v>
      </c>
      <c r="F1155" s="3">
        <v>45703</v>
      </c>
      <c r="G1155" s="3">
        <v>45706</v>
      </c>
      <c r="H1155" t="s">
        <v>8</v>
      </c>
      <c r="I1155" t="s">
        <v>20</v>
      </c>
      <c r="J1155">
        <v>4</v>
      </c>
      <c r="K1155" t="s">
        <v>4</v>
      </c>
      <c r="L1155" t="s">
        <v>62</v>
      </c>
      <c r="M1155">
        <f>[1]!orders[[#This Row],[Ship Date]]-[1]!orders[[#This Row],[Order Date]]</f>
        <v>3</v>
      </c>
      <c r="N1155">
        <f>WEEKNUM([1]!orders[[#This Row],[Order Date]])</f>
        <v>7</v>
      </c>
      <c r="O1155" t="str" cm="1">
        <f t="array" ref="O1155">_xlfn.IFS([1]!orders[[#This Row],[Customer Gender]]="M","Male", [1]!orders[[#This Row],[Customer Gender]]="F","Female", [1]!orders[[#This Row],[Customer Gender]]="O","Other", TRUE,"Unknown")</f>
        <v>Male</v>
      </c>
    </row>
    <row r="1156" spans="1:15" x14ac:dyDescent="0.25">
      <c r="A1156" s="1" t="s">
        <v>1238</v>
      </c>
      <c r="B1156" s="1" t="s">
        <v>17</v>
      </c>
      <c r="C1156" s="1">
        <v>12</v>
      </c>
      <c r="D1156" s="1">
        <v>25.2</v>
      </c>
      <c r="E1156" s="1">
        <v>302.39999999999998</v>
      </c>
      <c r="F1156" s="2">
        <v>45703</v>
      </c>
      <c r="G1156" s="2">
        <v>45707</v>
      </c>
      <c r="H1156" s="1" t="s">
        <v>12</v>
      </c>
      <c r="I1156" s="1" t="s">
        <v>3</v>
      </c>
      <c r="J1156" s="1">
        <v>3</v>
      </c>
      <c r="K1156" s="1" t="s">
        <v>4</v>
      </c>
      <c r="L1156" s="1" t="s">
        <v>62</v>
      </c>
      <c r="M1156" s="1">
        <f>[1]!orders[[#This Row],[Ship Date]]-[1]!orders[[#This Row],[Order Date]]</f>
        <v>4</v>
      </c>
      <c r="N1156" s="1">
        <f>WEEKNUM([1]!orders[[#This Row],[Order Date]])</f>
        <v>7</v>
      </c>
      <c r="O1156" t="str" cm="1">
        <f t="array" ref="O1156">_xlfn.IFS([1]!orders[[#This Row],[Customer Gender]]="M","Male", [1]!orders[[#This Row],[Customer Gender]]="F","Female", [1]!orders[[#This Row],[Customer Gender]]="O","Other", TRUE,"Unknown")</f>
        <v>Female</v>
      </c>
    </row>
    <row r="1157" spans="1:15" x14ac:dyDescent="0.25">
      <c r="A1157" t="s">
        <v>1239</v>
      </c>
      <c r="B1157" t="s">
        <v>39</v>
      </c>
      <c r="C1157">
        <v>6</v>
      </c>
      <c r="D1157">
        <v>29.5</v>
      </c>
      <c r="E1157">
        <v>177</v>
      </c>
      <c r="F1157" s="3">
        <v>45703</v>
      </c>
      <c r="G1157" s="3">
        <v>45704</v>
      </c>
      <c r="H1157" t="s">
        <v>8</v>
      </c>
      <c r="I1157" t="s">
        <v>25</v>
      </c>
      <c r="J1157">
        <v>4</v>
      </c>
      <c r="K1157" t="s">
        <v>4</v>
      </c>
      <c r="L1157" t="s">
        <v>62</v>
      </c>
      <c r="M1157">
        <f>[1]!orders[[#This Row],[Ship Date]]-[1]!orders[[#This Row],[Order Date]]</f>
        <v>1</v>
      </c>
      <c r="N1157">
        <f>WEEKNUM([1]!orders[[#This Row],[Order Date]])</f>
        <v>7</v>
      </c>
      <c r="O1157" t="str" cm="1">
        <f t="array" ref="O1157">_xlfn.IFS([1]!orders[[#This Row],[Customer Gender]]="M","Male", [1]!orders[[#This Row],[Customer Gender]]="F","Female", [1]!orders[[#This Row],[Customer Gender]]="O","Other", TRUE,"Unknown")</f>
        <v>Male</v>
      </c>
    </row>
    <row r="1158" spans="1:15" x14ac:dyDescent="0.25">
      <c r="A1158" s="1" t="s">
        <v>1240</v>
      </c>
      <c r="B1158" s="1" t="s">
        <v>29</v>
      </c>
      <c r="C1158" s="1">
        <v>5</v>
      </c>
      <c r="D1158" s="1">
        <v>21.6</v>
      </c>
      <c r="E1158" s="1">
        <v>108</v>
      </c>
      <c r="F1158" s="2">
        <v>45703</v>
      </c>
      <c r="G1158" s="2">
        <v>45705</v>
      </c>
      <c r="H1158" s="1" t="s">
        <v>12</v>
      </c>
      <c r="I1158" s="1" t="s">
        <v>3</v>
      </c>
      <c r="J1158" s="1">
        <v>5</v>
      </c>
      <c r="K1158" s="1" t="s">
        <v>4</v>
      </c>
      <c r="L1158" s="1" t="s">
        <v>294</v>
      </c>
      <c r="M1158" s="1">
        <f>[1]!orders[[#This Row],[Ship Date]]-[1]!orders[[#This Row],[Order Date]]</f>
        <v>2</v>
      </c>
      <c r="N1158" s="1">
        <f>WEEKNUM([1]!orders[[#This Row],[Order Date]])</f>
        <v>7</v>
      </c>
      <c r="O1158" t="str" cm="1">
        <f t="array" ref="O1158">_xlfn.IFS([1]!orders[[#This Row],[Customer Gender]]="M","Male", [1]!orders[[#This Row],[Customer Gender]]="F","Female", [1]!orders[[#This Row],[Customer Gender]]="O","Other", TRUE,"Unknown")</f>
        <v>Female</v>
      </c>
    </row>
    <row r="1159" spans="1:15" x14ac:dyDescent="0.25">
      <c r="A1159" t="s">
        <v>1241</v>
      </c>
      <c r="B1159" t="s">
        <v>54</v>
      </c>
      <c r="C1159">
        <v>3</v>
      </c>
      <c r="D1159">
        <v>69</v>
      </c>
      <c r="E1159">
        <v>207</v>
      </c>
      <c r="F1159" s="3">
        <v>45703</v>
      </c>
      <c r="G1159" s="3">
        <v>45704</v>
      </c>
      <c r="H1159" t="s">
        <v>12</v>
      </c>
      <c r="I1159" t="s">
        <v>3</v>
      </c>
      <c r="J1159">
        <v>4</v>
      </c>
      <c r="K1159" t="s">
        <v>4</v>
      </c>
      <c r="L1159" t="s">
        <v>93</v>
      </c>
      <c r="M1159">
        <f>[1]!orders[[#This Row],[Ship Date]]-[1]!orders[[#This Row],[Order Date]]</f>
        <v>1</v>
      </c>
      <c r="N1159">
        <f>WEEKNUM([1]!orders[[#This Row],[Order Date]])</f>
        <v>7</v>
      </c>
      <c r="O1159" t="str" cm="1">
        <f t="array" ref="O1159">_xlfn.IFS([1]!orders[[#This Row],[Customer Gender]]="M","Male", [1]!orders[[#This Row],[Customer Gender]]="F","Female", [1]!orders[[#This Row],[Customer Gender]]="O","Other", TRUE,"Unknown")</f>
        <v>Female</v>
      </c>
    </row>
    <row r="1160" spans="1:15" x14ac:dyDescent="0.25">
      <c r="A1160" s="1" t="s">
        <v>1242</v>
      </c>
      <c r="B1160" s="1" t="s">
        <v>27</v>
      </c>
      <c r="C1160" s="1">
        <v>2</v>
      </c>
      <c r="D1160" s="1">
        <v>115</v>
      </c>
      <c r="E1160" s="1">
        <v>230</v>
      </c>
      <c r="F1160" s="2">
        <v>45703</v>
      </c>
      <c r="G1160" s="2">
        <v>45707</v>
      </c>
      <c r="H1160" s="1" t="s">
        <v>8</v>
      </c>
      <c r="I1160" s="1" t="s">
        <v>3</v>
      </c>
      <c r="J1160" s="1">
        <v>5</v>
      </c>
      <c r="K1160" s="1" t="s">
        <v>4</v>
      </c>
      <c r="L1160" s="1" t="s">
        <v>93</v>
      </c>
      <c r="M1160" s="1">
        <f>[1]!orders[[#This Row],[Ship Date]]-[1]!orders[[#This Row],[Order Date]]</f>
        <v>4</v>
      </c>
      <c r="N1160" s="1">
        <f>WEEKNUM([1]!orders[[#This Row],[Order Date]])</f>
        <v>7</v>
      </c>
      <c r="O1160" t="str" cm="1">
        <f t="array" ref="O1160">_xlfn.IFS([1]!orders[[#This Row],[Customer Gender]]="M","Male", [1]!orders[[#This Row],[Customer Gender]]="F","Female", [1]!orders[[#This Row],[Customer Gender]]="O","Other", TRUE,"Unknown")</f>
        <v>Male</v>
      </c>
    </row>
    <row r="1161" spans="1:15" x14ac:dyDescent="0.25">
      <c r="A1161" t="s">
        <v>1243</v>
      </c>
      <c r="B1161" t="s">
        <v>11</v>
      </c>
      <c r="C1161">
        <v>2</v>
      </c>
      <c r="D1161">
        <v>109.3</v>
      </c>
      <c r="E1161">
        <v>218.6</v>
      </c>
      <c r="F1161" s="3">
        <v>45703</v>
      </c>
      <c r="G1161" s="3">
        <v>45705</v>
      </c>
      <c r="H1161" t="s">
        <v>2</v>
      </c>
      <c r="I1161" t="s">
        <v>36</v>
      </c>
      <c r="J1161">
        <v>3</v>
      </c>
      <c r="K1161" t="s">
        <v>4</v>
      </c>
      <c r="L1161" t="s">
        <v>95</v>
      </c>
      <c r="M1161">
        <f>[1]!orders[[#This Row],[Ship Date]]-[1]!orders[[#This Row],[Order Date]]</f>
        <v>2</v>
      </c>
      <c r="N1161">
        <f>WEEKNUM([1]!orders[[#This Row],[Order Date]])</f>
        <v>7</v>
      </c>
      <c r="O1161" t="str" cm="1">
        <f t="array" ref="O1161">_xlfn.IFS([1]!orders[[#This Row],[Customer Gender]]="M","Male", [1]!orders[[#This Row],[Customer Gender]]="F","Female", [1]!orders[[#This Row],[Customer Gender]]="O","Other", TRUE,"Unknown")</f>
        <v>Unknown</v>
      </c>
    </row>
    <row r="1162" spans="1:15" x14ac:dyDescent="0.25">
      <c r="A1162" s="1" t="s">
        <v>1244</v>
      </c>
      <c r="B1162" s="1" t="s">
        <v>31</v>
      </c>
      <c r="C1162" s="1">
        <v>2</v>
      </c>
      <c r="D1162" s="1">
        <v>66.599999999999994</v>
      </c>
      <c r="E1162" s="1">
        <v>133.19999999999999</v>
      </c>
      <c r="F1162" s="2">
        <v>45703</v>
      </c>
      <c r="G1162" s="2">
        <v>45706</v>
      </c>
      <c r="H1162" s="1" t="s">
        <v>2</v>
      </c>
      <c r="I1162" s="1" t="s">
        <v>55</v>
      </c>
      <c r="J1162" s="1">
        <v>3</v>
      </c>
      <c r="K1162" s="1" t="s">
        <v>4</v>
      </c>
      <c r="L1162" s="1" t="s">
        <v>95</v>
      </c>
      <c r="M1162" s="1">
        <f>[1]!orders[[#This Row],[Ship Date]]-[1]!orders[[#This Row],[Order Date]]</f>
        <v>3</v>
      </c>
      <c r="N1162" s="1">
        <f>WEEKNUM([1]!orders[[#This Row],[Order Date]])</f>
        <v>7</v>
      </c>
      <c r="O1162" t="str" cm="1">
        <f t="array" ref="O1162">_xlfn.IFS([1]!orders[[#This Row],[Customer Gender]]="M","Male", [1]!orders[[#This Row],[Customer Gender]]="F","Female", [1]!orders[[#This Row],[Customer Gender]]="O","Other", TRUE,"Unknown")</f>
        <v>Unknown</v>
      </c>
    </row>
    <row r="1163" spans="1:15" x14ac:dyDescent="0.25">
      <c r="A1163" t="s">
        <v>1245</v>
      </c>
      <c r="B1163" t="s">
        <v>54</v>
      </c>
      <c r="C1163">
        <v>5</v>
      </c>
      <c r="D1163">
        <v>47.7</v>
      </c>
      <c r="E1163">
        <v>238.5</v>
      </c>
      <c r="F1163" s="3">
        <v>45703</v>
      </c>
      <c r="G1163" s="3">
        <v>45704</v>
      </c>
      <c r="H1163" t="s">
        <v>8</v>
      </c>
      <c r="I1163" t="s">
        <v>36</v>
      </c>
      <c r="J1163">
        <v>5</v>
      </c>
      <c r="K1163" t="s">
        <v>4</v>
      </c>
      <c r="L1163" t="s">
        <v>100</v>
      </c>
      <c r="M1163">
        <f>[1]!orders[[#This Row],[Ship Date]]-[1]!orders[[#This Row],[Order Date]]</f>
        <v>1</v>
      </c>
      <c r="N1163">
        <f>WEEKNUM([1]!orders[[#This Row],[Order Date]])</f>
        <v>7</v>
      </c>
      <c r="O1163" t="str" cm="1">
        <f t="array" ref="O1163">_xlfn.IFS([1]!orders[[#This Row],[Customer Gender]]="M","Male", [1]!orders[[#This Row],[Customer Gender]]="F","Female", [1]!orders[[#This Row],[Customer Gender]]="O","Other", TRUE,"Unknown")</f>
        <v>Male</v>
      </c>
    </row>
    <row r="1164" spans="1:15" x14ac:dyDescent="0.25">
      <c r="A1164" s="1" t="s">
        <v>1246</v>
      </c>
      <c r="B1164" s="1" t="s">
        <v>29</v>
      </c>
      <c r="C1164" s="1">
        <v>2</v>
      </c>
      <c r="D1164" s="1">
        <v>46</v>
      </c>
      <c r="E1164" s="1">
        <v>92</v>
      </c>
      <c r="F1164" s="2">
        <v>45703</v>
      </c>
      <c r="G1164" s="2">
        <v>45704</v>
      </c>
      <c r="H1164" s="1" t="s">
        <v>12</v>
      </c>
      <c r="I1164" s="1" t="s">
        <v>55</v>
      </c>
      <c r="J1164" s="1">
        <v>2</v>
      </c>
      <c r="K1164" s="1" t="s">
        <v>4</v>
      </c>
      <c r="L1164" s="1" t="s">
        <v>132</v>
      </c>
      <c r="M1164" s="1">
        <f>[1]!orders[[#This Row],[Ship Date]]-[1]!orders[[#This Row],[Order Date]]</f>
        <v>1</v>
      </c>
      <c r="N1164" s="1">
        <f>WEEKNUM([1]!orders[[#This Row],[Order Date]])</f>
        <v>7</v>
      </c>
      <c r="O1164" t="str" cm="1">
        <f t="array" ref="O1164">_xlfn.IFS([1]!orders[[#This Row],[Customer Gender]]="M","Male", [1]!orders[[#This Row],[Customer Gender]]="F","Female", [1]!orders[[#This Row],[Customer Gender]]="O","Other", TRUE,"Unknown")</f>
        <v>Female</v>
      </c>
    </row>
    <row r="1165" spans="1:15" x14ac:dyDescent="0.25">
      <c r="A1165" t="s">
        <v>1247</v>
      </c>
      <c r="B1165" t="s">
        <v>7</v>
      </c>
      <c r="C1165">
        <v>6</v>
      </c>
      <c r="D1165">
        <v>39.299999999999997</v>
      </c>
      <c r="E1165">
        <v>235.79999999999998</v>
      </c>
      <c r="F1165" s="3">
        <v>45703</v>
      </c>
      <c r="G1165" s="3">
        <v>45705</v>
      </c>
      <c r="H1165" t="s">
        <v>8</v>
      </c>
      <c r="I1165" t="s">
        <v>36</v>
      </c>
      <c r="J1165">
        <v>5</v>
      </c>
      <c r="K1165" t="s">
        <v>4</v>
      </c>
      <c r="L1165" t="s">
        <v>18</v>
      </c>
      <c r="M1165">
        <f>[1]!orders[[#This Row],[Ship Date]]-[1]!orders[[#This Row],[Order Date]]</f>
        <v>2</v>
      </c>
      <c r="N1165">
        <f>WEEKNUM([1]!orders[[#This Row],[Order Date]])</f>
        <v>7</v>
      </c>
      <c r="O1165" t="str" cm="1">
        <f t="array" ref="O1165">_xlfn.IFS([1]!orders[[#This Row],[Customer Gender]]="M","Male", [1]!orders[[#This Row],[Customer Gender]]="F","Female", [1]!orders[[#This Row],[Customer Gender]]="O","Other", TRUE,"Unknown")</f>
        <v>Male</v>
      </c>
    </row>
    <row r="1166" spans="1:15" x14ac:dyDescent="0.25">
      <c r="A1166" s="1" t="s">
        <v>1248</v>
      </c>
      <c r="B1166" s="1" t="s">
        <v>31</v>
      </c>
      <c r="C1166" s="1">
        <v>1</v>
      </c>
      <c r="D1166" s="1">
        <v>70.2</v>
      </c>
      <c r="E1166" s="1">
        <v>70.2</v>
      </c>
      <c r="F1166" s="2">
        <v>45703</v>
      </c>
      <c r="G1166" s="2">
        <v>45704</v>
      </c>
      <c r="H1166" s="1" t="s">
        <v>12</v>
      </c>
      <c r="I1166" s="1" t="s">
        <v>3</v>
      </c>
      <c r="J1166" s="1">
        <v>2</v>
      </c>
      <c r="K1166" s="1" t="s">
        <v>4</v>
      </c>
      <c r="L1166" s="1" t="s">
        <v>18</v>
      </c>
      <c r="M1166" s="1">
        <f>[1]!orders[[#This Row],[Ship Date]]-[1]!orders[[#This Row],[Order Date]]</f>
        <v>1</v>
      </c>
      <c r="N1166" s="1">
        <f>WEEKNUM([1]!orders[[#This Row],[Order Date]])</f>
        <v>7</v>
      </c>
      <c r="O1166" t="str" cm="1">
        <f t="array" ref="O1166">_xlfn.IFS([1]!orders[[#This Row],[Customer Gender]]="M","Male", [1]!orders[[#This Row],[Customer Gender]]="F","Female", [1]!orders[[#This Row],[Customer Gender]]="O","Other", TRUE,"Unknown")</f>
        <v>Female</v>
      </c>
    </row>
    <row r="1167" spans="1:15" x14ac:dyDescent="0.25">
      <c r="A1167" t="s">
        <v>1249</v>
      </c>
      <c r="B1167" t="s">
        <v>15</v>
      </c>
      <c r="C1167">
        <v>4</v>
      </c>
      <c r="D1167">
        <v>71.5</v>
      </c>
      <c r="E1167">
        <v>286</v>
      </c>
      <c r="F1167" s="3">
        <v>45703</v>
      </c>
      <c r="G1167" s="3">
        <v>45703</v>
      </c>
      <c r="H1167" t="s">
        <v>12</v>
      </c>
      <c r="I1167" t="s">
        <v>20</v>
      </c>
      <c r="J1167">
        <v>5</v>
      </c>
      <c r="K1167" t="s">
        <v>4</v>
      </c>
      <c r="L1167" t="s">
        <v>18</v>
      </c>
      <c r="M1167">
        <f>[1]!orders[[#This Row],[Ship Date]]-[1]!orders[[#This Row],[Order Date]]</f>
        <v>0</v>
      </c>
      <c r="N1167">
        <f>WEEKNUM([1]!orders[[#This Row],[Order Date]])</f>
        <v>7</v>
      </c>
      <c r="O1167" t="str" cm="1">
        <f t="array" ref="O1167">_xlfn.IFS([1]!orders[[#This Row],[Customer Gender]]="M","Male", [1]!orders[[#This Row],[Customer Gender]]="F","Female", [1]!orders[[#This Row],[Customer Gender]]="O","Other", TRUE,"Unknown")</f>
        <v>Female</v>
      </c>
    </row>
    <row r="1168" spans="1:15" x14ac:dyDescent="0.25">
      <c r="A1168" s="1" t="s">
        <v>1250</v>
      </c>
      <c r="B1168" s="1" t="s">
        <v>39</v>
      </c>
      <c r="C1168" s="1">
        <v>7</v>
      </c>
      <c r="D1168" s="1">
        <v>31</v>
      </c>
      <c r="E1168" s="1">
        <v>217</v>
      </c>
      <c r="F1168" s="2">
        <v>45703</v>
      </c>
      <c r="G1168" s="2">
        <v>45710</v>
      </c>
      <c r="H1168" s="1" t="s">
        <v>12</v>
      </c>
      <c r="I1168" s="1" t="s">
        <v>36</v>
      </c>
      <c r="J1168" s="1">
        <v>5</v>
      </c>
      <c r="K1168" s="1" t="s">
        <v>4</v>
      </c>
      <c r="L1168" s="1" t="s">
        <v>18</v>
      </c>
      <c r="M1168" s="1">
        <f>[1]!orders[[#This Row],[Ship Date]]-[1]!orders[[#This Row],[Order Date]]</f>
        <v>7</v>
      </c>
      <c r="N1168" s="1">
        <f>WEEKNUM([1]!orders[[#This Row],[Order Date]])</f>
        <v>7</v>
      </c>
      <c r="O1168" t="str" cm="1">
        <f t="array" ref="O1168">_xlfn.IFS([1]!orders[[#This Row],[Customer Gender]]="M","Male", [1]!orders[[#This Row],[Customer Gender]]="F","Female", [1]!orders[[#This Row],[Customer Gender]]="O","Other", TRUE,"Unknown")</f>
        <v>Female</v>
      </c>
    </row>
    <row r="1169" spans="1:15" x14ac:dyDescent="0.25">
      <c r="A1169" t="s">
        <v>1251</v>
      </c>
      <c r="B1169" t="s">
        <v>11</v>
      </c>
      <c r="C1169">
        <v>5</v>
      </c>
      <c r="D1169">
        <v>68.2</v>
      </c>
      <c r="E1169">
        <v>341</v>
      </c>
      <c r="F1169" s="3">
        <v>45703</v>
      </c>
      <c r="G1169" s="3">
        <v>45708</v>
      </c>
      <c r="H1169" t="s">
        <v>12</v>
      </c>
      <c r="I1169" t="s">
        <v>3</v>
      </c>
      <c r="J1169">
        <v>5</v>
      </c>
      <c r="K1169" t="s">
        <v>4</v>
      </c>
      <c r="L1169" t="s">
        <v>18</v>
      </c>
      <c r="M1169">
        <f>[1]!orders[[#This Row],[Ship Date]]-[1]!orders[[#This Row],[Order Date]]</f>
        <v>5</v>
      </c>
      <c r="N1169">
        <f>WEEKNUM([1]!orders[[#This Row],[Order Date]])</f>
        <v>7</v>
      </c>
      <c r="O1169" t="str" cm="1">
        <f t="array" ref="O1169">_xlfn.IFS([1]!orders[[#This Row],[Customer Gender]]="M","Male", [1]!orders[[#This Row],[Customer Gender]]="F","Female", [1]!orders[[#This Row],[Customer Gender]]="O","Other", TRUE,"Unknown")</f>
        <v>Female</v>
      </c>
    </row>
    <row r="1170" spans="1:15" x14ac:dyDescent="0.25">
      <c r="A1170" s="1" t="s">
        <v>1252</v>
      </c>
      <c r="B1170" s="1" t="s">
        <v>11</v>
      </c>
      <c r="C1170" s="1">
        <v>1</v>
      </c>
      <c r="D1170" s="1">
        <v>91.4</v>
      </c>
      <c r="E1170" s="1">
        <v>91.4</v>
      </c>
      <c r="F1170" s="2">
        <v>45703</v>
      </c>
      <c r="G1170" s="2">
        <v>45707</v>
      </c>
      <c r="H1170" s="1" t="s">
        <v>12</v>
      </c>
      <c r="I1170" s="1" t="s">
        <v>20</v>
      </c>
      <c r="J1170" s="1">
        <v>5</v>
      </c>
      <c r="K1170" s="1" t="s">
        <v>4</v>
      </c>
      <c r="L1170" s="1" t="s">
        <v>40</v>
      </c>
      <c r="M1170" s="1">
        <f>[1]!orders[[#This Row],[Ship Date]]-[1]!orders[[#This Row],[Order Date]]</f>
        <v>4</v>
      </c>
      <c r="N1170" s="1">
        <f>WEEKNUM([1]!orders[[#This Row],[Order Date]])</f>
        <v>7</v>
      </c>
      <c r="O1170" t="str" cm="1">
        <f t="array" ref="O1170">_xlfn.IFS([1]!orders[[#This Row],[Customer Gender]]="M","Male", [1]!orders[[#This Row],[Customer Gender]]="F","Female", [1]!orders[[#This Row],[Customer Gender]]="O","Other", TRUE,"Unknown")</f>
        <v>Female</v>
      </c>
    </row>
    <row r="1171" spans="1:15" x14ac:dyDescent="0.25">
      <c r="A1171" t="s">
        <v>1253</v>
      </c>
      <c r="B1171" t="s">
        <v>24</v>
      </c>
      <c r="C1171">
        <v>10</v>
      </c>
      <c r="D1171">
        <v>112.9</v>
      </c>
      <c r="E1171">
        <v>1129</v>
      </c>
      <c r="F1171" s="3">
        <v>45703</v>
      </c>
      <c r="G1171" s="3">
        <v>45704</v>
      </c>
      <c r="H1171" t="s">
        <v>12</v>
      </c>
      <c r="I1171" t="s">
        <v>3</v>
      </c>
      <c r="J1171">
        <v>4</v>
      </c>
      <c r="K1171" t="s">
        <v>4</v>
      </c>
      <c r="L1171" t="s">
        <v>40</v>
      </c>
      <c r="M1171">
        <f>[1]!orders[[#This Row],[Ship Date]]-[1]!orders[[#This Row],[Order Date]]</f>
        <v>1</v>
      </c>
      <c r="N1171">
        <f>WEEKNUM([1]!orders[[#This Row],[Order Date]])</f>
        <v>7</v>
      </c>
      <c r="O1171" t="str" cm="1">
        <f t="array" ref="O1171">_xlfn.IFS([1]!orders[[#This Row],[Customer Gender]]="M","Male", [1]!orders[[#This Row],[Customer Gender]]="F","Female", [1]!orders[[#This Row],[Customer Gender]]="O","Other", TRUE,"Unknown")</f>
        <v>Female</v>
      </c>
    </row>
    <row r="1172" spans="1:15" x14ac:dyDescent="0.25">
      <c r="A1172" s="1" t="s">
        <v>1254</v>
      </c>
      <c r="B1172" s="1" t="s">
        <v>120</v>
      </c>
      <c r="C1172" s="1">
        <v>9</v>
      </c>
      <c r="D1172" s="1">
        <v>33.700000000000003</v>
      </c>
      <c r="E1172" s="1">
        <v>303.3</v>
      </c>
      <c r="F1172" s="2">
        <v>45703</v>
      </c>
      <c r="G1172" s="2">
        <v>45704</v>
      </c>
      <c r="H1172" s="1" t="s">
        <v>12</v>
      </c>
      <c r="I1172" s="1" t="s">
        <v>20</v>
      </c>
      <c r="J1172" s="1">
        <v>5</v>
      </c>
      <c r="K1172" s="1" t="s">
        <v>4</v>
      </c>
      <c r="L1172" s="1" t="s">
        <v>47</v>
      </c>
      <c r="M1172" s="1">
        <f>[1]!orders[[#This Row],[Ship Date]]-[1]!orders[[#This Row],[Order Date]]</f>
        <v>1</v>
      </c>
      <c r="N1172" s="1">
        <f>WEEKNUM([1]!orders[[#This Row],[Order Date]])</f>
        <v>7</v>
      </c>
      <c r="O1172" t="str" cm="1">
        <f t="array" ref="O1172">_xlfn.IFS([1]!orders[[#This Row],[Customer Gender]]="M","Male", [1]!orders[[#This Row],[Customer Gender]]="F","Female", [1]!orders[[#This Row],[Customer Gender]]="O","Other", TRUE,"Unknown")</f>
        <v>Female</v>
      </c>
    </row>
    <row r="1173" spans="1:15" x14ac:dyDescent="0.25">
      <c r="A1173" t="s">
        <v>1255</v>
      </c>
      <c r="B1173" t="s">
        <v>108</v>
      </c>
      <c r="C1173">
        <v>10</v>
      </c>
      <c r="D1173">
        <v>35.299999999999997</v>
      </c>
      <c r="E1173">
        <v>353</v>
      </c>
      <c r="F1173" s="3">
        <v>45703</v>
      </c>
      <c r="G1173" s="3">
        <v>45705</v>
      </c>
      <c r="H1173" t="s">
        <v>8</v>
      </c>
      <c r="I1173" t="s">
        <v>25</v>
      </c>
      <c r="J1173">
        <v>4</v>
      </c>
      <c r="K1173" t="s">
        <v>4</v>
      </c>
      <c r="L1173" t="s">
        <v>47</v>
      </c>
      <c r="M1173">
        <f>[1]!orders[[#This Row],[Ship Date]]-[1]!orders[[#This Row],[Order Date]]</f>
        <v>2</v>
      </c>
      <c r="N1173">
        <f>WEEKNUM([1]!orders[[#This Row],[Order Date]])</f>
        <v>7</v>
      </c>
      <c r="O1173" t="str" cm="1">
        <f t="array" ref="O1173">_xlfn.IFS([1]!orders[[#This Row],[Customer Gender]]="M","Male", [1]!orders[[#This Row],[Customer Gender]]="F","Female", [1]!orders[[#This Row],[Customer Gender]]="O","Other", TRUE,"Unknown")</f>
        <v>Male</v>
      </c>
    </row>
    <row r="1174" spans="1:15" x14ac:dyDescent="0.25">
      <c r="A1174" s="1" t="s">
        <v>1256</v>
      </c>
      <c r="B1174" s="1" t="s">
        <v>131</v>
      </c>
      <c r="C1174" s="1">
        <v>3</v>
      </c>
      <c r="D1174" s="1">
        <v>45.6</v>
      </c>
      <c r="E1174" s="1">
        <v>136.80000000000001</v>
      </c>
      <c r="F1174" s="2">
        <v>45703</v>
      </c>
      <c r="G1174" s="2">
        <v>45707</v>
      </c>
      <c r="H1174" s="1" t="s">
        <v>8</v>
      </c>
      <c r="I1174" s="1" t="s">
        <v>36</v>
      </c>
      <c r="J1174" s="1">
        <v>4</v>
      </c>
      <c r="K1174" s="1" t="s">
        <v>4</v>
      </c>
      <c r="L1174" s="1" t="s">
        <v>47</v>
      </c>
      <c r="M1174" s="1">
        <f>[1]!orders[[#This Row],[Ship Date]]-[1]!orders[[#This Row],[Order Date]]</f>
        <v>4</v>
      </c>
      <c r="N1174" s="1">
        <f>WEEKNUM([1]!orders[[#This Row],[Order Date]])</f>
        <v>7</v>
      </c>
      <c r="O1174" t="str" cm="1">
        <f t="array" ref="O1174">_xlfn.IFS([1]!orders[[#This Row],[Customer Gender]]="M","Male", [1]!orders[[#This Row],[Customer Gender]]="F","Female", [1]!orders[[#This Row],[Customer Gender]]="O","Other", TRUE,"Unknown")</f>
        <v>Male</v>
      </c>
    </row>
    <row r="1175" spans="1:15" x14ac:dyDescent="0.25">
      <c r="A1175" t="s">
        <v>1257</v>
      </c>
      <c r="B1175" t="s">
        <v>27</v>
      </c>
      <c r="C1175">
        <v>7</v>
      </c>
      <c r="D1175">
        <v>47.1</v>
      </c>
      <c r="E1175">
        <v>329.7</v>
      </c>
      <c r="F1175" s="3">
        <v>45703</v>
      </c>
      <c r="G1175" s="3">
        <v>45704</v>
      </c>
      <c r="H1175" t="s">
        <v>12</v>
      </c>
      <c r="I1175" t="s">
        <v>55</v>
      </c>
      <c r="J1175">
        <v>5</v>
      </c>
      <c r="K1175" t="s">
        <v>4</v>
      </c>
      <c r="L1175" t="s">
        <v>57</v>
      </c>
      <c r="M1175">
        <f>[1]!orders[[#This Row],[Ship Date]]-[1]!orders[[#This Row],[Order Date]]</f>
        <v>1</v>
      </c>
      <c r="N1175">
        <f>WEEKNUM([1]!orders[[#This Row],[Order Date]])</f>
        <v>7</v>
      </c>
      <c r="O1175" t="str" cm="1">
        <f t="array" ref="O1175">_xlfn.IFS([1]!orders[[#This Row],[Customer Gender]]="M","Male", [1]!orders[[#This Row],[Customer Gender]]="F","Female", [1]!orders[[#This Row],[Customer Gender]]="O","Other", TRUE,"Unknown")</f>
        <v>Female</v>
      </c>
    </row>
    <row r="1176" spans="1:15" x14ac:dyDescent="0.25">
      <c r="A1176" s="1" t="s">
        <v>1258</v>
      </c>
      <c r="B1176" s="1" t="s">
        <v>29</v>
      </c>
      <c r="C1176" s="1">
        <v>5</v>
      </c>
      <c r="D1176" s="1">
        <v>16.2</v>
      </c>
      <c r="E1176" s="1">
        <v>81</v>
      </c>
      <c r="F1176" s="2">
        <v>45703</v>
      </c>
      <c r="G1176" s="2">
        <v>45705</v>
      </c>
      <c r="H1176" s="1" t="s">
        <v>12</v>
      </c>
      <c r="I1176" s="1" t="s">
        <v>36</v>
      </c>
      <c r="J1176" s="1">
        <v>5</v>
      </c>
      <c r="K1176" s="1" t="s">
        <v>4</v>
      </c>
      <c r="L1176" s="1" t="s">
        <v>95</v>
      </c>
      <c r="M1176" s="1">
        <f>[1]!orders[[#This Row],[Ship Date]]-[1]!orders[[#This Row],[Order Date]]</f>
        <v>2</v>
      </c>
      <c r="N1176" s="1">
        <f>WEEKNUM([1]!orders[[#This Row],[Order Date]])</f>
        <v>7</v>
      </c>
      <c r="O1176" t="str" cm="1">
        <f t="array" ref="O1176">_xlfn.IFS([1]!orders[[#This Row],[Customer Gender]]="M","Male", [1]!orders[[#This Row],[Customer Gender]]="F","Female", [1]!orders[[#This Row],[Customer Gender]]="O","Other", TRUE,"Unknown")</f>
        <v>Female</v>
      </c>
    </row>
    <row r="1177" spans="1:15" x14ac:dyDescent="0.25">
      <c r="A1177" t="s">
        <v>1259</v>
      </c>
      <c r="B1177" t="s">
        <v>7</v>
      </c>
      <c r="C1177">
        <v>2</v>
      </c>
      <c r="D1177">
        <v>159.69999999999999</v>
      </c>
      <c r="E1177">
        <v>319.39999999999998</v>
      </c>
      <c r="F1177" s="3">
        <v>45704</v>
      </c>
      <c r="G1177" s="3">
        <v>45705</v>
      </c>
      <c r="H1177" t="s">
        <v>8</v>
      </c>
      <c r="I1177" t="s">
        <v>55</v>
      </c>
      <c r="J1177">
        <v>4</v>
      </c>
      <c r="K1177" t="s">
        <v>4</v>
      </c>
      <c r="L1177" t="s">
        <v>67</v>
      </c>
      <c r="M1177">
        <f>[1]!orders[[#This Row],[Ship Date]]-[1]!orders[[#This Row],[Order Date]]</f>
        <v>1</v>
      </c>
      <c r="N1177">
        <f>WEEKNUM([1]!orders[[#This Row],[Order Date]])</f>
        <v>8</v>
      </c>
      <c r="O1177" t="str" cm="1">
        <f t="array" ref="O1177">_xlfn.IFS([1]!orders[[#This Row],[Customer Gender]]="M","Male", [1]!orders[[#This Row],[Customer Gender]]="F","Female", [1]!orders[[#This Row],[Customer Gender]]="O","Other", TRUE,"Unknown")</f>
        <v>Male</v>
      </c>
    </row>
    <row r="1178" spans="1:15" x14ac:dyDescent="0.25">
      <c r="A1178" s="1" t="s">
        <v>1260</v>
      </c>
      <c r="B1178" s="1" t="s">
        <v>29</v>
      </c>
      <c r="C1178" s="1">
        <v>4</v>
      </c>
      <c r="D1178" s="1">
        <v>19</v>
      </c>
      <c r="E1178" s="1">
        <v>76</v>
      </c>
      <c r="F1178" s="2">
        <v>45704</v>
      </c>
      <c r="G1178" s="2">
        <v>45711</v>
      </c>
      <c r="H1178" s="1" t="s">
        <v>12</v>
      </c>
      <c r="I1178" s="1" t="s">
        <v>25</v>
      </c>
      <c r="J1178" s="1">
        <v>5</v>
      </c>
      <c r="K1178" s="1" t="s">
        <v>4</v>
      </c>
      <c r="L1178" s="1" t="s">
        <v>100</v>
      </c>
      <c r="M1178" s="1">
        <f>[1]!orders[[#This Row],[Ship Date]]-[1]!orders[[#This Row],[Order Date]]</f>
        <v>7</v>
      </c>
      <c r="N1178" s="1">
        <f>WEEKNUM([1]!orders[[#This Row],[Order Date]])</f>
        <v>8</v>
      </c>
      <c r="O1178" t="str" cm="1">
        <f t="array" ref="O1178">_xlfn.IFS([1]!orders[[#This Row],[Customer Gender]]="M","Male", [1]!orders[[#This Row],[Customer Gender]]="F","Female", [1]!orders[[#This Row],[Customer Gender]]="O","Other", TRUE,"Unknown")</f>
        <v>Female</v>
      </c>
    </row>
    <row r="1179" spans="1:15" x14ac:dyDescent="0.25">
      <c r="A1179" t="s">
        <v>1261</v>
      </c>
      <c r="B1179" t="s">
        <v>24</v>
      </c>
      <c r="C1179">
        <v>6</v>
      </c>
      <c r="D1179">
        <v>91.1</v>
      </c>
      <c r="E1179">
        <v>546.59999999999991</v>
      </c>
      <c r="F1179" s="3">
        <v>45704</v>
      </c>
      <c r="G1179" s="3">
        <v>45713</v>
      </c>
      <c r="H1179" t="s">
        <v>12</v>
      </c>
      <c r="I1179" t="s">
        <v>55</v>
      </c>
      <c r="J1179">
        <v>4</v>
      </c>
      <c r="K1179" t="s">
        <v>4</v>
      </c>
      <c r="L1179" t="s">
        <v>100</v>
      </c>
      <c r="M1179">
        <f>[1]!orders[[#This Row],[Ship Date]]-[1]!orders[[#This Row],[Order Date]]</f>
        <v>9</v>
      </c>
      <c r="N1179">
        <f>WEEKNUM([1]!orders[[#This Row],[Order Date]])</f>
        <v>8</v>
      </c>
      <c r="O1179" t="str" cm="1">
        <f t="array" ref="O1179">_xlfn.IFS([1]!orders[[#This Row],[Customer Gender]]="M","Male", [1]!orders[[#This Row],[Customer Gender]]="F","Female", [1]!orders[[#This Row],[Customer Gender]]="O","Other", TRUE,"Unknown")</f>
        <v>Female</v>
      </c>
    </row>
    <row r="1180" spans="1:15" x14ac:dyDescent="0.25">
      <c r="A1180" s="1" t="s">
        <v>1262</v>
      </c>
      <c r="B1180" s="1" t="s">
        <v>11</v>
      </c>
      <c r="C1180" s="1">
        <v>5</v>
      </c>
      <c r="D1180" s="1">
        <v>94.1</v>
      </c>
      <c r="E1180" s="1">
        <v>470.5</v>
      </c>
      <c r="F1180" s="2">
        <v>45704</v>
      </c>
      <c r="G1180" s="2">
        <v>45707</v>
      </c>
      <c r="H1180" s="1" t="s">
        <v>2</v>
      </c>
      <c r="I1180" s="1" t="s">
        <v>20</v>
      </c>
      <c r="J1180" s="1">
        <v>3</v>
      </c>
      <c r="K1180" s="1" t="s">
        <v>4</v>
      </c>
      <c r="L1180" s="1" t="s">
        <v>100</v>
      </c>
      <c r="M1180" s="1">
        <f>[1]!orders[[#This Row],[Ship Date]]-[1]!orders[[#This Row],[Order Date]]</f>
        <v>3</v>
      </c>
      <c r="N1180" s="1">
        <f>WEEKNUM([1]!orders[[#This Row],[Order Date]])</f>
        <v>8</v>
      </c>
      <c r="O1180" t="str" cm="1">
        <f t="array" ref="O1180">_xlfn.IFS([1]!orders[[#This Row],[Customer Gender]]="M","Male", [1]!orders[[#This Row],[Customer Gender]]="F","Female", [1]!orders[[#This Row],[Customer Gender]]="O","Other", TRUE,"Unknown")</f>
        <v>Unknown</v>
      </c>
    </row>
    <row r="1181" spans="1:15" x14ac:dyDescent="0.25">
      <c r="A1181" t="s">
        <v>1263</v>
      </c>
      <c r="B1181" t="s">
        <v>31</v>
      </c>
      <c r="C1181">
        <v>9</v>
      </c>
      <c r="D1181">
        <v>21.1</v>
      </c>
      <c r="E1181">
        <v>189.9</v>
      </c>
      <c r="F1181" s="3">
        <v>45704</v>
      </c>
      <c r="G1181" s="3">
        <v>45705</v>
      </c>
      <c r="H1181" t="s">
        <v>12</v>
      </c>
      <c r="I1181" t="s">
        <v>55</v>
      </c>
      <c r="J1181">
        <v>5</v>
      </c>
      <c r="K1181" t="s">
        <v>4</v>
      </c>
      <c r="L1181" t="s">
        <v>952</v>
      </c>
      <c r="M1181">
        <f>[1]!orders[[#This Row],[Ship Date]]-[1]!orders[[#This Row],[Order Date]]</f>
        <v>1</v>
      </c>
      <c r="N1181">
        <f>WEEKNUM([1]!orders[[#This Row],[Order Date]])</f>
        <v>8</v>
      </c>
      <c r="O1181" t="str" cm="1">
        <f t="array" ref="O1181">_xlfn.IFS([1]!orders[[#This Row],[Customer Gender]]="M","Male", [1]!orders[[#This Row],[Customer Gender]]="F","Female", [1]!orders[[#This Row],[Customer Gender]]="O","Other", TRUE,"Unknown")</f>
        <v>Female</v>
      </c>
    </row>
    <row r="1182" spans="1:15" x14ac:dyDescent="0.25">
      <c r="A1182" s="1" t="s">
        <v>1264</v>
      </c>
      <c r="B1182" s="1" t="s">
        <v>29</v>
      </c>
      <c r="C1182" s="1">
        <v>7</v>
      </c>
      <c r="D1182" s="1">
        <v>15.3</v>
      </c>
      <c r="E1182" s="1">
        <v>107.10000000000001</v>
      </c>
      <c r="F1182" s="2">
        <v>45704</v>
      </c>
      <c r="G1182" s="2">
        <v>45712</v>
      </c>
      <c r="H1182" s="1" t="s">
        <v>12</v>
      </c>
      <c r="I1182" s="1" t="s">
        <v>25</v>
      </c>
      <c r="J1182" s="1">
        <v>4</v>
      </c>
      <c r="K1182" s="1" t="s">
        <v>4</v>
      </c>
      <c r="L1182" s="1" t="s">
        <v>9</v>
      </c>
      <c r="M1182" s="1">
        <f>[1]!orders[[#This Row],[Ship Date]]-[1]!orders[[#This Row],[Order Date]]</f>
        <v>8</v>
      </c>
      <c r="N1182" s="1">
        <f>WEEKNUM([1]!orders[[#This Row],[Order Date]])</f>
        <v>8</v>
      </c>
      <c r="O1182" t="str" cm="1">
        <f t="array" ref="O1182">_xlfn.IFS([1]!orders[[#This Row],[Customer Gender]]="M","Male", [1]!orders[[#This Row],[Customer Gender]]="F","Female", [1]!orders[[#This Row],[Customer Gender]]="O","Other", TRUE,"Unknown")</f>
        <v>Female</v>
      </c>
    </row>
    <row r="1183" spans="1:15" x14ac:dyDescent="0.25">
      <c r="A1183" t="s">
        <v>1265</v>
      </c>
      <c r="B1183" t="s">
        <v>108</v>
      </c>
      <c r="C1183">
        <v>4</v>
      </c>
      <c r="D1183">
        <v>21.3</v>
      </c>
      <c r="E1183">
        <v>85.2</v>
      </c>
      <c r="F1183" s="3">
        <v>45704</v>
      </c>
      <c r="G1183" s="3">
        <v>45707</v>
      </c>
      <c r="H1183" t="s">
        <v>8</v>
      </c>
      <c r="I1183" t="s">
        <v>20</v>
      </c>
      <c r="J1183">
        <v>4</v>
      </c>
      <c r="K1183" t="s">
        <v>4</v>
      </c>
      <c r="L1183" t="s">
        <v>18</v>
      </c>
      <c r="M1183">
        <f>[1]!orders[[#This Row],[Ship Date]]-[1]!orders[[#This Row],[Order Date]]</f>
        <v>3</v>
      </c>
      <c r="N1183">
        <f>WEEKNUM([1]!orders[[#This Row],[Order Date]])</f>
        <v>8</v>
      </c>
      <c r="O1183" t="str" cm="1">
        <f t="array" ref="O1183">_xlfn.IFS([1]!orders[[#This Row],[Customer Gender]]="M","Male", [1]!orders[[#This Row],[Customer Gender]]="F","Female", [1]!orders[[#This Row],[Customer Gender]]="O","Other", TRUE,"Unknown")</f>
        <v>Male</v>
      </c>
    </row>
    <row r="1184" spans="1:15" x14ac:dyDescent="0.25">
      <c r="A1184" s="1" t="s">
        <v>1266</v>
      </c>
      <c r="B1184" s="1" t="s">
        <v>1</v>
      </c>
      <c r="C1184" s="1">
        <v>2</v>
      </c>
      <c r="D1184" s="1">
        <v>23.2</v>
      </c>
      <c r="E1184" s="1">
        <v>46.4</v>
      </c>
      <c r="F1184" s="2">
        <v>45704</v>
      </c>
      <c r="G1184" s="2">
        <v>45704</v>
      </c>
      <c r="H1184" s="1" t="s">
        <v>2</v>
      </c>
      <c r="I1184" s="1" t="s">
        <v>36</v>
      </c>
      <c r="J1184" s="1">
        <v>3</v>
      </c>
      <c r="K1184" s="1" t="s">
        <v>4</v>
      </c>
      <c r="L1184" s="1" t="s">
        <v>18</v>
      </c>
      <c r="M1184" s="1">
        <f>[1]!orders[[#This Row],[Ship Date]]-[1]!orders[[#This Row],[Order Date]]</f>
        <v>0</v>
      </c>
      <c r="N1184" s="1">
        <f>WEEKNUM([1]!orders[[#This Row],[Order Date]])</f>
        <v>8</v>
      </c>
      <c r="O1184" t="str" cm="1">
        <f t="array" ref="O1184">_xlfn.IFS([1]!orders[[#This Row],[Customer Gender]]="M","Male", [1]!orders[[#This Row],[Customer Gender]]="F","Female", [1]!orders[[#This Row],[Customer Gender]]="O","Other", TRUE,"Unknown")</f>
        <v>Unknown</v>
      </c>
    </row>
    <row r="1185" spans="1:15" x14ac:dyDescent="0.25">
      <c r="A1185" t="s">
        <v>1267</v>
      </c>
      <c r="B1185" t="s">
        <v>17</v>
      </c>
      <c r="C1185">
        <v>3</v>
      </c>
      <c r="D1185">
        <v>25.7</v>
      </c>
      <c r="E1185">
        <v>77.099999999999994</v>
      </c>
      <c r="F1185" s="3">
        <v>45704</v>
      </c>
      <c r="G1185" s="3">
        <v>45705</v>
      </c>
      <c r="H1185" t="s">
        <v>8</v>
      </c>
      <c r="I1185" t="s">
        <v>55</v>
      </c>
      <c r="J1185">
        <v>4</v>
      </c>
      <c r="K1185" t="s">
        <v>4</v>
      </c>
      <c r="L1185" t="s">
        <v>18</v>
      </c>
      <c r="M1185">
        <f>[1]!orders[[#This Row],[Ship Date]]-[1]!orders[[#This Row],[Order Date]]</f>
        <v>1</v>
      </c>
      <c r="N1185">
        <f>WEEKNUM([1]!orders[[#This Row],[Order Date]])</f>
        <v>8</v>
      </c>
      <c r="O1185" t="str" cm="1">
        <f t="array" ref="O1185">_xlfn.IFS([1]!orders[[#This Row],[Customer Gender]]="M","Male", [1]!orders[[#This Row],[Customer Gender]]="F","Female", [1]!orders[[#This Row],[Customer Gender]]="O","Other", TRUE,"Unknown")</f>
        <v>Male</v>
      </c>
    </row>
    <row r="1186" spans="1:15" x14ac:dyDescent="0.25">
      <c r="A1186" s="1" t="s">
        <v>1268</v>
      </c>
      <c r="B1186" s="1" t="s">
        <v>1</v>
      </c>
      <c r="C1186" s="1">
        <v>9</v>
      </c>
      <c r="D1186" s="1">
        <v>31.6</v>
      </c>
      <c r="E1186" s="1">
        <v>284.40000000000003</v>
      </c>
      <c r="F1186" s="2">
        <v>45704</v>
      </c>
      <c r="G1186" s="2">
        <v>45706</v>
      </c>
      <c r="H1186" s="1" t="s">
        <v>12</v>
      </c>
      <c r="I1186" s="1" t="s">
        <v>3</v>
      </c>
      <c r="J1186" s="1">
        <v>4</v>
      </c>
      <c r="K1186" s="1" t="s">
        <v>4</v>
      </c>
      <c r="L1186" s="1" t="s">
        <v>18</v>
      </c>
      <c r="M1186" s="1">
        <f>[1]!orders[[#This Row],[Ship Date]]-[1]!orders[[#This Row],[Order Date]]</f>
        <v>2</v>
      </c>
      <c r="N1186" s="1">
        <f>WEEKNUM([1]!orders[[#This Row],[Order Date]])</f>
        <v>8</v>
      </c>
      <c r="O1186" t="str" cm="1">
        <f t="array" ref="O1186">_xlfn.IFS([1]!orders[[#This Row],[Customer Gender]]="M","Male", [1]!orders[[#This Row],[Customer Gender]]="F","Female", [1]!orders[[#This Row],[Customer Gender]]="O","Other", TRUE,"Unknown")</f>
        <v>Female</v>
      </c>
    </row>
    <row r="1187" spans="1:15" x14ac:dyDescent="0.25">
      <c r="A1187" t="s">
        <v>1269</v>
      </c>
      <c r="B1187" t="s">
        <v>24</v>
      </c>
      <c r="C1187">
        <v>1</v>
      </c>
      <c r="D1187">
        <v>64.2</v>
      </c>
      <c r="E1187">
        <v>64.2</v>
      </c>
      <c r="F1187" s="3">
        <v>45704</v>
      </c>
      <c r="G1187" s="3">
        <v>45709</v>
      </c>
      <c r="H1187" t="s">
        <v>8</v>
      </c>
      <c r="I1187" t="s">
        <v>3</v>
      </c>
      <c r="J1187">
        <v>4</v>
      </c>
      <c r="K1187" t="s">
        <v>4</v>
      </c>
      <c r="L1187" t="s">
        <v>18</v>
      </c>
      <c r="M1187">
        <f>[1]!orders[[#This Row],[Ship Date]]-[1]!orders[[#This Row],[Order Date]]</f>
        <v>5</v>
      </c>
      <c r="N1187">
        <f>WEEKNUM([1]!orders[[#This Row],[Order Date]])</f>
        <v>8</v>
      </c>
      <c r="O1187" t="str" cm="1">
        <f t="array" ref="O1187">_xlfn.IFS([1]!orders[[#This Row],[Customer Gender]]="M","Male", [1]!orders[[#This Row],[Customer Gender]]="F","Female", [1]!orders[[#This Row],[Customer Gender]]="O","Other", TRUE,"Unknown")</f>
        <v>Male</v>
      </c>
    </row>
    <row r="1188" spans="1:15" x14ac:dyDescent="0.25">
      <c r="A1188" s="1" t="s">
        <v>1270</v>
      </c>
      <c r="B1188" s="1" t="s">
        <v>29</v>
      </c>
      <c r="C1188" s="1">
        <v>2</v>
      </c>
      <c r="D1188" s="1">
        <v>55.8</v>
      </c>
      <c r="E1188" s="1">
        <v>111.6</v>
      </c>
      <c r="F1188" s="2">
        <v>45704</v>
      </c>
      <c r="G1188" s="2">
        <v>45706</v>
      </c>
      <c r="H1188" s="1" t="s">
        <v>2</v>
      </c>
      <c r="I1188" s="1" t="s">
        <v>3</v>
      </c>
      <c r="J1188" s="1">
        <v>4</v>
      </c>
      <c r="K1188" s="1" t="s">
        <v>4</v>
      </c>
      <c r="L1188" s="1" t="s">
        <v>18</v>
      </c>
      <c r="M1188" s="1">
        <f>[1]!orders[[#This Row],[Ship Date]]-[1]!orders[[#This Row],[Order Date]]</f>
        <v>2</v>
      </c>
      <c r="N1188" s="1">
        <f>WEEKNUM([1]!orders[[#This Row],[Order Date]])</f>
        <v>8</v>
      </c>
      <c r="O1188" t="str" cm="1">
        <f t="array" ref="O1188">_xlfn.IFS([1]!orders[[#This Row],[Customer Gender]]="M","Male", [1]!orders[[#This Row],[Customer Gender]]="F","Female", [1]!orders[[#This Row],[Customer Gender]]="O","Other", TRUE,"Unknown")</f>
        <v>Unknown</v>
      </c>
    </row>
    <row r="1189" spans="1:15" x14ac:dyDescent="0.25">
      <c r="A1189" t="s">
        <v>1271</v>
      </c>
      <c r="B1189" t="s">
        <v>29</v>
      </c>
      <c r="C1189">
        <v>2</v>
      </c>
      <c r="D1189">
        <v>28.1</v>
      </c>
      <c r="E1189">
        <v>56.2</v>
      </c>
      <c r="F1189" s="3">
        <v>45704</v>
      </c>
      <c r="G1189" s="3">
        <v>45705</v>
      </c>
      <c r="H1189" t="s">
        <v>12</v>
      </c>
      <c r="I1189" t="s">
        <v>55</v>
      </c>
      <c r="J1189">
        <v>3</v>
      </c>
      <c r="K1189" t="s">
        <v>4</v>
      </c>
      <c r="L1189" t="s">
        <v>18</v>
      </c>
      <c r="M1189">
        <f>[1]!orders[[#This Row],[Ship Date]]-[1]!orders[[#This Row],[Order Date]]</f>
        <v>1</v>
      </c>
      <c r="N1189">
        <f>WEEKNUM([1]!orders[[#This Row],[Order Date]])</f>
        <v>8</v>
      </c>
      <c r="O1189" t="str" cm="1">
        <f t="array" ref="O1189">_xlfn.IFS([1]!orders[[#This Row],[Customer Gender]]="M","Male", [1]!orders[[#This Row],[Customer Gender]]="F","Female", [1]!orders[[#This Row],[Customer Gender]]="O","Other", TRUE,"Unknown")</f>
        <v>Female</v>
      </c>
    </row>
    <row r="1190" spans="1:15" x14ac:dyDescent="0.25">
      <c r="A1190" s="1" t="s">
        <v>1272</v>
      </c>
      <c r="B1190" s="1" t="s">
        <v>1</v>
      </c>
      <c r="C1190" s="1">
        <v>2</v>
      </c>
      <c r="D1190" s="1">
        <v>11.6</v>
      </c>
      <c r="E1190" s="1">
        <v>23.2</v>
      </c>
      <c r="F1190" s="2">
        <v>45704</v>
      </c>
      <c r="G1190" s="2">
        <v>45706</v>
      </c>
      <c r="H1190" s="1" t="s">
        <v>12</v>
      </c>
      <c r="I1190" s="1" t="s">
        <v>20</v>
      </c>
      <c r="J1190" s="1">
        <v>4</v>
      </c>
      <c r="K1190" s="1" t="s">
        <v>4</v>
      </c>
      <c r="L1190" s="1" t="s">
        <v>171</v>
      </c>
      <c r="M1190" s="1">
        <f>[1]!orders[[#This Row],[Ship Date]]-[1]!orders[[#This Row],[Order Date]]</f>
        <v>2</v>
      </c>
      <c r="N1190" s="1">
        <f>WEEKNUM([1]!orders[[#This Row],[Order Date]])</f>
        <v>8</v>
      </c>
      <c r="O1190" t="str" cm="1">
        <f t="array" ref="O1190">_xlfn.IFS([1]!orders[[#This Row],[Customer Gender]]="M","Male", [1]!orders[[#This Row],[Customer Gender]]="F","Female", [1]!orders[[#This Row],[Customer Gender]]="O","Other", TRUE,"Unknown")</f>
        <v>Female</v>
      </c>
    </row>
    <row r="1191" spans="1:15" x14ac:dyDescent="0.25">
      <c r="A1191" t="s">
        <v>1273</v>
      </c>
      <c r="B1191" t="s">
        <v>22</v>
      </c>
      <c r="C1191">
        <v>3</v>
      </c>
      <c r="D1191">
        <v>50.4</v>
      </c>
      <c r="E1191">
        <v>151.19999999999999</v>
      </c>
      <c r="F1191" s="3">
        <v>45704</v>
      </c>
      <c r="G1191" s="3">
        <v>45705</v>
      </c>
      <c r="H1191" t="s">
        <v>8</v>
      </c>
      <c r="I1191" t="s">
        <v>55</v>
      </c>
      <c r="J1191">
        <v>5</v>
      </c>
      <c r="K1191" t="s">
        <v>4</v>
      </c>
      <c r="L1191" t="s">
        <v>173</v>
      </c>
      <c r="M1191">
        <f>[1]!orders[[#This Row],[Ship Date]]-[1]!orders[[#This Row],[Order Date]]</f>
        <v>1</v>
      </c>
      <c r="N1191">
        <f>WEEKNUM([1]!orders[[#This Row],[Order Date]])</f>
        <v>8</v>
      </c>
      <c r="O1191" t="str" cm="1">
        <f t="array" ref="O1191">_xlfn.IFS([1]!orders[[#This Row],[Customer Gender]]="M","Male", [1]!orders[[#This Row],[Customer Gender]]="F","Female", [1]!orders[[#This Row],[Customer Gender]]="O","Other", TRUE,"Unknown")</f>
        <v>Male</v>
      </c>
    </row>
    <row r="1192" spans="1:15" x14ac:dyDescent="0.25">
      <c r="A1192" s="1" t="s">
        <v>1274</v>
      </c>
      <c r="B1192" s="1" t="s">
        <v>24</v>
      </c>
      <c r="C1192" s="1">
        <v>6</v>
      </c>
      <c r="D1192" s="1">
        <v>48.3</v>
      </c>
      <c r="E1192" s="1">
        <v>289.79999999999995</v>
      </c>
      <c r="F1192" s="2">
        <v>45704</v>
      </c>
      <c r="G1192" s="2">
        <v>45708</v>
      </c>
      <c r="H1192" s="1" t="s">
        <v>12</v>
      </c>
      <c r="I1192" s="1" t="s">
        <v>3</v>
      </c>
      <c r="J1192" s="1">
        <v>4</v>
      </c>
      <c r="K1192" s="1" t="s">
        <v>4</v>
      </c>
      <c r="L1192" s="1" t="s">
        <v>173</v>
      </c>
      <c r="M1192" s="1">
        <f>[1]!orders[[#This Row],[Ship Date]]-[1]!orders[[#This Row],[Order Date]]</f>
        <v>4</v>
      </c>
      <c r="N1192" s="1">
        <f>WEEKNUM([1]!orders[[#This Row],[Order Date]])</f>
        <v>8</v>
      </c>
      <c r="O1192" t="str" cm="1">
        <f t="array" ref="O1192">_xlfn.IFS([1]!orders[[#This Row],[Customer Gender]]="M","Male", [1]!orders[[#This Row],[Customer Gender]]="F","Female", [1]!orders[[#This Row],[Customer Gender]]="O","Other", TRUE,"Unknown")</f>
        <v>Female</v>
      </c>
    </row>
    <row r="1193" spans="1:15" x14ac:dyDescent="0.25">
      <c r="A1193" t="s">
        <v>1275</v>
      </c>
      <c r="B1193" t="s">
        <v>120</v>
      </c>
      <c r="C1193">
        <v>7</v>
      </c>
      <c r="D1193">
        <v>32.200000000000003</v>
      </c>
      <c r="E1193">
        <v>225.40000000000003</v>
      </c>
      <c r="F1193" s="3">
        <v>45704</v>
      </c>
      <c r="G1193" s="3">
        <v>45706</v>
      </c>
      <c r="H1193" t="s">
        <v>12</v>
      </c>
      <c r="I1193" t="s">
        <v>25</v>
      </c>
      <c r="J1193">
        <v>4</v>
      </c>
      <c r="K1193" t="s">
        <v>4</v>
      </c>
      <c r="L1193" t="s">
        <v>173</v>
      </c>
      <c r="M1193">
        <f>[1]!orders[[#This Row],[Ship Date]]-[1]!orders[[#This Row],[Order Date]]</f>
        <v>2</v>
      </c>
      <c r="N1193">
        <f>WEEKNUM([1]!orders[[#This Row],[Order Date]])</f>
        <v>8</v>
      </c>
      <c r="O1193" t="str" cm="1">
        <f t="array" ref="O1193">_xlfn.IFS([1]!orders[[#This Row],[Customer Gender]]="M","Male", [1]!orders[[#This Row],[Customer Gender]]="F","Female", [1]!orders[[#This Row],[Customer Gender]]="O","Other", TRUE,"Unknown")</f>
        <v>Female</v>
      </c>
    </row>
    <row r="1194" spans="1:15" x14ac:dyDescent="0.25">
      <c r="A1194" s="1" t="s">
        <v>1276</v>
      </c>
      <c r="B1194" s="1" t="s">
        <v>27</v>
      </c>
      <c r="C1194" s="1">
        <v>28</v>
      </c>
      <c r="D1194" s="1">
        <v>48.5</v>
      </c>
      <c r="E1194" s="1">
        <v>1358</v>
      </c>
      <c r="F1194" s="2">
        <v>45704</v>
      </c>
      <c r="G1194" s="2">
        <v>45705</v>
      </c>
      <c r="H1194" s="1" t="s">
        <v>8</v>
      </c>
      <c r="I1194" s="1" t="s">
        <v>3</v>
      </c>
      <c r="J1194" s="1">
        <v>4</v>
      </c>
      <c r="K1194" s="1" t="s">
        <v>4</v>
      </c>
      <c r="L1194" s="1" t="s">
        <v>37</v>
      </c>
      <c r="M1194" s="1">
        <f>[1]!orders[[#This Row],[Ship Date]]-[1]!orders[[#This Row],[Order Date]]</f>
        <v>1</v>
      </c>
      <c r="N1194" s="1">
        <f>WEEKNUM([1]!orders[[#This Row],[Order Date]])</f>
        <v>8</v>
      </c>
      <c r="O1194" t="str" cm="1">
        <f t="array" ref="O1194">_xlfn.IFS([1]!orders[[#This Row],[Customer Gender]]="M","Male", [1]!orders[[#This Row],[Customer Gender]]="F","Female", [1]!orders[[#This Row],[Customer Gender]]="O","Other", TRUE,"Unknown")</f>
        <v>Male</v>
      </c>
    </row>
    <row r="1195" spans="1:15" x14ac:dyDescent="0.25">
      <c r="A1195" t="s">
        <v>1277</v>
      </c>
      <c r="B1195" t="s">
        <v>11</v>
      </c>
      <c r="C1195">
        <v>5</v>
      </c>
      <c r="D1195">
        <v>62</v>
      </c>
      <c r="E1195">
        <v>310</v>
      </c>
      <c r="F1195" s="3">
        <v>45704</v>
      </c>
      <c r="G1195" s="3">
        <v>45707</v>
      </c>
      <c r="H1195" t="s">
        <v>12</v>
      </c>
      <c r="I1195" t="s">
        <v>20</v>
      </c>
      <c r="J1195">
        <v>4</v>
      </c>
      <c r="K1195" t="s">
        <v>4</v>
      </c>
      <c r="L1195" t="s">
        <v>40</v>
      </c>
      <c r="M1195">
        <f>[1]!orders[[#This Row],[Ship Date]]-[1]!orders[[#This Row],[Order Date]]</f>
        <v>3</v>
      </c>
      <c r="N1195">
        <f>WEEKNUM([1]!orders[[#This Row],[Order Date]])</f>
        <v>8</v>
      </c>
      <c r="O1195" t="str" cm="1">
        <f t="array" ref="O1195">_xlfn.IFS([1]!orders[[#This Row],[Customer Gender]]="M","Male", [1]!orders[[#This Row],[Customer Gender]]="F","Female", [1]!orders[[#This Row],[Customer Gender]]="O","Other", TRUE,"Unknown")</f>
        <v>Female</v>
      </c>
    </row>
    <row r="1196" spans="1:15" x14ac:dyDescent="0.25">
      <c r="A1196" s="1" t="s">
        <v>1278</v>
      </c>
      <c r="B1196" s="1" t="s">
        <v>29</v>
      </c>
      <c r="C1196" s="1">
        <v>3</v>
      </c>
      <c r="D1196" s="1">
        <v>32.1</v>
      </c>
      <c r="E1196" s="1">
        <v>96.300000000000011</v>
      </c>
      <c r="F1196" s="2">
        <v>45705</v>
      </c>
      <c r="G1196" s="2">
        <v>45707</v>
      </c>
      <c r="H1196" s="1" t="s">
        <v>8</v>
      </c>
      <c r="I1196" s="1" t="s">
        <v>3</v>
      </c>
      <c r="J1196" s="1">
        <v>4</v>
      </c>
      <c r="K1196" s="1" t="s">
        <v>4</v>
      </c>
      <c r="L1196" s="1" t="s">
        <v>40</v>
      </c>
      <c r="M1196" s="1">
        <f>[1]!orders[[#This Row],[Ship Date]]-[1]!orders[[#This Row],[Order Date]]</f>
        <v>2</v>
      </c>
      <c r="N1196" s="1">
        <f>WEEKNUM([1]!orders[[#This Row],[Order Date]])</f>
        <v>8</v>
      </c>
      <c r="O1196" t="str" cm="1">
        <f t="array" ref="O1196">_xlfn.IFS([1]!orders[[#This Row],[Customer Gender]]="M","Male", [1]!orders[[#This Row],[Customer Gender]]="F","Female", [1]!orders[[#This Row],[Customer Gender]]="O","Other", TRUE,"Unknown")</f>
        <v>Male</v>
      </c>
    </row>
    <row r="1197" spans="1:15" x14ac:dyDescent="0.25">
      <c r="A1197" t="s">
        <v>1279</v>
      </c>
      <c r="B1197" t="s">
        <v>54</v>
      </c>
      <c r="C1197">
        <v>3</v>
      </c>
      <c r="D1197">
        <v>106.1</v>
      </c>
      <c r="E1197">
        <v>318.29999999999995</v>
      </c>
      <c r="F1197" s="3">
        <v>45705</v>
      </c>
      <c r="G1197" s="3">
        <v>45707</v>
      </c>
      <c r="H1197" t="s">
        <v>8</v>
      </c>
      <c r="I1197" t="s">
        <v>3</v>
      </c>
      <c r="J1197">
        <v>3</v>
      </c>
      <c r="K1197" t="s">
        <v>4</v>
      </c>
      <c r="L1197" t="s">
        <v>44</v>
      </c>
      <c r="M1197">
        <f>[1]!orders[[#This Row],[Ship Date]]-[1]!orders[[#This Row],[Order Date]]</f>
        <v>2</v>
      </c>
      <c r="N1197">
        <f>WEEKNUM([1]!orders[[#This Row],[Order Date]])</f>
        <v>8</v>
      </c>
      <c r="O1197" t="str" cm="1">
        <f t="array" ref="O1197">_xlfn.IFS([1]!orders[[#This Row],[Customer Gender]]="M","Male", [1]!orders[[#This Row],[Customer Gender]]="F","Female", [1]!orders[[#This Row],[Customer Gender]]="O","Other", TRUE,"Unknown")</f>
        <v>Male</v>
      </c>
    </row>
    <row r="1198" spans="1:15" x14ac:dyDescent="0.25">
      <c r="A1198" s="1" t="s">
        <v>1280</v>
      </c>
      <c r="B1198" s="1" t="s">
        <v>39</v>
      </c>
      <c r="C1198" s="1">
        <v>3</v>
      </c>
      <c r="D1198" s="1">
        <v>23.5</v>
      </c>
      <c r="E1198" s="1">
        <v>70.5</v>
      </c>
      <c r="F1198" s="2">
        <v>45705</v>
      </c>
      <c r="G1198" s="2">
        <v>45708</v>
      </c>
      <c r="H1198" s="1" t="s">
        <v>8</v>
      </c>
      <c r="I1198" s="1" t="s">
        <v>3</v>
      </c>
      <c r="J1198" s="1">
        <v>2</v>
      </c>
      <c r="K1198" s="1" t="s">
        <v>4</v>
      </c>
      <c r="L1198" s="1" t="s">
        <v>44</v>
      </c>
      <c r="M1198" s="1">
        <f>[1]!orders[[#This Row],[Ship Date]]-[1]!orders[[#This Row],[Order Date]]</f>
        <v>3</v>
      </c>
      <c r="N1198" s="1">
        <f>WEEKNUM([1]!orders[[#This Row],[Order Date]])</f>
        <v>8</v>
      </c>
      <c r="O1198" t="str" cm="1">
        <f t="array" ref="O1198">_xlfn.IFS([1]!orders[[#This Row],[Customer Gender]]="M","Male", [1]!orders[[#This Row],[Customer Gender]]="F","Female", [1]!orders[[#This Row],[Customer Gender]]="O","Other", TRUE,"Unknown")</f>
        <v>Male</v>
      </c>
    </row>
    <row r="1199" spans="1:15" x14ac:dyDescent="0.25">
      <c r="A1199" t="s">
        <v>1281</v>
      </c>
      <c r="B1199" t="s">
        <v>7</v>
      </c>
      <c r="C1199">
        <v>2</v>
      </c>
      <c r="D1199">
        <v>35.6</v>
      </c>
      <c r="E1199">
        <v>71.2</v>
      </c>
      <c r="F1199" s="3">
        <v>45705</v>
      </c>
      <c r="G1199" s="3">
        <v>45710</v>
      </c>
      <c r="H1199" t="s">
        <v>8</v>
      </c>
      <c r="I1199" t="s">
        <v>55</v>
      </c>
      <c r="J1199">
        <v>4</v>
      </c>
      <c r="K1199" t="s">
        <v>4</v>
      </c>
      <c r="L1199" t="s">
        <v>47</v>
      </c>
      <c r="M1199">
        <f>[1]!orders[[#This Row],[Ship Date]]-[1]!orders[[#This Row],[Order Date]]</f>
        <v>5</v>
      </c>
      <c r="N1199">
        <f>WEEKNUM([1]!orders[[#This Row],[Order Date]])</f>
        <v>8</v>
      </c>
      <c r="O1199" t="str" cm="1">
        <f t="array" ref="O1199">_xlfn.IFS([1]!orders[[#This Row],[Customer Gender]]="M","Male", [1]!orders[[#This Row],[Customer Gender]]="F","Female", [1]!orders[[#This Row],[Customer Gender]]="O","Other", TRUE,"Unknown")</f>
        <v>Male</v>
      </c>
    </row>
    <row r="1200" spans="1:15" x14ac:dyDescent="0.25">
      <c r="A1200" s="1" t="s">
        <v>1282</v>
      </c>
      <c r="B1200" s="1" t="s">
        <v>7</v>
      </c>
      <c r="C1200" s="1">
        <v>2</v>
      </c>
      <c r="D1200" s="1">
        <v>63.5</v>
      </c>
      <c r="E1200" s="1">
        <v>127</v>
      </c>
      <c r="F1200" s="2">
        <v>45705</v>
      </c>
      <c r="G1200" s="2">
        <v>45705</v>
      </c>
      <c r="H1200" s="1" t="s">
        <v>12</v>
      </c>
      <c r="I1200" s="1" t="s">
        <v>20</v>
      </c>
      <c r="J1200" s="1">
        <v>5</v>
      </c>
      <c r="K1200" s="1" t="s">
        <v>4</v>
      </c>
      <c r="L1200" s="1" t="s">
        <v>47</v>
      </c>
      <c r="M1200" s="1">
        <f>[1]!orders[[#This Row],[Ship Date]]-[1]!orders[[#This Row],[Order Date]]</f>
        <v>0</v>
      </c>
      <c r="N1200" s="1">
        <f>WEEKNUM([1]!orders[[#This Row],[Order Date]])</f>
        <v>8</v>
      </c>
      <c r="O1200" t="str" cm="1">
        <f t="array" ref="O1200">_xlfn.IFS([1]!orders[[#This Row],[Customer Gender]]="M","Male", [1]!orders[[#This Row],[Customer Gender]]="F","Female", [1]!orders[[#This Row],[Customer Gender]]="O","Other", TRUE,"Unknown")</f>
        <v>Female</v>
      </c>
    </row>
    <row r="1201" spans="1:15" x14ac:dyDescent="0.25">
      <c r="A1201" t="s">
        <v>1283</v>
      </c>
      <c r="B1201" t="s">
        <v>24</v>
      </c>
      <c r="C1201">
        <v>7</v>
      </c>
      <c r="D1201">
        <v>82.9</v>
      </c>
      <c r="E1201">
        <v>580.30000000000007</v>
      </c>
      <c r="F1201" s="3">
        <v>45705</v>
      </c>
      <c r="G1201" s="3">
        <v>45710</v>
      </c>
      <c r="H1201" t="s">
        <v>12</v>
      </c>
      <c r="I1201" t="s">
        <v>55</v>
      </c>
      <c r="J1201">
        <v>4</v>
      </c>
      <c r="K1201" t="s">
        <v>4</v>
      </c>
      <c r="L1201" t="s">
        <v>57</v>
      </c>
      <c r="M1201">
        <f>[1]!orders[[#This Row],[Ship Date]]-[1]!orders[[#This Row],[Order Date]]</f>
        <v>5</v>
      </c>
      <c r="N1201">
        <f>WEEKNUM([1]!orders[[#This Row],[Order Date]])</f>
        <v>8</v>
      </c>
      <c r="O1201" t="str" cm="1">
        <f t="array" ref="O1201">_xlfn.IFS([1]!orders[[#This Row],[Customer Gender]]="M","Male", [1]!orders[[#This Row],[Customer Gender]]="F","Female", [1]!orders[[#This Row],[Customer Gender]]="O","Other", TRUE,"Unknown")</f>
        <v>Female</v>
      </c>
    </row>
    <row r="1202" spans="1:15" x14ac:dyDescent="0.25">
      <c r="A1202" s="1" t="s">
        <v>1284</v>
      </c>
      <c r="B1202" s="1" t="s">
        <v>24</v>
      </c>
      <c r="C1202" s="1">
        <v>2</v>
      </c>
      <c r="D1202" s="1">
        <v>83.6</v>
      </c>
      <c r="E1202" s="1">
        <v>167.2</v>
      </c>
      <c r="F1202" s="2">
        <v>45705</v>
      </c>
      <c r="G1202" s="2">
        <v>45710</v>
      </c>
      <c r="H1202" s="1" t="s">
        <v>12</v>
      </c>
      <c r="I1202" s="1" t="s">
        <v>3</v>
      </c>
      <c r="J1202" s="1">
        <v>4</v>
      </c>
      <c r="K1202" s="1" t="s">
        <v>4</v>
      </c>
      <c r="L1202" s="1" t="s">
        <v>62</v>
      </c>
      <c r="M1202" s="1">
        <f>[1]!orders[[#This Row],[Ship Date]]-[1]!orders[[#This Row],[Order Date]]</f>
        <v>5</v>
      </c>
      <c r="N1202" s="1">
        <f>WEEKNUM([1]!orders[[#This Row],[Order Date]])</f>
        <v>8</v>
      </c>
      <c r="O1202" t="str" cm="1">
        <f t="array" ref="O1202">_xlfn.IFS([1]!orders[[#This Row],[Customer Gender]]="M","Male", [1]!orders[[#This Row],[Customer Gender]]="F","Female", [1]!orders[[#This Row],[Customer Gender]]="O","Other", TRUE,"Unknown")</f>
        <v>Female</v>
      </c>
    </row>
    <row r="1203" spans="1:15" x14ac:dyDescent="0.25">
      <c r="A1203" t="s">
        <v>1285</v>
      </c>
      <c r="B1203" t="s">
        <v>17</v>
      </c>
      <c r="C1203">
        <v>2</v>
      </c>
      <c r="D1203">
        <v>29.4</v>
      </c>
      <c r="E1203">
        <v>58.8</v>
      </c>
      <c r="F1203" s="3">
        <v>45705</v>
      </c>
      <c r="G1203" s="3">
        <v>45705</v>
      </c>
      <c r="H1203" t="s">
        <v>12</v>
      </c>
      <c r="I1203" t="s">
        <v>3</v>
      </c>
      <c r="J1203">
        <v>3</v>
      </c>
      <c r="K1203" t="s">
        <v>4</v>
      </c>
      <c r="L1203" t="s">
        <v>253</v>
      </c>
      <c r="M1203">
        <f>[1]!orders[[#This Row],[Ship Date]]-[1]!orders[[#This Row],[Order Date]]</f>
        <v>0</v>
      </c>
      <c r="N1203">
        <f>WEEKNUM([1]!orders[[#This Row],[Order Date]])</f>
        <v>8</v>
      </c>
      <c r="O1203" t="str" cm="1">
        <f t="array" ref="O1203">_xlfn.IFS([1]!orders[[#This Row],[Customer Gender]]="M","Male", [1]!orders[[#This Row],[Customer Gender]]="F","Female", [1]!orders[[#This Row],[Customer Gender]]="O","Other", TRUE,"Unknown")</f>
        <v>Female</v>
      </c>
    </row>
    <row r="1204" spans="1:15" x14ac:dyDescent="0.25">
      <c r="A1204" s="1" t="s">
        <v>1286</v>
      </c>
      <c r="B1204" s="1" t="s">
        <v>11</v>
      </c>
      <c r="C1204" s="1">
        <v>3</v>
      </c>
      <c r="D1204" s="1">
        <v>107.1</v>
      </c>
      <c r="E1204" s="1">
        <v>321.29999999999995</v>
      </c>
      <c r="F1204" s="2">
        <v>45705</v>
      </c>
      <c r="G1204" s="2">
        <v>45709</v>
      </c>
      <c r="H1204" s="1" t="s">
        <v>12</v>
      </c>
      <c r="I1204" s="1" t="s">
        <v>25</v>
      </c>
      <c r="J1204" s="1">
        <v>4</v>
      </c>
      <c r="K1204" s="1" t="s">
        <v>4</v>
      </c>
      <c r="L1204" s="1" t="s">
        <v>98</v>
      </c>
      <c r="M1204" s="1">
        <f>[1]!orders[[#This Row],[Ship Date]]-[1]!orders[[#This Row],[Order Date]]</f>
        <v>4</v>
      </c>
      <c r="N1204" s="1">
        <f>WEEKNUM([1]!orders[[#This Row],[Order Date]])</f>
        <v>8</v>
      </c>
      <c r="O1204" t="str" cm="1">
        <f t="array" ref="O1204">_xlfn.IFS([1]!orders[[#This Row],[Customer Gender]]="M","Male", [1]!orders[[#This Row],[Customer Gender]]="F","Female", [1]!orders[[#This Row],[Customer Gender]]="O","Other", TRUE,"Unknown")</f>
        <v>Female</v>
      </c>
    </row>
    <row r="1205" spans="1:15" x14ac:dyDescent="0.25">
      <c r="A1205" t="s">
        <v>1287</v>
      </c>
      <c r="B1205" t="s">
        <v>11</v>
      </c>
      <c r="C1205">
        <v>1</v>
      </c>
      <c r="D1205">
        <v>62.7</v>
      </c>
      <c r="E1205">
        <v>62.7</v>
      </c>
      <c r="F1205" s="3">
        <v>45705</v>
      </c>
      <c r="G1205" s="3">
        <v>45709</v>
      </c>
      <c r="H1205" t="s">
        <v>8</v>
      </c>
      <c r="I1205" t="s">
        <v>20</v>
      </c>
      <c r="J1205">
        <v>4</v>
      </c>
      <c r="K1205" t="s">
        <v>4</v>
      </c>
      <c r="L1205" t="s">
        <v>100</v>
      </c>
      <c r="M1205">
        <f>[1]!orders[[#This Row],[Ship Date]]-[1]!orders[[#This Row],[Order Date]]</f>
        <v>4</v>
      </c>
      <c r="N1205">
        <f>WEEKNUM([1]!orders[[#This Row],[Order Date]])</f>
        <v>8</v>
      </c>
      <c r="O1205" t="str" cm="1">
        <f t="array" ref="O1205">_xlfn.IFS([1]!orders[[#This Row],[Customer Gender]]="M","Male", [1]!orders[[#This Row],[Customer Gender]]="F","Female", [1]!orders[[#This Row],[Customer Gender]]="O","Other", TRUE,"Unknown")</f>
        <v>Male</v>
      </c>
    </row>
    <row r="1206" spans="1:15" x14ac:dyDescent="0.25">
      <c r="A1206" s="1" t="s">
        <v>1288</v>
      </c>
      <c r="B1206" s="1" t="s">
        <v>52</v>
      </c>
      <c r="C1206" s="1">
        <v>1</v>
      </c>
      <c r="D1206" s="1">
        <v>41.6</v>
      </c>
      <c r="E1206" s="1">
        <v>41.6</v>
      </c>
      <c r="F1206" s="2">
        <v>45705</v>
      </c>
      <c r="G1206" s="2">
        <v>45706</v>
      </c>
      <c r="H1206" s="1" t="s">
        <v>8</v>
      </c>
      <c r="I1206" s="1" t="s">
        <v>3</v>
      </c>
      <c r="J1206" s="1">
        <v>3</v>
      </c>
      <c r="K1206" s="1" t="s">
        <v>4</v>
      </c>
      <c r="L1206" s="1" t="s">
        <v>9</v>
      </c>
      <c r="M1206" s="1">
        <f>[1]!orders[[#This Row],[Ship Date]]-[1]!orders[[#This Row],[Order Date]]</f>
        <v>1</v>
      </c>
      <c r="N1206" s="1">
        <f>WEEKNUM([1]!orders[[#This Row],[Order Date]])</f>
        <v>8</v>
      </c>
      <c r="O1206" t="str" cm="1">
        <f t="array" ref="O1206">_xlfn.IFS([1]!orders[[#This Row],[Customer Gender]]="M","Male", [1]!orders[[#This Row],[Customer Gender]]="F","Female", [1]!orders[[#This Row],[Customer Gender]]="O","Other", TRUE,"Unknown")</f>
        <v>Male</v>
      </c>
    </row>
    <row r="1207" spans="1:15" x14ac:dyDescent="0.25">
      <c r="A1207" t="s">
        <v>1289</v>
      </c>
      <c r="B1207" t="s">
        <v>24</v>
      </c>
      <c r="C1207">
        <v>1</v>
      </c>
      <c r="D1207">
        <v>44.2</v>
      </c>
      <c r="E1207">
        <v>44.2</v>
      </c>
      <c r="F1207" s="3">
        <v>45705</v>
      </c>
      <c r="G1207" s="3">
        <v>45706</v>
      </c>
      <c r="H1207" t="s">
        <v>74</v>
      </c>
      <c r="I1207" t="s">
        <v>3</v>
      </c>
      <c r="J1207">
        <v>3</v>
      </c>
      <c r="K1207" t="s">
        <v>4</v>
      </c>
      <c r="L1207" t="s">
        <v>9</v>
      </c>
      <c r="M1207">
        <f>[1]!orders[[#This Row],[Ship Date]]-[1]!orders[[#This Row],[Order Date]]</f>
        <v>1</v>
      </c>
      <c r="N1207">
        <f>WEEKNUM([1]!orders[[#This Row],[Order Date]])</f>
        <v>8</v>
      </c>
      <c r="O1207" t="str" cm="1">
        <f t="array" ref="O1207">_xlfn.IFS([1]!orders[[#This Row],[Customer Gender]]="M","Male", [1]!orders[[#This Row],[Customer Gender]]="F","Female", [1]!orders[[#This Row],[Customer Gender]]="O","Other", TRUE,"Unknown")</f>
        <v>Other</v>
      </c>
    </row>
    <row r="1208" spans="1:15" x14ac:dyDescent="0.25">
      <c r="A1208" s="1" t="s">
        <v>1290</v>
      </c>
      <c r="B1208" s="1" t="s">
        <v>17</v>
      </c>
      <c r="C1208" s="1">
        <v>6</v>
      </c>
      <c r="D1208" s="1">
        <v>40.4</v>
      </c>
      <c r="E1208" s="1">
        <v>242.39999999999998</v>
      </c>
      <c r="F1208" s="2">
        <v>45705</v>
      </c>
      <c r="G1208" s="2">
        <v>45718</v>
      </c>
      <c r="H1208" s="1" t="s">
        <v>12</v>
      </c>
      <c r="I1208" s="1" t="s">
        <v>25</v>
      </c>
      <c r="J1208" s="1">
        <v>4</v>
      </c>
      <c r="K1208" s="1" t="s">
        <v>4</v>
      </c>
      <c r="L1208" s="1" t="s">
        <v>132</v>
      </c>
      <c r="M1208" s="1">
        <f>[1]!orders[[#This Row],[Ship Date]]-[1]!orders[[#This Row],[Order Date]]</f>
        <v>13</v>
      </c>
      <c r="N1208" s="1">
        <f>WEEKNUM([1]!orders[[#This Row],[Order Date]])</f>
        <v>8</v>
      </c>
      <c r="O1208" t="str" cm="1">
        <f t="array" ref="O1208">_xlfn.IFS([1]!orders[[#This Row],[Customer Gender]]="M","Male", [1]!orders[[#This Row],[Customer Gender]]="F","Female", [1]!orders[[#This Row],[Customer Gender]]="O","Other", TRUE,"Unknown")</f>
        <v>Female</v>
      </c>
    </row>
    <row r="1209" spans="1:15" x14ac:dyDescent="0.25">
      <c r="A1209" t="s">
        <v>1291</v>
      </c>
      <c r="B1209" t="s">
        <v>108</v>
      </c>
      <c r="C1209">
        <v>6</v>
      </c>
      <c r="D1209">
        <v>59.6</v>
      </c>
      <c r="E1209">
        <v>357.6</v>
      </c>
      <c r="F1209" s="3">
        <v>45705</v>
      </c>
      <c r="G1209" s="3">
        <v>45706</v>
      </c>
      <c r="H1209" t="s">
        <v>12</v>
      </c>
      <c r="I1209" t="s">
        <v>55</v>
      </c>
      <c r="J1209">
        <v>4</v>
      </c>
      <c r="K1209" t="s">
        <v>4</v>
      </c>
      <c r="L1209" t="s">
        <v>319</v>
      </c>
      <c r="M1209">
        <f>[1]!orders[[#This Row],[Ship Date]]-[1]!orders[[#This Row],[Order Date]]</f>
        <v>1</v>
      </c>
      <c r="N1209">
        <f>WEEKNUM([1]!orders[[#This Row],[Order Date]])</f>
        <v>8</v>
      </c>
      <c r="O1209" t="str" cm="1">
        <f t="array" ref="O1209">_xlfn.IFS([1]!orders[[#This Row],[Customer Gender]]="M","Male", [1]!orders[[#This Row],[Customer Gender]]="F","Female", [1]!orders[[#This Row],[Customer Gender]]="O","Other", TRUE,"Unknown")</f>
        <v>Female</v>
      </c>
    </row>
    <row r="1210" spans="1:15" x14ac:dyDescent="0.25">
      <c r="A1210" s="1" t="s">
        <v>1292</v>
      </c>
      <c r="B1210" s="1" t="s">
        <v>120</v>
      </c>
      <c r="C1210" s="1">
        <v>12</v>
      </c>
      <c r="D1210" s="1">
        <v>63.8</v>
      </c>
      <c r="E1210" s="1">
        <v>765.59999999999991</v>
      </c>
      <c r="F1210" s="2">
        <v>45705</v>
      </c>
      <c r="G1210" s="2">
        <v>45706</v>
      </c>
      <c r="H1210" s="1" t="s">
        <v>8</v>
      </c>
      <c r="I1210" s="1" t="s">
        <v>20</v>
      </c>
      <c r="J1210" s="1">
        <v>4</v>
      </c>
      <c r="K1210" s="1" t="s">
        <v>4</v>
      </c>
      <c r="L1210" s="1" t="s">
        <v>18</v>
      </c>
      <c r="M1210" s="1">
        <f>[1]!orders[[#This Row],[Ship Date]]-[1]!orders[[#This Row],[Order Date]]</f>
        <v>1</v>
      </c>
      <c r="N1210" s="1">
        <f>WEEKNUM([1]!orders[[#This Row],[Order Date]])</f>
        <v>8</v>
      </c>
      <c r="O1210" t="str" cm="1">
        <f t="array" ref="O1210">_xlfn.IFS([1]!orders[[#This Row],[Customer Gender]]="M","Male", [1]!orders[[#This Row],[Customer Gender]]="F","Female", [1]!orders[[#This Row],[Customer Gender]]="O","Other", TRUE,"Unknown")</f>
        <v>Male</v>
      </c>
    </row>
    <row r="1211" spans="1:15" x14ac:dyDescent="0.25">
      <c r="A1211" t="s">
        <v>1293</v>
      </c>
      <c r="B1211" t="s">
        <v>31</v>
      </c>
      <c r="C1211">
        <v>6</v>
      </c>
      <c r="D1211">
        <v>30.8</v>
      </c>
      <c r="E1211">
        <v>184.8</v>
      </c>
      <c r="F1211" s="3">
        <v>45705</v>
      </c>
      <c r="G1211" s="3">
        <v>45707</v>
      </c>
      <c r="H1211" t="s">
        <v>8</v>
      </c>
      <c r="I1211" t="s">
        <v>55</v>
      </c>
      <c r="J1211">
        <v>4</v>
      </c>
      <c r="K1211" t="s">
        <v>4</v>
      </c>
      <c r="L1211" t="s">
        <v>18</v>
      </c>
      <c r="M1211">
        <f>[1]!orders[[#This Row],[Ship Date]]-[1]!orders[[#This Row],[Order Date]]</f>
        <v>2</v>
      </c>
      <c r="N1211">
        <f>WEEKNUM([1]!orders[[#This Row],[Order Date]])</f>
        <v>8</v>
      </c>
      <c r="O1211" t="str" cm="1">
        <f t="array" ref="O1211">_xlfn.IFS([1]!orders[[#This Row],[Customer Gender]]="M","Male", [1]!orders[[#This Row],[Customer Gender]]="F","Female", [1]!orders[[#This Row],[Customer Gender]]="O","Other", TRUE,"Unknown")</f>
        <v>Male</v>
      </c>
    </row>
    <row r="1212" spans="1:15" x14ac:dyDescent="0.25">
      <c r="A1212" s="1" t="s">
        <v>1294</v>
      </c>
      <c r="B1212" s="1" t="s">
        <v>7</v>
      </c>
      <c r="C1212" s="1">
        <v>2</v>
      </c>
      <c r="D1212" s="1">
        <v>41.5</v>
      </c>
      <c r="E1212" s="1">
        <v>83</v>
      </c>
      <c r="F1212" s="2">
        <v>45705</v>
      </c>
      <c r="G1212" s="2">
        <v>45708</v>
      </c>
      <c r="H1212" s="1" t="s">
        <v>74</v>
      </c>
      <c r="I1212" s="1" t="s">
        <v>3</v>
      </c>
      <c r="J1212" s="1">
        <v>4</v>
      </c>
      <c r="K1212" s="1" t="s">
        <v>4</v>
      </c>
      <c r="L1212" s="1" t="s">
        <v>18</v>
      </c>
      <c r="M1212" s="1">
        <f>[1]!orders[[#This Row],[Ship Date]]-[1]!orders[[#This Row],[Order Date]]</f>
        <v>3</v>
      </c>
      <c r="N1212" s="1">
        <f>WEEKNUM([1]!orders[[#This Row],[Order Date]])</f>
        <v>8</v>
      </c>
      <c r="O1212" t="str" cm="1">
        <f t="array" ref="O1212">_xlfn.IFS([1]!orders[[#This Row],[Customer Gender]]="M","Male", [1]!orders[[#This Row],[Customer Gender]]="F","Female", [1]!orders[[#This Row],[Customer Gender]]="O","Other", TRUE,"Unknown")</f>
        <v>Other</v>
      </c>
    </row>
    <row r="1213" spans="1:15" x14ac:dyDescent="0.25">
      <c r="A1213" t="s">
        <v>1295</v>
      </c>
      <c r="B1213" t="s">
        <v>39</v>
      </c>
      <c r="C1213">
        <v>4</v>
      </c>
      <c r="D1213">
        <v>44.7</v>
      </c>
      <c r="E1213">
        <v>178.8</v>
      </c>
      <c r="F1213" s="3">
        <v>45705</v>
      </c>
      <c r="G1213" s="3">
        <v>45707</v>
      </c>
      <c r="H1213" t="s">
        <v>12</v>
      </c>
      <c r="I1213" t="s">
        <v>25</v>
      </c>
      <c r="J1213">
        <v>3</v>
      </c>
      <c r="K1213" t="s">
        <v>4</v>
      </c>
      <c r="L1213" t="s">
        <v>18</v>
      </c>
      <c r="M1213">
        <f>[1]!orders[[#This Row],[Ship Date]]-[1]!orders[[#This Row],[Order Date]]</f>
        <v>2</v>
      </c>
      <c r="N1213">
        <f>WEEKNUM([1]!orders[[#This Row],[Order Date]])</f>
        <v>8</v>
      </c>
      <c r="O1213" t="str" cm="1">
        <f t="array" ref="O1213">_xlfn.IFS([1]!orders[[#This Row],[Customer Gender]]="M","Male", [1]!orders[[#This Row],[Customer Gender]]="F","Female", [1]!orders[[#This Row],[Customer Gender]]="O","Other", TRUE,"Unknown")</f>
        <v>Female</v>
      </c>
    </row>
    <row r="1214" spans="1:15" x14ac:dyDescent="0.25">
      <c r="A1214" s="1" t="s">
        <v>1296</v>
      </c>
      <c r="B1214" s="1" t="s">
        <v>54</v>
      </c>
      <c r="C1214" s="1">
        <v>2</v>
      </c>
      <c r="D1214" s="1">
        <v>64.099999999999994</v>
      </c>
      <c r="E1214" s="1">
        <v>128.19999999999999</v>
      </c>
      <c r="F1214" s="2">
        <v>45705</v>
      </c>
      <c r="G1214" s="2">
        <v>45709</v>
      </c>
      <c r="H1214" s="1" t="s">
        <v>12</v>
      </c>
      <c r="I1214" s="1" t="s">
        <v>20</v>
      </c>
      <c r="J1214" s="1">
        <v>2</v>
      </c>
      <c r="K1214" s="1" t="s">
        <v>4</v>
      </c>
      <c r="L1214" s="1" t="s">
        <v>18</v>
      </c>
      <c r="M1214" s="1">
        <f>[1]!orders[[#This Row],[Ship Date]]-[1]!orders[[#This Row],[Order Date]]</f>
        <v>4</v>
      </c>
      <c r="N1214" s="1">
        <f>WEEKNUM([1]!orders[[#This Row],[Order Date]])</f>
        <v>8</v>
      </c>
      <c r="O1214" t="str" cm="1">
        <f t="array" ref="O1214">_xlfn.IFS([1]!orders[[#This Row],[Customer Gender]]="M","Male", [1]!orders[[#This Row],[Customer Gender]]="F","Female", [1]!orders[[#This Row],[Customer Gender]]="O","Other", TRUE,"Unknown")</f>
        <v>Female</v>
      </c>
    </row>
    <row r="1215" spans="1:15" x14ac:dyDescent="0.25">
      <c r="A1215" t="s">
        <v>1297</v>
      </c>
      <c r="B1215" t="s">
        <v>29</v>
      </c>
      <c r="C1215">
        <v>1</v>
      </c>
      <c r="D1215">
        <v>15.9</v>
      </c>
      <c r="E1215">
        <v>15.9</v>
      </c>
      <c r="F1215" s="3">
        <v>45705</v>
      </c>
      <c r="G1215" s="3">
        <v>45708</v>
      </c>
      <c r="H1215" t="s">
        <v>2</v>
      </c>
      <c r="I1215" t="s">
        <v>20</v>
      </c>
      <c r="J1215">
        <v>4</v>
      </c>
      <c r="K1215" t="s">
        <v>4</v>
      </c>
      <c r="L1215" t="s">
        <v>18</v>
      </c>
      <c r="M1215">
        <f>[1]!orders[[#This Row],[Ship Date]]-[1]!orders[[#This Row],[Order Date]]</f>
        <v>3</v>
      </c>
      <c r="N1215">
        <f>WEEKNUM([1]!orders[[#This Row],[Order Date]])</f>
        <v>8</v>
      </c>
      <c r="O1215" t="str" cm="1">
        <f t="array" ref="O1215">_xlfn.IFS([1]!orders[[#This Row],[Customer Gender]]="M","Male", [1]!orders[[#This Row],[Customer Gender]]="F","Female", [1]!orders[[#This Row],[Customer Gender]]="O","Other", TRUE,"Unknown")</f>
        <v>Unknown</v>
      </c>
    </row>
    <row r="1216" spans="1:15" x14ac:dyDescent="0.25">
      <c r="A1216" s="1" t="s">
        <v>1298</v>
      </c>
      <c r="B1216" s="1" t="s">
        <v>24</v>
      </c>
      <c r="C1216" s="1">
        <v>2</v>
      </c>
      <c r="D1216" s="1">
        <v>78.7</v>
      </c>
      <c r="E1216" s="1">
        <v>157.4</v>
      </c>
      <c r="F1216" s="2">
        <v>45705</v>
      </c>
      <c r="G1216" s="2">
        <v>45705</v>
      </c>
      <c r="H1216" s="1" t="s">
        <v>12</v>
      </c>
      <c r="I1216" s="1" t="s">
        <v>25</v>
      </c>
      <c r="J1216" s="1">
        <v>3</v>
      </c>
      <c r="K1216" s="1" t="s">
        <v>4</v>
      </c>
      <c r="L1216" s="1" t="s">
        <v>18</v>
      </c>
      <c r="M1216" s="1">
        <f>[1]!orders[[#This Row],[Ship Date]]-[1]!orders[[#This Row],[Order Date]]</f>
        <v>0</v>
      </c>
      <c r="N1216" s="1">
        <f>WEEKNUM([1]!orders[[#This Row],[Order Date]])</f>
        <v>8</v>
      </c>
      <c r="O1216" t="str" cm="1">
        <f t="array" ref="O1216">_xlfn.IFS([1]!orders[[#This Row],[Customer Gender]]="M","Male", [1]!orders[[#This Row],[Customer Gender]]="F","Female", [1]!orders[[#This Row],[Customer Gender]]="O","Other", TRUE,"Unknown")</f>
        <v>Female</v>
      </c>
    </row>
    <row r="1217" spans="1:15" x14ac:dyDescent="0.25">
      <c r="A1217" t="s">
        <v>1299</v>
      </c>
      <c r="B1217" t="s">
        <v>22</v>
      </c>
      <c r="C1217">
        <v>12</v>
      </c>
      <c r="D1217">
        <v>29.6</v>
      </c>
      <c r="E1217">
        <v>355.20000000000005</v>
      </c>
      <c r="F1217" s="3">
        <v>45705</v>
      </c>
      <c r="G1217" s="3">
        <v>45709</v>
      </c>
      <c r="H1217" t="s">
        <v>8</v>
      </c>
      <c r="I1217" t="s">
        <v>25</v>
      </c>
      <c r="J1217">
        <v>2</v>
      </c>
      <c r="K1217" t="s">
        <v>4</v>
      </c>
      <c r="L1217" t="s">
        <v>18</v>
      </c>
      <c r="M1217">
        <f>[1]!orders[[#This Row],[Ship Date]]-[1]!orders[[#This Row],[Order Date]]</f>
        <v>4</v>
      </c>
      <c r="N1217">
        <f>WEEKNUM([1]!orders[[#This Row],[Order Date]])</f>
        <v>8</v>
      </c>
      <c r="O1217" t="str" cm="1">
        <f t="array" ref="O1217">_xlfn.IFS([1]!orders[[#This Row],[Customer Gender]]="M","Male", [1]!orders[[#This Row],[Customer Gender]]="F","Female", [1]!orders[[#This Row],[Customer Gender]]="O","Other", TRUE,"Unknown")</f>
        <v>Male</v>
      </c>
    </row>
    <row r="1218" spans="1:15" x14ac:dyDescent="0.25">
      <c r="A1218" s="1" t="s">
        <v>1300</v>
      </c>
      <c r="B1218" s="1" t="s">
        <v>29</v>
      </c>
      <c r="C1218" s="1">
        <v>4</v>
      </c>
      <c r="D1218" s="1">
        <v>21.5</v>
      </c>
      <c r="E1218" s="1">
        <v>86</v>
      </c>
      <c r="F1218" s="2">
        <v>45705</v>
      </c>
      <c r="G1218" s="2">
        <v>45708</v>
      </c>
      <c r="H1218" s="1" t="s">
        <v>8</v>
      </c>
      <c r="I1218" s="1" t="s">
        <v>20</v>
      </c>
      <c r="J1218" s="1">
        <v>4</v>
      </c>
      <c r="K1218" s="1" t="s">
        <v>4</v>
      </c>
      <c r="L1218" s="1" t="s">
        <v>18</v>
      </c>
      <c r="M1218" s="1">
        <f>[1]!orders[[#This Row],[Ship Date]]-[1]!orders[[#This Row],[Order Date]]</f>
        <v>3</v>
      </c>
      <c r="N1218" s="1">
        <f>WEEKNUM([1]!orders[[#This Row],[Order Date]])</f>
        <v>8</v>
      </c>
      <c r="O1218" t="str" cm="1">
        <f t="array" ref="O1218">_xlfn.IFS([1]!orders[[#This Row],[Customer Gender]]="M","Male", [1]!orders[[#This Row],[Customer Gender]]="F","Female", [1]!orders[[#This Row],[Customer Gender]]="O","Other", TRUE,"Unknown")</f>
        <v>Male</v>
      </c>
    </row>
    <row r="1219" spans="1:15" x14ac:dyDescent="0.25">
      <c r="A1219" t="s">
        <v>1301</v>
      </c>
      <c r="B1219" t="s">
        <v>31</v>
      </c>
      <c r="C1219">
        <v>3</v>
      </c>
      <c r="D1219">
        <v>74.900000000000006</v>
      </c>
      <c r="E1219">
        <v>224.70000000000002</v>
      </c>
      <c r="F1219" s="3">
        <v>45705</v>
      </c>
      <c r="G1219" s="3">
        <v>45714</v>
      </c>
      <c r="H1219" t="s">
        <v>8</v>
      </c>
      <c r="I1219" t="s">
        <v>36</v>
      </c>
      <c r="J1219">
        <v>3</v>
      </c>
      <c r="K1219" t="s">
        <v>4</v>
      </c>
      <c r="L1219" t="s">
        <v>18</v>
      </c>
      <c r="M1219">
        <f>[1]!orders[[#This Row],[Ship Date]]-[1]!orders[[#This Row],[Order Date]]</f>
        <v>9</v>
      </c>
      <c r="N1219">
        <f>WEEKNUM([1]!orders[[#This Row],[Order Date]])</f>
        <v>8</v>
      </c>
      <c r="O1219" t="str" cm="1">
        <f t="array" ref="O1219">_xlfn.IFS([1]!orders[[#This Row],[Customer Gender]]="M","Male", [1]!orders[[#This Row],[Customer Gender]]="F","Female", [1]!orders[[#This Row],[Customer Gender]]="O","Other", TRUE,"Unknown")</f>
        <v>Male</v>
      </c>
    </row>
    <row r="1220" spans="1:15" x14ac:dyDescent="0.25">
      <c r="A1220" s="1" t="s">
        <v>1302</v>
      </c>
      <c r="B1220" s="1" t="s">
        <v>39</v>
      </c>
      <c r="C1220" s="1">
        <v>6</v>
      </c>
      <c r="D1220" s="1">
        <v>45</v>
      </c>
      <c r="E1220" s="1">
        <v>270</v>
      </c>
      <c r="F1220" s="2">
        <v>45705</v>
      </c>
      <c r="G1220" s="2">
        <v>45710</v>
      </c>
      <c r="H1220" s="1" t="s">
        <v>12</v>
      </c>
      <c r="I1220" s="1" t="s">
        <v>25</v>
      </c>
      <c r="J1220" s="1">
        <v>4</v>
      </c>
      <c r="K1220" s="1" t="s">
        <v>4</v>
      </c>
      <c r="L1220" s="1" t="s">
        <v>18</v>
      </c>
      <c r="M1220" s="1">
        <f>[1]!orders[[#This Row],[Ship Date]]-[1]!orders[[#This Row],[Order Date]]</f>
        <v>5</v>
      </c>
      <c r="N1220" s="1">
        <f>WEEKNUM([1]!orders[[#This Row],[Order Date]])</f>
        <v>8</v>
      </c>
      <c r="O1220" t="str" cm="1">
        <f t="array" ref="O1220">_xlfn.IFS([1]!orders[[#This Row],[Customer Gender]]="M","Male", [1]!orders[[#This Row],[Customer Gender]]="F","Female", [1]!orders[[#This Row],[Customer Gender]]="O","Other", TRUE,"Unknown")</f>
        <v>Female</v>
      </c>
    </row>
    <row r="1221" spans="1:15" x14ac:dyDescent="0.25">
      <c r="A1221" t="s">
        <v>1303</v>
      </c>
      <c r="B1221" t="s">
        <v>27</v>
      </c>
      <c r="C1221">
        <v>34</v>
      </c>
      <c r="D1221">
        <v>37.9</v>
      </c>
      <c r="E1221">
        <v>1288.5999999999999</v>
      </c>
      <c r="F1221" s="3">
        <v>45705</v>
      </c>
      <c r="G1221" s="3">
        <v>45706</v>
      </c>
      <c r="H1221" t="s">
        <v>8</v>
      </c>
      <c r="I1221" t="s">
        <v>3</v>
      </c>
      <c r="J1221">
        <v>4</v>
      </c>
      <c r="K1221" t="s">
        <v>4</v>
      </c>
      <c r="L1221" t="s">
        <v>18</v>
      </c>
      <c r="M1221">
        <f>[1]!orders[[#This Row],[Ship Date]]-[1]!orders[[#This Row],[Order Date]]</f>
        <v>1</v>
      </c>
      <c r="N1221">
        <f>WEEKNUM([1]!orders[[#This Row],[Order Date]])</f>
        <v>8</v>
      </c>
      <c r="O1221" t="str" cm="1">
        <f t="array" ref="O1221">_xlfn.IFS([1]!orders[[#This Row],[Customer Gender]]="M","Male", [1]!orders[[#This Row],[Customer Gender]]="F","Female", [1]!orders[[#This Row],[Customer Gender]]="O","Other", TRUE,"Unknown")</f>
        <v>Male</v>
      </c>
    </row>
    <row r="1222" spans="1:15" x14ac:dyDescent="0.25">
      <c r="A1222" s="1" t="s">
        <v>1304</v>
      </c>
      <c r="B1222" s="1" t="s">
        <v>24</v>
      </c>
      <c r="C1222" s="1">
        <v>3</v>
      </c>
      <c r="D1222" s="1">
        <v>56.6</v>
      </c>
      <c r="E1222" s="1">
        <v>169.8</v>
      </c>
      <c r="F1222" s="2">
        <v>45705</v>
      </c>
      <c r="G1222" s="2">
        <v>45706</v>
      </c>
      <c r="H1222" s="1" t="s">
        <v>8</v>
      </c>
      <c r="I1222" s="1" t="s">
        <v>36</v>
      </c>
      <c r="J1222" s="1">
        <v>4</v>
      </c>
      <c r="K1222" s="1" t="s">
        <v>4</v>
      </c>
      <c r="L1222" s="1" t="s">
        <v>18</v>
      </c>
      <c r="M1222" s="1">
        <f>[1]!orders[[#This Row],[Ship Date]]-[1]!orders[[#This Row],[Order Date]]</f>
        <v>1</v>
      </c>
      <c r="N1222" s="1">
        <f>WEEKNUM([1]!orders[[#This Row],[Order Date]])</f>
        <v>8</v>
      </c>
      <c r="O1222" t="str" cm="1">
        <f t="array" ref="O1222">_xlfn.IFS([1]!orders[[#This Row],[Customer Gender]]="M","Male", [1]!orders[[#This Row],[Customer Gender]]="F","Female", [1]!orders[[#This Row],[Customer Gender]]="O","Other", TRUE,"Unknown")</f>
        <v>Male</v>
      </c>
    </row>
    <row r="1223" spans="1:15" x14ac:dyDescent="0.25">
      <c r="A1223" t="s">
        <v>1305</v>
      </c>
      <c r="B1223" t="s">
        <v>15</v>
      </c>
      <c r="C1223">
        <v>13</v>
      </c>
      <c r="D1223">
        <v>84.5</v>
      </c>
      <c r="E1223">
        <v>1098.5</v>
      </c>
      <c r="F1223" s="3">
        <v>45705</v>
      </c>
      <c r="G1223" s="3">
        <v>45708</v>
      </c>
      <c r="H1223" t="s">
        <v>12</v>
      </c>
      <c r="I1223" t="s">
        <v>20</v>
      </c>
      <c r="J1223">
        <v>2</v>
      </c>
      <c r="K1223" t="s">
        <v>4</v>
      </c>
      <c r="L1223" t="s">
        <v>18</v>
      </c>
      <c r="M1223">
        <f>[1]!orders[[#This Row],[Ship Date]]-[1]!orders[[#This Row],[Order Date]]</f>
        <v>3</v>
      </c>
      <c r="N1223">
        <f>WEEKNUM([1]!orders[[#This Row],[Order Date]])</f>
        <v>8</v>
      </c>
      <c r="O1223" t="str" cm="1">
        <f t="array" ref="O1223">_xlfn.IFS([1]!orders[[#This Row],[Customer Gender]]="M","Male", [1]!orders[[#This Row],[Customer Gender]]="F","Female", [1]!orders[[#This Row],[Customer Gender]]="O","Other", TRUE,"Unknown")</f>
        <v>Female</v>
      </c>
    </row>
    <row r="1224" spans="1:15" x14ac:dyDescent="0.25">
      <c r="A1224" s="1" t="s">
        <v>1306</v>
      </c>
      <c r="B1224" s="1" t="s">
        <v>11</v>
      </c>
      <c r="C1224" s="1">
        <v>5</v>
      </c>
      <c r="D1224" s="1">
        <v>105.4</v>
      </c>
      <c r="E1224" s="1">
        <v>527</v>
      </c>
      <c r="F1224" s="2">
        <v>45705</v>
      </c>
      <c r="G1224" s="2">
        <v>45707</v>
      </c>
      <c r="H1224" s="1" t="s">
        <v>12</v>
      </c>
      <c r="I1224" s="1" t="s">
        <v>20</v>
      </c>
      <c r="J1224" s="1">
        <v>3</v>
      </c>
      <c r="K1224" s="1" t="s">
        <v>4</v>
      </c>
      <c r="L1224" s="1" t="s">
        <v>18</v>
      </c>
      <c r="M1224" s="1">
        <f>[1]!orders[[#This Row],[Ship Date]]-[1]!orders[[#This Row],[Order Date]]</f>
        <v>2</v>
      </c>
      <c r="N1224" s="1">
        <f>WEEKNUM([1]!orders[[#This Row],[Order Date]])</f>
        <v>8</v>
      </c>
      <c r="O1224" t="str" cm="1">
        <f t="array" ref="O1224">_xlfn.IFS([1]!orders[[#This Row],[Customer Gender]]="M","Male", [1]!orders[[#This Row],[Customer Gender]]="F","Female", [1]!orders[[#This Row],[Customer Gender]]="O","Other", TRUE,"Unknown")</f>
        <v>Female</v>
      </c>
    </row>
    <row r="1225" spans="1:15" x14ac:dyDescent="0.25">
      <c r="A1225" t="s">
        <v>1307</v>
      </c>
      <c r="B1225" t="s">
        <v>131</v>
      </c>
      <c r="C1225">
        <v>7</v>
      </c>
      <c r="D1225">
        <v>39.4</v>
      </c>
      <c r="E1225">
        <v>275.8</v>
      </c>
      <c r="F1225" s="3">
        <v>45706</v>
      </c>
      <c r="G1225" s="3">
        <v>45706</v>
      </c>
      <c r="H1225" t="s">
        <v>8</v>
      </c>
      <c r="I1225" t="s">
        <v>20</v>
      </c>
      <c r="J1225">
        <v>4</v>
      </c>
      <c r="K1225" t="s">
        <v>4</v>
      </c>
      <c r="L1225" t="s">
        <v>349</v>
      </c>
      <c r="M1225">
        <f>[1]!orders[[#This Row],[Ship Date]]-[1]!orders[[#This Row],[Order Date]]</f>
        <v>0</v>
      </c>
      <c r="N1225">
        <f>WEEKNUM([1]!orders[[#This Row],[Order Date]])</f>
        <v>8</v>
      </c>
      <c r="O1225" t="str" cm="1">
        <f t="array" ref="O1225">_xlfn.IFS([1]!orders[[#This Row],[Customer Gender]]="M","Male", [1]!orders[[#This Row],[Customer Gender]]="F","Female", [1]!orders[[#This Row],[Customer Gender]]="O","Other", TRUE,"Unknown")</f>
        <v>Male</v>
      </c>
    </row>
    <row r="1226" spans="1:15" x14ac:dyDescent="0.25">
      <c r="A1226" s="1" t="s">
        <v>1308</v>
      </c>
      <c r="B1226" s="1" t="s">
        <v>156</v>
      </c>
      <c r="C1226" s="1">
        <v>3</v>
      </c>
      <c r="D1226" s="1">
        <v>38</v>
      </c>
      <c r="E1226" s="1">
        <v>114</v>
      </c>
      <c r="F1226" s="2">
        <v>45706</v>
      </c>
      <c r="G1226" s="2">
        <v>45709</v>
      </c>
      <c r="H1226" s="1" t="s">
        <v>8</v>
      </c>
      <c r="I1226" s="1" t="s">
        <v>55</v>
      </c>
      <c r="J1226" s="1">
        <v>3</v>
      </c>
      <c r="K1226" s="1" t="s">
        <v>4</v>
      </c>
      <c r="L1226" s="1" t="s">
        <v>40</v>
      </c>
      <c r="M1226" s="1">
        <f>[1]!orders[[#This Row],[Ship Date]]-[1]!orders[[#This Row],[Order Date]]</f>
        <v>3</v>
      </c>
      <c r="N1226" s="1">
        <f>WEEKNUM([1]!orders[[#This Row],[Order Date]])</f>
        <v>8</v>
      </c>
      <c r="O1226" t="str" cm="1">
        <f t="array" ref="O1226">_xlfn.IFS([1]!orders[[#This Row],[Customer Gender]]="M","Male", [1]!orders[[#This Row],[Customer Gender]]="F","Female", [1]!orders[[#This Row],[Customer Gender]]="O","Other", TRUE,"Unknown")</f>
        <v>Male</v>
      </c>
    </row>
    <row r="1227" spans="1:15" x14ac:dyDescent="0.25">
      <c r="A1227" t="s">
        <v>1309</v>
      </c>
      <c r="B1227" t="s">
        <v>120</v>
      </c>
      <c r="C1227">
        <v>4</v>
      </c>
      <c r="D1227">
        <v>42.5</v>
      </c>
      <c r="E1227">
        <v>170</v>
      </c>
      <c r="F1227" s="3">
        <v>45706</v>
      </c>
      <c r="G1227" s="3">
        <v>45708</v>
      </c>
      <c r="H1227" t="s">
        <v>2</v>
      </c>
      <c r="I1227" t="s">
        <v>3</v>
      </c>
      <c r="J1227">
        <v>4</v>
      </c>
      <c r="K1227" t="s">
        <v>4</v>
      </c>
      <c r="L1227" t="s">
        <v>40</v>
      </c>
      <c r="M1227">
        <f>[1]!orders[[#This Row],[Ship Date]]-[1]!orders[[#This Row],[Order Date]]</f>
        <v>2</v>
      </c>
      <c r="N1227">
        <f>WEEKNUM([1]!orders[[#This Row],[Order Date]])</f>
        <v>8</v>
      </c>
      <c r="O1227" t="str" cm="1">
        <f t="array" ref="O1227">_xlfn.IFS([1]!orders[[#This Row],[Customer Gender]]="M","Male", [1]!orders[[#This Row],[Customer Gender]]="F","Female", [1]!orders[[#This Row],[Customer Gender]]="O","Other", TRUE,"Unknown")</f>
        <v>Unknown</v>
      </c>
    </row>
    <row r="1228" spans="1:15" x14ac:dyDescent="0.25">
      <c r="A1228" s="1" t="s">
        <v>1310</v>
      </c>
      <c r="B1228" s="1" t="s">
        <v>108</v>
      </c>
      <c r="C1228" s="1">
        <v>1</v>
      </c>
      <c r="D1228" s="1">
        <v>62.3</v>
      </c>
      <c r="E1228" s="1">
        <v>62.3</v>
      </c>
      <c r="F1228" s="2">
        <v>45706</v>
      </c>
      <c r="G1228" s="2">
        <v>45715</v>
      </c>
      <c r="H1228" s="1" t="s">
        <v>8</v>
      </c>
      <c r="I1228" s="1" t="s">
        <v>3</v>
      </c>
      <c r="J1228" s="1">
        <v>5</v>
      </c>
      <c r="K1228" s="1" t="s">
        <v>4</v>
      </c>
      <c r="L1228" s="1" t="s">
        <v>40</v>
      </c>
      <c r="M1228" s="1">
        <f>[1]!orders[[#This Row],[Ship Date]]-[1]!orders[[#This Row],[Order Date]]</f>
        <v>9</v>
      </c>
      <c r="N1228" s="1">
        <f>WEEKNUM([1]!orders[[#This Row],[Order Date]])</f>
        <v>8</v>
      </c>
      <c r="O1228" t="str" cm="1">
        <f t="array" ref="O1228">_xlfn.IFS([1]!orders[[#This Row],[Customer Gender]]="M","Male", [1]!orders[[#This Row],[Customer Gender]]="F","Female", [1]!orders[[#This Row],[Customer Gender]]="O","Other", TRUE,"Unknown")</f>
        <v>Male</v>
      </c>
    </row>
    <row r="1229" spans="1:15" x14ac:dyDescent="0.25">
      <c r="A1229" t="s">
        <v>1311</v>
      </c>
      <c r="B1229" t="s">
        <v>24</v>
      </c>
      <c r="C1229">
        <v>5</v>
      </c>
      <c r="D1229">
        <v>49.1</v>
      </c>
      <c r="E1229">
        <v>245.5</v>
      </c>
      <c r="F1229" s="3">
        <v>45706</v>
      </c>
      <c r="G1229" s="3">
        <v>45708</v>
      </c>
      <c r="H1229" t="s">
        <v>12</v>
      </c>
      <c r="I1229" t="s">
        <v>20</v>
      </c>
      <c r="J1229">
        <v>5</v>
      </c>
      <c r="K1229" t="s">
        <v>4</v>
      </c>
      <c r="L1229" t="s">
        <v>44</v>
      </c>
      <c r="M1229">
        <f>[1]!orders[[#This Row],[Ship Date]]-[1]!orders[[#This Row],[Order Date]]</f>
        <v>2</v>
      </c>
      <c r="N1229">
        <f>WEEKNUM([1]!orders[[#This Row],[Order Date]])</f>
        <v>8</v>
      </c>
      <c r="O1229" t="str" cm="1">
        <f t="array" ref="O1229">_xlfn.IFS([1]!orders[[#This Row],[Customer Gender]]="M","Male", [1]!orders[[#This Row],[Customer Gender]]="F","Female", [1]!orders[[#This Row],[Customer Gender]]="O","Other", TRUE,"Unknown")</f>
        <v>Female</v>
      </c>
    </row>
    <row r="1230" spans="1:15" x14ac:dyDescent="0.25">
      <c r="A1230" s="1" t="s">
        <v>1312</v>
      </c>
      <c r="B1230" s="1" t="s">
        <v>15</v>
      </c>
      <c r="C1230" s="1">
        <v>2</v>
      </c>
      <c r="D1230" s="1">
        <v>30.5</v>
      </c>
      <c r="E1230" s="1">
        <v>61</v>
      </c>
      <c r="F1230" s="2">
        <v>45706</v>
      </c>
      <c r="G1230" s="2">
        <v>45709</v>
      </c>
      <c r="H1230" s="1" t="s">
        <v>8</v>
      </c>
      <c r="I1230" s="1" t="s">
        <v>3</v>
      </c>
      <c r="J1230" s="1">
        <v>5</v>
      </c>
      <c r="K1230" s="1" t="s">
        <v>4</v>
      </c>
      <c r="L1230" s="1" t="s">
        <v>47</v>
      </c>
      <c r="M1230" s="1">
        <f>[1]!orders[[#This Row],[Ship Date]]-[1]!orders[[#This Row],[Order Date]]</f>
        <v>3</v>
      </c>
      <c r="N1230" s="1">
        <f>WEEKNUM([1]!orders[[#This Row],[Order Date]])</f>
        <v>8</v>
      </c>
      <c r="O1230" t="str" cm="1">
        <f t="array" ref="O1230">_xlfn.IFS([1]!orders[[#This Row],[Customer Gender]]="M","Male", [1]!orders[[#This Row],[Customer Gender]]="F","Female", [1]!orders[[#This Row],[Customer Gender]]="O","Other", TRUE,"Unknown")</f>
        <v>Male</v>
      </c>
    </row>
    <row r="1231" spans="1:15" x14ac:dyDescent="0.25">
      <c r="A1231" t="s">
        <v>1313</v>
      </c>
      <c r="B1231" t="s">
        <v>11</v>
      </c>
      <c r="C1231">
        <v>2</v>
      </c>
      <c r="D1231">
        <v>154.80000000000001</v>
      </c>
      <c r="E1231">
        <v>309.60000000000002</v>
      </c>
      <c r="F1231" s="3">
        <v>45706</v>
      </c>
      <c r="G1231" s="3">
        <v>45709</v>
      </c>
      <c r="H1231" t="s">
        <v>12</v>
      </c>
      <c r="I1231" t="s">
        <v>20</v>
      </c>
      <c r="J1231">
        <v>2</v>
      </c>
      <c r="K1231" t="s">
        <v>4</v>
      </c>
      <c r="L1231" t="s">
        <v>47</v>
      </c>
      <c r="M1231">
        <f>[1]!orders[[#This Row],[Ship Date]]-[1]!orders[[#This Row],[Order Date]]</f>
        <v>3</v>
      </c>
      <c r="N1231">
        <f>WEEKNUM([1]!orders[[#This Row],[Order Date]])</f>
        <v>8</v>
      </c>
      <c r="O1231" t="str" cm="1">
        <f t="array" ref="O1231">_xlfn.IFS([1]!orders[[#This Row],[Customer Gender]]="M","Male", [1]!orders[[#This Row],[Customer Gender]]="F","Female", [1]!orders[[#This Row],[Customer Gender]]="O","Other", TRUE,"Unknown")</f>
        <v>Female</v>
      </c>
    </row>
    <row r="1232" spans="1:15" x14ac:dyDescent="0.25">
      <c r="A1232" s="1" t="s">
        <v>1314</v>
      </c>
      <c r="B1232" s="1" t="s">
        <v>24</v>
      </c>
      <c r="C1232" s="1">
        <v>1</v>
      </c>
      <c r="D1232" s="1">
        <v>45</v>
      </c>
      <c r="E1232" s="1">
        <v>45</v>
      </c>
      <c r="F1232" s="2">
        <v>45706</v>
      </c>
      <c r="G1232" s="2">
        <v>45710</v>
      </c>
      <c r="H1232" s="1" t="s">
        <v>8</v>
      </c>
      <c r="I1232" s="1" t="s">
        <v>36</v>
      </c>
      <c r="J1232" s="1">
        <v>3</v>
      </c>
      <c r="K1232" s="1" t="s">
        <v>4</v>
      </c>
      <c r="L1232" s="1" t="s">
        <v>47</v>
      </c>
      <c r="M1232" s="1">
        <f>[1]!orders[[#This Row],[Ship Date]]-[1]!orders[[#This Row],[Order Date]]</f>
        <v>4</v>
      </c>
      <c r="N1232" s="1">
        <f>WEEKNUM([1]!orders[[#This Row],[Order Date]])</f>
        <v>8</v>
      </c>
      <c r="O1232" t="str" cm="1">
        <f t="array" ref="O1232">_xlfn.IFS([1]!orders[[#This Row],[Customer Gender]]="M","Male", [1]!orders[[#This Row],[Customer Gender]]="F","Female", [1]!orders[[#This Row],[Customer Gender]]="O","Other", TRUE,"Unknown")</f>
        <v>Male</v>
      </c>
    </row>
    <row r="1233" spans="1:15" x14ac:dyDescent="0.25">
      <c r="A1233" t="s">
        <v>1315</v>
      </c>
      <c r="B1233" t="s">
        <v>1</v>
      </c>
      <c r="C1233">
        <v>7</v>
      </c>
      <c r="D1233">
        <v>15.3</v>
      </c>
      <c r="E1233">
        <v>107.10000000000001</v>
      </c>
      <c r="F1233" s="3">
        <v>45706</v>
      </c>
      <c r="G1233" s="3">
        <v>45707</v>
      </c>
      <c r="H1233" t="s">
        <v>8</v>
      </c>
      <c r="I1233" t="s">
        <v>3</v>
      </c>
      <c r="J1233">
        <v>5</v>
      </c>
      <c r="K1233" t="s">
        <v>4</v>
      </c>
      <c r="L1233" t="s">
        <v>47</v>
      </c>
      <c r="M1233">
        <f>[1]!orders[[#This Row],[Ship Date]]-[1]!orders[[#This Row],[Order Date]]</f>
        <v>1</v>
      </c>
      <c r="N1233">
        <f>WEEKNUM([1]!orders[[#This Row],[Order Date]])</f>
        <v>8</v>
      </c>
      <c r="O1233" t="str" cm="1">
        <f t="array" ref="O1233">_xlfn.IFS([1]!orders[[#This Row],[Customer Gender]]="M","Male", [1]!orders[[#This Row],[Customer Gender]]="F","Female", [1]!orders[[#This Row],[Customer Gender]]="O","Other", TRUE,"Unknown")</f>
        <v>Male</v>
      </c>
    </row>
    <row r="1234" spans="1:15" x14ac:dyDescent="0.25">
      <c r="A1234" s="1" t="s">
        <v>1316</v>
      </c>
      <c r="B1234" s="1" t="s">
        <v>11</v>
      </c>
      <c r="C1234" s="1">
        <v>11</v>
      </c>
      <c r="D1234" s="1">
        <v>88.6</v>
      </c>
      <c r="E1234" s="1">
        <v>974.59999999999991</v>
      </c>
      <c r="F1234" s="2">
        <v>45706</v>
      </c>
      <c r="G1234" s="2">
        <v>45709</v>
      </c>
      <c r="H1234" s="1" t="s">
        <v>12</v>
      </c>
      <c r="I1234" s="1" t="s">
        <v>3</v>
      </c>
      <c r="J1234" s="1">
        <v>2</v>
      </c>
      <c r="K1234" s="1" t="s">
        <v>4</v>
      </c>
      <c r="L1234" s="1" t="s">
        <v>88</v>
      </c>
      <c r="M1234" s="1">
        <f>[1]!orders[[#This Row],[Ship Date]]-[1]!orders[[#This Row],[Order Date]]</f>
        <v>3</v>
      </c>
      <c r="N1234" s="1">
        <f>WEEKNUM([1]!orders[[#This Row],[Order Date]])</f>
        <v>8</v>
      </c>
      <c r="O1234" t="str" cm="1">
        <f t="array" ref="O1234">_xlfn.IFS([1]!orders[[#This Row],[Customer Gender]]="M","Male", [1]!orders[[#This Row],[Customer Gender]]="F","Female", [1]!orders[[#This Row],[Customer Gender]]="O","Other", TRUE,"Unknown")</f>
        <v>Female</v>
      </c>
    </row>
    <row r="1235" spans="1:15" x14ac:dyDescent="0.25">
      <c r="A1235" t="s">
        <v>1317</v>
      </c>
      <c r="B1235" t="s">
        <v>31</v>
      </c>
      <c r="C1235">
        <v>2</v>
      </c>
      <c r="D1235">
        <v>49.7</v>
      </c>
      <c r="E1235">
        <v>99.4</v>
      </c>
      <c r="F1235" s="3">
        <v>45706</v>
      </c>
      <c r="G1235" s="3">
        <v>45708</v>
      </c>
      <c r="H1235" t="s">
        <v>74</v>
      </c>
      <c r="I1235" t="s">
        <v>55</v>
      </c>
      <c r="J1235">
        <v>4</v>
      </c>
      <c r="K1235" t="s">
        <v>4</v>
      </c>
      <c r="L1235" t="s">
        <v>59</v>
      </c>
      <c r="M1235">
        <f>[1]!orders[[#This Row],[Ship Date]]-[1]!orders[[#This Row],[Order Date]]</f>
        <v>2</v>
      </c>
      <c r="N1235">
        <f>WEEKNUM([1]!orders[[#This Row],[Order Date]])</f>
        <v>8</v>
      </c>
      <c r="O1235" t="str" cm="1">
        <f t="array" ref="O1235">_xlfn.IFS([1]!orders[[#This Row],[Customer Gender]]="M","Male", [1]!orders[[#This Row],[Customer Gender]]="F","Female", [1]!orders[[#This Row],[Customer Gender]]="O","Other", TRUE,"Unknown")</f>
        <v>Other</v>
      </c>
    </row>
    <row r="1236" spans="1:15" x14ac:dyDescent="0.25">
      <c r="A1236" s="1" t="s">
        <v>1318</v>
      </c>
      <c r="B1236" s="1" t="s">
        <v>39</v>
      </c>
      <c r="C1236" s="1">
        <v>1</v>
      </c>
      <c r="D1236" s="1">
        <v>29</v>
      </c>
      <c r="E1236" s="1">
        <v>29</v>
      </c>
      <c r="F1236" s="2">
        <v>45706</v>
      </c>
      <c r="G1236" s="2">
        <v>45707</v>
      </c>
      <c r="H1236" s="1" t="s">
        <v>8</v>
      </c>
      <c r="I1236" s="1" t="s">
        <v>3</v>
      </c>
      <c r="J1236" s="1">
        <v>4</v>
      </c>
      <c r="K1236" s="1" t="s">
        <v>4</v>
      </c>
      <c r="L1236" s="1" t="s">
        <v>62</v>
      </c>
      <c r="M1236" s="1">
        <f>[1]!orders[[#This Row],[Ship Date]]-[1]!orders[[#This Row],[Order Date]]</f>
        <v>1</v>
      </c>
      <c r="N1236" s="1">
        <f>WEEKNUM([1]!orders[[#This Row],[Order Date]])</f>
        <v>8</v>
      </c>
      <c r="O1236" t="str" cm="1">
        <f t="array" ref="O1236">_xlfn.IFS([1]!orders[[#This Row],[Customer Gender]]="M","Male", [1]!orders[[#This Row],[Customer Gender]]="F","Female", [1]!orders[[#This Row],[Customer Gender]]="O","Other", TRUE,"Unknown")</f>
        <v>Male</v>
      </c>
    </row>
    <row r="1237" spans="1:15" x14ac:dyDescent="0.25">
      <c r="A1237" t="s">
        <v>1319</v>
      </c>
      <c r="B1237" t="s">
        <v>7</v>
      </c>
      <c r="C1237">
        <v>1</v>
      </c>
      <c r="D1237">
        <v>60.7</v>
      </c>
      <c r="E1237">
        <v>60.7</v>
      </c>
      <c r="F1237" s="3">
        <v>45706</v>
      </c>
      <c r="G1237" s="3">
        <v>45707</v>
      </c>
      <c r="H1237" t="s">
        <v>74</v>
      </c>
      <c r="I1237" t="s">
        <v>3</v>
      </c>
      <c r="J1237">
        <v>3</v>
      </c>
      <c r="K1237" t="s">
        <v>4</v>
      </c>
      <c r="L1237" t="s">
        <v>62</v>
      </c>
      <c r="M1237">
        <f>[1]!orders[[#This Row],[Ship Date]]-[1]!orders[[#This Row],[Order Date]]</f>
        <v>1</v>
      </c>
      <c r="N1237">
        <f>WEEKNUM([1]!orders[[#This Row],[Order Date]])</f>
        <v>8</v>
      </c>
      <c r="O1237" t="str" cm="1">
        <f t="array" ref="O1237">_xlfn.IFS([1]!orders[[#This Row],[Customer Gender]]="M","Male", [1]!orders[[#This Row],[Customer Gender]]="F","Female", [1]!orders[[#This Row],[Customer Gender]]="O","Other", TRUE,"Unknown")</f>
        <v>Other</v>
      </c>
    </row>
    <row r="1238" spans="1:15" x14ac:dyDescent="0.25">
      <c r="A1238" s="1" t="s">
        <v>1320</v>
      </c>
      <c r="B1238" s="1" t="s">
        <v>120</v>
      </c>
      <c r="C1238" s="1">
        <v>4</v>
      </c>
      <c r="D1238" s="1">
        <v>87.4</v>
      </c>
      <c r="E1238" s="1">
        <v>349.6</v>
      </c>
      <c r="F1238" s="2">
        <v>45706</v>
      </c>
      <c r="G1238" s="2">
        <v>45708</v>
      </c>
      <c r="H1238" s="1" t="s">
        <v>2</v>
      </c>
      <c r="I1238" s="1" t="s">
        <v>3</v>
      </c>
      <c r="J1238" s="1">
        <v>4</v>
      </c>
      <c r="K1238" s="1" t="s">
        <v>4</v>
      </c>
      <c r="L1238" s="1" t="s">
        <v>62</v>
      </c>
      <c r="M1238" s="1">
        <f>[1]!orders[[#This Row],[Ship Date]]-[1]!orders[[#This Row],[Order Date]]</f>
        <v>2</v>
      </c>
      <c r="N1238" s="1">
        <f>WEEKNUM([1]!orders[[#This Row],[Order Date]])</f>
        <v>8</v>
      </c>
      <c r="O1238" t="str" cm="1">
        <f t="array" ref="O1238">_xlfn.IFS([1]!orders[[#This Row],[Customer Gender]]="M","Male", [1]!orders[[#This Row],[Customer Gender]]="F","Female", [1]!orders[[#This Row],[Customer Gender]]="O","Other", TRUE,"Unknown")</f>
        <v>Unknown</v>
      </c>
    </row>
    <row r="1239" spans="1:15" x14ac:dyDescent="0.25">
      <c r="A1239" t="s">
        <v>1321</v>
      </c>
      <c r="B1239" t="s">
        <v>17</v>
      </c>
      <c r="C1239">
        <v>7</v>
      </c>
      <c r="D1239">
        <v>44.5</v>
      </c>
      <c r="E1239">
        <v>311.5</v>
      </c>
      <c r="F1239" s="3">
        <v>45706</v>
      </c>
      <c r="G1239" s="3">
        <v>45710</v>
      </c>
      <c r="H1239" t="s">
        <v>12</v>
      </c>
      <c r="I1239" t="s">
        <v>25</v>
      </c>
      <c r="J1239">
        <v>5</v>
      </c>
      <c r="K1239" t="s">
        <v>4</v>
      </c>
      <c r="L1239" t="s">
        <v>95</v>
      </c>
      <c r="M1239">
        <f>[1]!orders[[#This Row],[Ship Date]]-[1]!orders[[#This Row],[Order Date]]</f>
        <v>4</v>
      </c>
      <c r="N1239">
        <f>WEEKNUM([1]!orders[[#This Row],[Order Date]])</f>
        <v>8</v>
      </c>
      <c r="O1239" t="str" cm="1">
        <f t="array" ref="O1239">_xlfn.IFS([1]!orders[[#This Row],[Customer Gender]]="M","Male", [1]!orders[[#This Row],[Customer Gender]]="F","Female", [1]!orders[[#This Row],[Customer Gender]]="O","Other", TRUE,"Unknown")</f>
        <v>Female</v>
      </c>
    </row>
    <row r="1240" spans="1:15" x14ac:dyDescent="0.25">
      <c r="A1240" s="1" t="s">
        <v>1322</v>
      </c>
      <c r="B1240" s="1" t="s">
        <v>11</v>
      </c>
      <c r="C1240" s="1">
        <v>1</v>
      </c>
      <c r="D1240" s="1">
        <v>141</v>
      </c>
      <c r="E1240" s="1">
        <v>141</v>
      </c>
      <c r="F1240" s="2">
        <v>45706</v>
      </c>
      <c r="G1240" s="2">
        <v>45707</v>
      </c>
      <c r="H1240" s="1" t="s">
        <v>8</v>
      </c>
      <c r="I1240" s="1" t="s">
        <v>55</v>
      </c>
      <c r="J1240" s="1">
        <v>5</v>
      </c>
      <c r="K1240" s="1" t="s">
        <v>4</v>
      </c>
      <c r="L1240" s="1" t="s">
        <v>95</v>
      </c>
      <c r="M1240" s="1">
        <f>[1]!orders[[#This Row],[Ship Date]]-[1]!orders[[#This Row],[Order Date]]</f>
        <v>1</v>
      </c>
      <c r="N1240" s="1">
        <f>WEEKNUM([1]!orders[[#This Row],[Order Date]])</f>
        <v>8</v>
      </c>
      <c r="O1240" t="str" cm="1">
        <f t="array" ref="O1240">_xlfn.IFS([1]!orders[[#This Row],[Customer Gender]]="M","Male", [1]!orders[[#This Row],[Customer Gender]]="F","Female", [1]!orders[[#This Row],[Customer Gender]]="O","Other", TRUE,"Unknown")</f>
        <v>Male</v>
      </c>
    </row>
    <row r="1241" spans="1:15" x14ac:dyDescent="0.25">
      <c r="A1241" t="s">
        <v>1323</v>
      </c>
      <c r="B1241" t="s">
        <v>1</v>
      </c>
      <c r="C1241">
        <v>3</v>
      </c>
      <c r="D1241">
        <v>16.7</v>
      </c>
      <c r="E1241">
        <v>50.099999999999994</v>
      </c>
      <c r="F1241" s="3">
        <v>45706</v>
      </c>
      <c r="G1241" s="3">
        <v>45714</v>
      </c>
      <c r="H1241" t="s">
        <v>12</v>
      </c>
      <c r="I1241" t="s">
        <v>3</v>
      </c>
      <c r="J1241">
        <v>4</v>
      </c>
      <c r="K1241" t="s">
        <v>4</v>
      </c>
      <c r="L1241" t="s">
        <v>98</v>
      </c>
      <c r="M1241">
        <f>[1]!orders[[#This Row],[Ship Date]]-[1]!orders[[#This Row],[Order Date]]</f>
        <v>8</v>
      </c>
      <c r="N1241">
        <f>WEEKNUM([1]!orders[[#This Row],[Order Date]])</f>
        <v>8</v>
      </c>
      <c r="O1241" t="str" cm="1">
        <f t="array" ref="O1241">_xlfn.IFS([1]!orders[[#This Row],[Customer Gender]]="M","Male", [1]!orders[[#This Row],[Customer Gender]]="F","Female", [1]!orders[[#This Row],[Customer Gender]]="O","Other", TRUE,"Unknown")</f>
        <v>Female</v>
      </c>
    </row>
    <row r="1242" spans="1:15" x14ac:dyDescent="0.25">
      <c r="A1242" s="1" t="s">
        <v>1324</v>
      </c>
      <c r="B1242" s="1" t="s">
        <v>7</v>
      </c>
      <c r="C1242" s="1">
        <v>2</v>
      </c>
      <c r="D1242" s="1">
        <v>77.5</v>
      </c>
      <c r="E1242" s="1">
        <v>155</v>
      </c>
      <c r="F1242" s="2">
        <v>45706</v>
      </c>
      <c r="G1242" s="2">
        <v>45707</v>
      </c>
      <c r="H1242" s="1" t="s">
        <v>2</v>
      </c>
      <c r="I1242" s="1" t="s">
        <v>25</v>
      </c>
      <c r="J1242" s="1">
        <v>5</v>
      </c>
      <c r="K1242" s="1" t="s">
        <v>4</v>
      </c>
      <c r="L1242" s="1" t="s">
        <v>67</v>
      </c>
      <c r="M1242" s="1">
        <f>[1]!orders[[#This Row],[Ship Date]]-[1]!orders[[#This Row],[Order Date]]</f>
        <v>1</v>
      </c>
      <c r="N1242" s="1">
        <f>WEEKNUM([1]!orders[[#This Row],[Order Date]])</f>
        <v>8</v>
      </c>
      <c r="O1242" t="str" cm="1">
        <f t="array" ref="O1242">_xlfn.IFS([1]!orders[[#This Row],[Customer Gender]]="M","Male", [1]!orders[[#This Row],[Customer Gender]]="F","Female", [1]!orders[[#This Row],[Customer Gender]]="O","Other", TRUE,"Unknown")</f>
        <v>Unknown</v>
      </c>
    </row>
    <row r="1243" spans="1:15" x14ac:dyDescent="0.25">
      <c r="A1243" t="s">
        <v>1325</v>
      </c>
      <c r="B1243" t="s">
        <v>11</v>
      </c>
      <c r="C1243">
        <v>2</v>
      </c>
      <c r="D1243">
        <v>163</v>
      </c>
      <c r="E1243">
        <v>326</v>
      </c>
      <c r="F1243" s="3">
        <v>45706</v>
      </c>
      <c r="G1243" s="3">
        <v>45712</v>
      </c>
      <c r="H1243" t="s">
        <v>12</v>
      </c>
      <c r="I1243" t="s">
        <v>55</v>
      </c>
      <c r="J1243">
        <v>4</v>
      </c>
      <c r="K1243" t="s">
        <v>4</v>
      </c>
      <c r="L1243" t="s">
        <v>100</v>
      </c>
      <c r="M1243">
        <f>[1]!orders[[#This Row],[Ship Date]]-[1]!orders[[#This Row],[Order Date]]</f>
        <v>6</v>
      </c>
      <c r="N1243">
        <f>WEEKNUM([1]!orders[[#This Row],[Order Date]])</f>
        <v>8</v>
      </c>
      <c r="O1243" t="str" cm="1">
        <f t="array" ref="O1243">_xlfn.IFS([1]!orders[[#This Row],[Customer Gender]]="M","Male", [1]!orders[[#This Row],[Customer Gender]]="F","Female", [1]!orders[[#This Row],[Customer Gender]]="O","Other", TRUE,"Unknown")</f>
        <v>Female</v>
      </c>
    </row>
    <row r="1244" spans="1:15" x14ac:dyDescent="0.25">
      <c r="A1244" s="1" t="s">
        <v>1326</v>
      </c>
      <c r="B1244" s="1" t="s">
        <v>17</v>
      </c>
      <c r="C1244" s="1">
        <v>9</v>
      </c>
      <c r="D1244" s="1">
        <v>21.4</v>
      </c>
      <c r="E1244" s="1">
        <v>192.6</v>
      </c>
      <c r="F1244" s="2">
        <v>45706</v>
      </c>
      <c r="G1244" s="2">
        <v>45709</v>
      </c>
      <c r="H1244" s="1" t="s">
        <v>12</v>
      </c>
      <c r="I1244" s="1" t="s">
        <v>3</v>
      </c>
      <c r="J1244" s="1">
        <v>4</v>
      </c>
      <c r="K1244" s="1" t="s">
        <v>4</v>
      </c>
      <c r="L1244" s="1" t="s">
        <v>952</v>
      </c>
      <c r="M1244" s="1">
        <f>[1]!orders[[#This Row],[Ship Date]]-[1]!orders[[#This Row],[Order Date]]</f>
        <v>3</v>
      </c>
      <c r="N1244" s="1">
        <f>WEEKNUM([1]!orders[[#This Row],[Order Date]])</f>
        <v>8</v>
      </c>
      <c r="O1244" t="str" cm="1">
        <f t="array" ref="O1244">_xlfn.IFS([1]!orders[[#This Row],[Customer Gender]]="M","Male", [1]!orders[[#This Row],[Customer Gender]]="F","Female", [1]!orders[[#This Row],[Customer Gender]]="O","Other", TRUE,"Unknown")</f>
        <v>Female</v>
      </c>
    </row>
    <row r="1245" spans="1:15" x14ac:dyDescent="0.25">
      <c r="A1245" t="s">
        <v>1327</v>
      </c>
      <c r="B1245" t="s">
        <v>39</v>
      </c>
      <c r="C1245">
        <v>11</v>
      </c>
      <c r="D1245">
        <v>31</v>
      </c>
      <c r="E1245">
        <v>341</v>
      </c>
      <c r="F1245" s="3">
        <v>45706</v>
      </c>
      <c r="G1245" s="3">
        <v>45708</v>
      </c>
      <c r="H1245" t="s">
        <v>12</v>
      </c>
      <c r="I1245" t="s">
        <v>36</v>
      </c>
      <c r="J1245">
        <v>5</v>
      </c>
      <c r="K1245" t="s">
        <v>4</v>
      </c>
      <c r="L1245" t="s">
        <v>9</v>
      </c>
      <c r="M1245">
        <f>[1]!orders[[#This Row],[Ship Date]]-[1]!orders[[#This Row],[Order Date]]</f>
        <v>2</v>
      </c>
      <c r="N1245">
        <f>WEEKNUM([1]!orders[[#This Row],[Order Date]])</f>
        <v>8</v>
      </c>
      <c r="O1245" t="str" cm="1">
        <f t="array" ref="O1245">_xlfn.IFS([1]!orders[[#This Row],[Customer Gender]]="M","Male", [1]!orders[[#This Row],[Customer Gender]]="F","Female", [1]!orders[[#This Row],[Customer Gender]]="O","Other", TRUE,"Unknown")</f>
        <v>Female</v>
      </c>
    </row>
    <row r="1246" spans="1:15" x14ac:dyDescent="0.25">
      <c r="A1246" s="1" t="s">
        <v>1328</v>
      </c>
      <c r="B1246" s="1" t="s">
        <v>27</v>
      </c>
      <c r="C1246" s="1">
        <v>2</v>
      </c>
      <c r="D1246" s="1">
        <v>34.299999999999997</v>
      </c>
      <c r="E1246" s="1">
        <v>68.599999999999994</v>
      </c>
      <c r="F1246" s="2">
        <v>45706</v>
      </c>
      <c r="G1246" s="2">
        <v>45708</v>
      </c>
      <c r="H1246" s="1" t="s">
        <v>12</v>
      </c>
      <c r="I1246" s="1" t="s">
        <v>3</v>
      </c>
      <c r="J1246" s="1">
        <v>1</v>
      </c>
      <c r="K1246" s="1" t="s">
        <v>4</v>
      </c>
      <c r="L1246" s="1" t="s">
        <v>9</v>
      </c>
      <c r="M1246" s="1">
        <f>[1]!orders[[#This Row],[Ship Date]]-[1]!orders[[#This Row],[Order Date]]</f>
        <v>2</v>
      </c>
      <c r="N1246" s="1">
        <f>WEEKNUM([1]!orders[[#This Row],[Order Date]])</f>
        <v>8</v>
      </c>
      <c r="O1246" t="str" cm="1">
        <f t="array" ref="O1246">_xlfn.IFS([1]!orders[[#This Row],[Customer Gender]]="M","Male", [1]!orders[[#This Row],[Customer Gender]]="F","Female", [1]!orders[[#This Row],[Customer Gender]]="O","Other", TRUE,"Unknown")</f>
        <v>Female</v>
      </c>
    </row>
    <row r="1247" spans="1:15" x14ac:dyDescent="0.25">
      <c r="A1247" t="s">
        <v>1329</v>
      </c>
      <c r="B1247" t="s">
        <v>120</v>
      </c>
      <c r="C1247">
        <v>5</v>
      </c>
      <c r="D1247">
        <v>48.2</v>
      </c>
      <c r="E1247">
        <v>241</v>
      </c>
      <c r="F1247" s="3">
        <v>45706</v>
      </c>
      <c r="G1247" s="3">
        <v>45707</v>
      </c>
      <c r="H1247" t="s">
        <v>8</v>
      </c>
      <c r="I1247" t="s">
        <v>20</v>
      </c>
      <c r="J1247">
        <v>3</v>
      </c>
      <c r="K1247" t="s">
        <v>4</v>
      </c>
      <c r="L1247" t="s">
        <v>13</v>
      </c>
      <c r="M1247">
        <f>[1]!orders[[#This Row],[Ship Date]]-[1]!orders[[#This Row],[Order Date]]</f>
        <v>1</v>
      </c>
      <c r="N1247">
        <f>WEEKNUM([1]!orders[[#This Row],[Order Date]])</f>
        <v>8</v>
      </c>
      <c r="O1247" t="str" cm="1">
        <f t="array" ref="O1247">_xlfn.IFS([1]!orders[[#This Row],[Customer Gender]]="M","Male", [1]!orders[[#This Row],[Customer Gender]]="F","Female", [1]!orders[[#This Row],[Customer Gender]]="O","Other", TRUE,"Unknown")</f>
        <v>Male</v>
      </c>
    </row>
    <row r="1248" spans="1:15" x14ac:dyDescent="0.25">
      <c r="A1248" s="1" t="s">
        <v>1330</v>
      </c>
      <c r="B1248" s="1" t="s">
        <v>39</v>
      </c>
      <c r="C1248" s="1">
        <v>1</v>
      </c>
      <c r="D1248" s="1">
        <v>51.4</v>
      </c>
      <c r="E1248" s="1">
        <v>51.4</v>
      </c>
      <c r="F1248" s="2">
        <v>45706</v>
      </c>
      <c r="G1248" s="2">
        <v>45707</v>
      </c>
      <c r="H1248" s="1" t="s">
        <v>8</v>
      </c>
      <c r="I1248" s="1" t="s">
        <v>3</v>
      </c>
      <c r="J1248" s="1">
        <v>4</v>
      </c>
      <c r="K1248" s="1" t="s">
        <v>4</v>
      </c>
      <c r="L1248" s="1" t="s">
        <v>18</v>
      </c>
      <c r="M1248" s="1">
        <f>[1]!orders[[#This Row],[Ship Date]]-[1]!orders[[#This Row],[Order Date]]</f>
        <v>1</v>
      </c>
      <c r="N1248" s="1">
        <f>WEEKNUM([1]!orders[[#This Row],[Order Date]])</f>
        <v>8</v>
      </c>
      <c r="O1248" t="str" cm="1">
        <f t="array" ref="O1248">_xlfn.IFS([1]!orders[[#This Row],[Customer Gender]]="M","Male", [1]!orders[[#This Row],[Customer Gender]]="F","Female", [1]!orders[[#This Row],[Customer Gender]]="O","Other", TRUE,"Unknown")</f>
        <v>Male</v>
      </c>
    </row>
    <row r="1249" spans="1:15" x14ac:dyDescent="0.25">
      <c r="A1249" t="s">
        <v>1331</v>
      </c>
      <c r="B1249" t="s">
        <v>11</v>
      </c>
      <c r="C1249">
        <v>5</v>
      </c>
      <c r="D1249">
        <v>117.2</v>
      </c>
      <c r="E1249">
        <v>586</v>
      </c>
      <c r="F1249" s="3">
        <v>45706</v>
      </c>
      <c r="G1249" s="3">
        <v>45709</v>
      </c>
      <c r="H1249" t="s">
        <v>12</v>
      </c>
      <c r="I1249" t="s">
        <v>55</v>
      </c>
      <c r="J1249">
        <v>2</v>
      </c>
      <c r="K1249" t="s">
        <v>4</v>
      </c>
      <c r="L1249" t="s">
        <v>18</v>
      </c>
      <c r="M1249">
        <f>[1]!orders[[#This Row],[Ship Date]]-[1]!orders[[#This Row],[Order Date]]</f>
        <v>3</v>
      </c>
      <c r="N1249">
        <f>WEEKNUM([1]!orders[[#This Row],[Order Date]])</f>
        <v>8</v>
      </c>
      <c r="O1249" t="str" cm="1">
        <f t="array" ref="O1249">_xlfn.IFS([1]!orders[[#This Row],[Customer Gender]]="M","Male", [1]!orders[[#This Row],[Customer Gender]]="F","Female", [1]!orders[[#This Row],[Customer Gender]]="O","Other", TRUE,"Unknown")</f>
        <v>Female</v>
      </c>
    </row>
    <row r="1250" spans="1:15" x14ac:dyDescent="0.25">
      <c r="A1250" s="1" t="s">
        <v>1332</v>
      </c>
      <c r="B1250" s="1" t="s">
        <v>29</v>
      </c>
      <c r="C1250" s="1">
        <v>1</v>
      </c>
      <c r="D1250" s="1">
        <v>38.1</v>
      </c>
      <c r="E1250" s="1">
        <v>38.1</v>
      </c>
      <c r="F1250" s="2">
        <v>45706</v>
      </c>
      <c r="G1250" s="2">
        <v>45706</v>
      </c>
      <c r="H1250" s="1" t="s">
        <v>8</v>
      </c>
      <c r="I1250" s="1" t="s">
        <v>55</v>
      </c>
      <c r="J1250" s="1">
        <v>3</v>
      </c>
      <c r="K1250" s="1" t="s">
        <v>4</v>
      </c>
      <c r="L1250" s="1" t="s">
        <v>18</v>
      </c>
      <c r="M1250" s="1">
        <f>[1]!orders[[#This Row],[Ship Date]]-[1]!orders[[#This Row],[Order Date]]</f>
        <v>0</v>
      </c>
      <c r="N1250" s="1">
        <f>WEEKNUM([1]!orders[[#This Row],[Order Date]])</f>
        <v>8</v>
      </c>
      <c r="O1250" t="str" cm="1">
        <f t="array" ref="O1250">_xlfn.IFS([1]!orders[[#This Row],[Customer Gender]]="M","Male", [1]!orders[[#This Row],[Customer Gender]]="F","Female", [1]!orders[[#This Row],[Customer Gender]]="O","Other", TRUE,"Unknown")</f>
        <v>Male</v>
      </c>
    </row>
    <row r="1251" spans="1:15" x14ac:dyDescent="0.25">
      <c r="A1251" t="s">
        <v>1333</v>
      </c>
      <c r="B1251" t="s">
        <v>1</v>
      </c>
      <c r="C1251">
        <v>2</v>
      </c>
      <c r="D1251">
        <v>44.1</v>
      </c>
      <c r="E1251">
        <v>88.2</v>
      </c>
      <c r="F1251" s="3">
        <v>45706</v>
      </c>
      <c r="G1251" s="3">
        <v>45708</v>
      </c>
      <c r="H1251" t="s">
        <v>12</v>
      </c>
      <c r="I1251" t="s">
        <v>25</v>
      </c>
      <c r="J1251">
        <v>4</v>
      </c>
      <c r="K1251" t="s">
        <v>4</v>
      </c>
      <c r="L1251" t="s">
        <v>18</v>
      </c>
      <c r="M1251">
        <f>[1]!orders[[#This Row],[Ship Date]]-[1]!orders[[#This Row],[Order Date]]</f>
        <v>2</v>
      </c>
      <c r="N1251">
        <f>WEEKNUM([1]!orders[[#This Row],[Order Date]])</f>
        <v>8</v>
      </c>
      <c r="O1251" t="str" cm="1">
        <f t="array" ref="O1251">_xlfn.IFS([1]!orders[[#This Row],[Customer Gender]]="M","Male", [1]!orders[[#This Row],[Customer Gender]]="F","Female", [1]!orders[[#This Row],[Customer Gender]]="O","Other", TRUE,"Unknown")</f>
        <v>Female</v>
      </c>
    </row>
    <row r="1252" spans="1:15" x14ac:dyDescent="0.25">
      <c r="A1252" s="1" t="s">
        <v>1334</v>
      </c>
      <c r="B1252" s="1" t="s">
        <v>108</v>
      </c>
      <c r="C1252" s="1">
        <v>4</v>
      </c>
      <c r="D1252" s="1">
        <v>80.5</v>
      </c>
      <c r="E1252" s="1">
        <v>322</v>
      </c>
      <c r="F1252" s="2">
        <v>45706</v>
      </c>
      <c r="G1252" s="2">
        <v>45711</v>
      </c>
      <c r="H1252" s="1" t="s">
        <v>8</v>
      </c>
      <c r="I1252" s="1" t="s">
        <v>3</v>
      </c>
      <c r="J1252" s="1">
        <v>4</v>
      </c>
      <c r="K1252" s="1" t="s">
        <v>4</v>
      </c>
      <c r="L1252" s="1" t="s">
        <v>18</v>
      </c>
      <c r="M1252" s="1">
        <f>[1]!orders[[#This Row],[Ship Date]]-[1]!orders[[#This Row],[Order Date]]</f>
        <v>5</v>
      </c>
      <c r="N1252" s="1">
        <f>WEEKNUM([1]!orders[[#This Row],[Order Date]])</f>
        <v>8</v>
      </c>
      <c r="O1252" t="str" cm="1">
        <f t="array" ref="O1252">_xlfn.IFS([1]!orders[[#This Row],[Customer Gender]]="M","Male", [1]!orders[[#This Row],[Customer Gender]]="F","Female", [1]!orders[[#This Row],[Customer Gender]]="O","Other", TRUE,"Unknown")</f>
        <v>Male</v>
      </c>
    </row>
    <row r="1253" spans="1:15" x14ac:dyDescent="0.25">
      <c r="A1253" t="s">
        <v>1335</v>
      </c>
      <c r="B1253" t="s">
        <v>131</v>
      </c>
      <c r="C1253">
        <v>4</v>
      </c>
      <c r="D1253">
        <v>33.6</v>
      </c>
      <c r="E1253">
        <v>134.4</v>
      </c>
      <c r="F1253" s="3">
        <v>45706</v>
      </c>
      <c r="G1253" s="3">
        <v>45711</v>
      </c>
      <c r="H1253" t="s">
        <v>2</v>
      </c>
      <c r="I1253" t="s">
        <v>3</v>
      </c>
      <c r="J1253">
        <v>5</v>
      </c>
      <c r="K1253" t="s">
        <v>4</v>
      </c>
      <c r="L1253" t="s">
        <v>18</v>
      </c>
      <c r="M1253">
        <f>[1]!orders[[#This Row],[Ship Date]]-[1]!orders[[#This Row],[Order Date]]</f>
        <v>5</v>
      </c>
      <c r="N1253">
        <f>WEEKNUM([1]!orders[[#This Row],[Order Date]])</f>
        <v>8</v>
      </c>
      <c r="O1253" t="str" cm="1">
        <f t="array" ref="O1253">_xlfn.IFS([1]!orders[[#This Row],[Customer Gender]]="M","Male", [1]!orders[[#This Row],[Customer Gender]]="F","Female", [1]!orders[[#This Row],[Customer Gender]]="O","Other", TRUE,"Unknown")</f>
        <v>Unknown</v>
      </c>
    </row>
    <row r="1254" spans="1:15" x14ac:dyDescent="0.25">
      <c r="A1254" s="1" t="s">
        <v>1336</v>
      </c>
      <c r="B1254" s="1" t="s">
        <v>31</v>
      </c>
      <c r="C1254" s="1">
        <v>9</v>
      </c>
      <c r="D1254" s="1">
        <v>41.8</v>
      </c>
      <c r="E1254" s="1">
        <v>376.2</v>
      </c>
      <c r="F1254" s="2">
        <v>45706</v>
      </c>
      <c r="G1254" s="2">
        <v>45707</v>
      </c>
      <c r="H1254" s="1" t="s">
        <v>12</v>
      </c>
      <c r="I1254" s="1" t="s">
        <v>3</v>
      </c>
      <c r="J1254" s="1">
        <v>3</v>
      </c>
      <c r="K1254" s="1" t="s">
        <v>4</v>
      </c>
      <c r="L1254" s="1" t="s">
        <v>18</v>
      </c>
      <c r="M1254" s="1">
        <f>[1]!orders[[#This Row],[Ship Date]]-[1]!orders[[#This Row],[Order Date]]</f>
        <v>1</v>
      </c>
      <c r="N1254" s="1">
        <f>WEEKNUM([1]!orders[[#This Row],[Order Date]])</f>
        <v>8</v>
      </c>
      <c r="O1254" t="str" cm="1">
        <f t="array" ref="O1254">_xlfn.IFS([1]!orders[[#This Row],[Customer Gender]]="M","Male", [1]!orders[[#This Row],[Customer Gender]]="F","Female", [1]!orders[[#This Row],[Customer Gender]]="O","Other", TRUE,"Unknown")</f>
        <v>Female</v>
      </c>
    </row>
    <row r="1255" spans="1:15" x14ac:dyDescent="0.25">
      <c r="A1255" t="s">
        <v>1337</v>
      </c>
      <c r="B1255" t="s">
        <v>7</v>
      </c>
      <c r="C1255">
        <v>2</v>
      </c>
      <c r="D1255">
        <v>106.2</v>
      </c>
      <c r="E1255">
        <v>212.4</v>
      </c>
      <c r="F1255" s="3">
        <v>45706</v>
      </c>
      <c r="G1255" s="3">
        <v>45706</v>
      </c>
      <c r="H1255" t="s">
        <v>12</v>
      </c>
      <c r="I1255" t="s">
        <v>55</v>
      </c>
      <c r="J1255">
        <v>5</v>
      </c>
      <c r="K1255" t="s">
        <v>4</v>
      </c>
      <c r="L1255" t="s">
        <v>18</v>
      </c>
      <c r="M1255">
        <f>[1]!orders[[#This Row],[Ship Date]]-[1]!orders[[#This Row],[Order Date]]</f>
        <v>0</v>
      </c>
      <c r="N1255">
        <f>WEEKNUM([1]!orders[[#This Row],[Order Date]])</f>
        <v>8</v>
      </c>
      <c r="O1255" t="str" cm="1">
        <f t="array" ref="O1255">_xlfn.IFS([1]!orders[[#This Row],[Customer Gender]]="M","Male", [1]!orders[[#This Row],[Customer Gender]]="F","Female", [1]!orders[[#This Row],[Customer Gender]]="O","Other", TRUE,"Unknown")</f>
        <v>Female</v>
      </c>
    </row>
    <row r="1256" spans="1:15" x14ac:dyDescent="0.25">
      <c r="A1256" s="1" t="s">
        <v>1338</v>
      </c>
      <c r="B1256" s="1" t="s">
        <v>7</v>
      </c>
      <c r="C1256" s="1">
        <v>2</v>
      </c>
      <c r="D1256" s="1">
        <v>52.6</v>
      </c>
      <c r="E1256" s="1">
        <v>105.2</v>
      </c>
      <c r="F1256" s="2">
        <v>45706</v>
      </c>
      <c r="G1256" s="2">
        <v>45707</v>
      </c>
      <c r="H1256" s="1" t="s">
        <v>12</v>
      </c>
      <c r="I1256" s="1" t="s">
        <v>3</v>
      </c>
      <c r="J1256" s="1">
        <v>5</v>
      </c>
      <c r="K1256" s="1" t="s">
        <v>4</v>
      </c>
      <c r="L1256" s="1" t="s">
        <v>37</v>
      </c>
      <c r="M1256" s="1">
        <f>[1]!orders[[#This Row],[Ship Date]]-[1]!orders[[#This Row],[Order Date]]</f>
        <v>1</v>
      </c>
      <c r="N1256" s="1">
        <f>WEEKNUM([1]!orders[[#This Row],[Order Date]])</f>
        <v>8</v>
      </c>
      <c r="O1256" t="str" cm="1">
        <f t="array" ref="O1256">_xlfn.IFS([1]!orders[[#This Row],[Customer Gender]]="M","Male", [1]!orders[[#This Row],[Customer Gender]]="F","Female", [1]!orders[[#This Row],[Customer Gender]]="O","Other", TRUE,"Unknown")</f>
        <v>Female</v>
      </c>
    </row>
    <row r="1257" spans="1:15" x14ac:dyDescent="0.25">
      <c r="A1257" t="s">
        <v>1339</v>
      </c>
      <c r="B1257" t="s">
        <v>52</v>
      </c>
      <c r="C1257">
        <v>7</v>
      </c>
      <c r="D1257">
        <v>68.5</v>
      </c>
      <c r="E1257">
        <v>479.5</v>
      </c>
      <c r="F1257" s="3">
        <v>45706</v>
      </c>
      <c r="G1257" s="3">
        <v>45707</v>
      </c>
      <c r="H1257" t="s">
        <v>12</v>
      </c>
      <c r="I1257" t="s">
        <v>20</v>
      </c>
      <c r="J1257">
        <v>4</v>
      </c>
      <c r="K1257" t="s">
        <v>4</v>
      </c>
      <c r="L1257" t="s">
        <v>37</v>
      </c>
      <c r="M1257">
        <f>[1]!orders[[#This Row],[Ship Date]]-[1]!orders[[#This Row],[Order Date]]</f>
        <v>1</v>
      </c>
      <c r="N1257">
        <f>WEEKNUM([1]!orders[[#This Row],[Order Date]])</f>
        <v>8</v>
      </c>
      <c r="O1257" t="str" cm="1">
        <f t="array" ref="O1257">_xlfn.IFS([1]!orders[[#This Row],[Customer Gender]]="M","Male", [1]!orders[[#This Row],[Customer Gender]]="F","Female", [1]!orders[[#This Row],[Customer Gender]]="O","Other", TRUE,"Unknown")</f>
        <v>Female</v>
      </c>
    </row>
    <row r="1258" spans="1:15" x14ac:dyDescent="0.25">
      <c r="A1258" s="1" t="s">
        <v>1340</v>
      </c>
      <c r="B1258" s="1" t="s">
        <v>7</v>
      </c>
      <c r="C1258" s="1">
        <v>2</v>
      </c>
      <c r="D1258" s="1">
        <v>55.6</v>
      </c>
      <c r="E1258" s="1">
        <v>111.2</v>
      </c>
      <c r="F1258" s="2">
        <v>45706</v>
      </c>
      <c r="G1258" s="2">
        <v>45708</v>
      </c>
      <c r="H1258" s="1" t="s">
        <v>8</v>
      </c>
      <c r="I1258" s="1" t="s">
        <v>20</v>
      </c>
      <c r="J1258" s="1">
        <v>5</v>
      </c>
      <c r="K1258" s="1" t="s">
        <v>4</v>
      </c>
      <c r="L1258" s="1" t="s">
        <v>40</v>
      </c>
      <c r="M1258" s="1">
        <f>[1]!orders[[#This Row],[Ship Date]]-[1]!orders[[#This Row],[Order Date]]</f>
        <v>2</v>
      </c>
      <c r="N1258" s="1">
        <f>WEEKNUM([1]!orders[[#This Row],[Order Date]])</f>
        <v>8</v>
      </c>
      <c r="O1258" t="str" cm="1">
        <f t="array" ref="O1258">_xlfn.IFS([1]!orders[[#This Row],[Customer Gender]]="M","Male", [1]!orders[[#This Row],[Customer Gender]]="F","Female", [1]!orders[[#This Row],[Customer Gender]]="O","Other", TRUE,"Unknown")</f>
        <v>Male</v>
      </c>
    </row>
    <row r="1259" spans="1:15" x14ac:dyDescent="0.25">
      <c r="A1259" t="s">
        <v>1341</v>
      </c>
      <c r="B1259" t="s">
        <v>11</v>
      </c>
      <c r="C1259">
        <v>3</v>
      </c>
      <c r="D1259">
        <v>134.9</v>
      </c>
      <c r="E1259">
        <v>404.70000000000005</v>
      </c>
      <c r="F1259" s="3">
        <v>45706</v>
      </c>
      <c r="G1259" s="3">
        <v>45707</v>
      </c>
      <c r="H1259" t="s">
        <v>8</v>
      </c>
      <c r="I1259" t="s">
        <v>20</v>
      </c>
      <c r="J1259">
        <v>3</v>
      </c>
      <c r="K1259" t="s">
        <v>4</v>
      </c>
      <c r="L1259" t="s">
        <v>40</v>
      </c>
      <c r="M1259">
        <f>[1]!orders[[#This Row],[Ship Date]]-[1]!orders[[#This Row],[Order Date]]</f>
        <v>1</v>
      </c>
      <c r="N1259">
        <f>WEEKNUM([1]!orders[[#This Row],[Order Date]])</f>
        <v>8</v>
      </c>
      <c r="O1259" t="str" cm="1">
        <f t="array" ref="O1259">_xlfn.IFS([1]!orders[[#This Row],[Customer Gender]]="M","Male", [1]!orders[[#This Row],[Customer Gender]]="F","Female", [1]!orders[[#This Row],[Customer Gender]]="O","Other", TRUE,"Unknown")</f>
        <v>Male</v>
      </c>
    </row>
    <row r="1260" spans="1:15" x14ac:dyDescent="0.25">
      <c r="A1260" s="1" t="s">
        <v>1342</v>
      </c>
      <c r="B1260" s="1" t="s">
        <v>39</v>
      </c>
      <c r="C1260" s="1">
        <v>5</v>
      </c>
      <c r="D1260" s="1">
        <v>42.6</v>
      </c>
      <c r="E1260" s="1">
        <v>213</v>
      </c>
      <c r="F1260" s="2">
        <v>45706</v>
      </c>
      <c r="G1260" s="2">
        <v>45707</v>
      </c>
      <c r="H1260" s="1" t="s">
        <v>8</v>
      </c>
      <c r="I1260" s="1" t="s">
        <v>3</v>
      </c>
      <c r="J1260" s="1">
        <v>4</v>
      </c>
      <c r="K1260" s="1" t="s">
        <v>4</v>
      </c>
      <c r="L1260" s="1" t="s">
        <v>40</v>
      </c>
      <c r="M1260" s="1">
        <f>[1]!orders[[#This Row],[Ship Date]]-[1]!orders[[#This Row],[Order Date]]</f>
        <v>1</v>
      </c>
      <c r="N1260" s="1">
        <f>WEEKNUM([1]!orders[[#This Row],[Order Date]])</f>
        <v>8</v>
      </c>
      <c r="O1260" t="str" cm="1">
        <f t="array" ref="O1260">_xlfn.IFS([1]!orders[[#This Row],[Customer Gender]]="M","Male", [1]!orders[[#This Row],[Customer Gender]]="F","Female", [1]!orders[[#This Row],[Customer Gender]]="O","Other", TRUE,"Unknown")</f>
        <v>Male</v>
      </c>
    </row>
    <row r="1261" spans="1:15" x14ac:dyDescent="0.25">
      <c r="A1261" t="s">
        <v>1343</v>
      </c>
      <c r="B1261" t="s">
        <v>27</v>
      </c>
      <c r="C1261">
        <v>5</v>
      </c>
      <c r="D1261">
        <v>60.6</v>
      </c>
      <c r="E1261">
        <v>303</v>
      </c>
      <c r="F1261" s="3">
        <v>45706</v>
      </c>
      <c r="G1261" s="3">
        <v>45708</v>
      </c>
      <c r="H1261" t="s">
        <v>8</v>
      </c>
      <c r="I1261" t="s">
        <v>55</v>
      </c>
      <c r="J1261">
        <v>4</v>
      </c>
      <c r="K1261" t="s">
        <v>4</v>
      </c>
      <c r="L1261" t="s">
        <v>40</v>
      </c>
      <c r="M1261">
        <f>[1]!orders[[#This Row],[Ship Date]]-[1]!orders[[#This Row],[Order Date]]</f>
        <v>2</v>
      </c>
      <c r="N1261">
        <f>WEEKNUM([1]!orders[[#This Row],[Order Date]])</f>
        <v>8</v>
      </c>
      <c r="O1261" t="str" cm="1">
        <f t="array" ref="O1261">_xlfn.IFS([1]!orders[[#This Row],[Customer Gender]]="M","Male", [1]!orders[[#This Row],[Customer Gender]]="F","Female", [1]!orders[[#This Row],[Customer Gender]]="O","Other", TRUE,"Unknown")</f>
        <v>Male</v>
      </c>
    </row>
    <row r="1262" spans="1:15" x14ac:dyDescent="0.25">
      <c r="A1262" s="1" t="s">
        <v>1344</v>
      </c>
      <c r="B1262" s="1" t="s">
        <v>29</v>
      </c>
      <c r="C1262" s="1">
        <v>2</v>
      </c>
      <c r="D1262" s="1">
        <v>43.5</v>
      </c>
      <c r="E1262" s="1">
        <v>87</v>
      </c>
      <c r="F1262" s="2">
        <v>45706</v>
      </c>
      <c r="G1262" s="2">
        <v>45707</v>
      </c>
      <c r="H1262" s="1" t="s">
        <v>8</v>
      </c>
      <c r="I1262" s="1" t="s">
        <v>55</v>
      </c>
      <c r="J1262" s="1">
        <v>4</v>
      </c>
      <c r="K1262" s="1" t="s">
        <v>4</v>
      </c>
      <c r="L1262" s="1" t="s">
        <v>44</v>
      </c>
      <c r="M1262" s="1">
        <f>[1]!orders[[#This Row],[Ship Date]]-[1]!orders[[#This Row],[Order Date]]</f>
        <v>1</v>
      </c>
      <c r="N1262" s="1">
        <f>WEEKNUM([1]!orders[[#This Row],[Order Date]])</f>
        <v>8</v>
      </c>
      <c r="O1262" t="str" cm="1">
        <f t="array" ref="O1262">_xlfn.IFS([1]!orders[[#This Row],[Customer Gender]]="M","Male", [1]!orders[[#This Row],[Customer Gender]]="F","Female", [1]!orders[[#This Row],[Customer Gender]]="O","Other", TRUE,"Unknown")</f>
        <v>Male</v>
      </c>
    </row>
    <row r="1263" spans="1:15" x14ac:dyDescent="0.25">
      <c r="A1263" t="s">
        <v>1345</v>
      </c>
      <c r="B1263" t="s">
        <v>11</v>
      </c>
      <c r="C1263">
        <v>2</v>
      </c>
      <c r="D1263">
        <v>187.1</v>
      </c>
      <c r="E1263">
        <v>374.2</v>
      </c>
      <c r="F1263" s="3">
        <v>45706</v>
      </c>
      <c r="G1263" s="3">
        <v>45707</v>
      </c>
      <c r="H1263" t="s">
        <v>8</v>
      </c>
      <c r="I1263" t="s">
        <v>20</v>
      </c>
      <c r="J1263">
        <v>5</v>
      </c>
      <c r="K1263" t="s">
        <v>4</v>
      </c>
      <c r="L1263" t="s">
        <v>47</v>
      </c>
      <c r="M1263">
        <f>[1]!orders[[#This Row],[Ship Date]]-[1]!orders[[#This Row],[Order Date]]</f>
        <v>1</v>
      </c>
      <c r="N1263">
        <f>WEEKNUM([1]!orders[[#This Row],[Order Date]])</f>
        <v>8</v>
      </c>
      <c r="O1263" t="str" cm="1">
        <f t="array" ref="O1263">_xlfn.IFS([1]!orders[[#This Row],[Customer Gender]]="M","Male", [1]!orders[[#This Row],[Customer Gender]]="F","Female", [1]!orders[[#This Row],[Customer Gender]]="O","Other", TRUE,"Unknown")</f>
        <v>Male</v>
      </c>
    </row>
    <row r="1264" spans="1:15" x14ac:dyDescent="0.25">
      <c r="A1264" s="1" t="s">
        <v>1346</v>
      </c>
      <c r="B1264" s="1" t="s">
        <v>31</v>
      </c>
      <c r="C1264" s="1">
        <v>3</v>
      </c>
      <c r="D1264" s="1">
        <v>32</v>
      </c>
      <c r="E1264" s="1">
        <v>96</v>
      </c>
      <c r="F1264" s="2">
        <v>45706</v>
      </c>
      <c r="G1264" s="2">
        <v>45708</v>
      </c>
      <c r="H1264" s="1" t="s">
        <v>8</v>
      </c>
      <c r="I1264" s="1" t="s">
        <v>3</v>
      </c>
      <c r="J1264" s="1">
        <v>4</v>
      </c>
      <c r="K1264" s="1" t="s">
        <v>4</v>
      </c>
      <c r="L1264" s="1" t="s">
        <v>47</v>
      </c>
      <c r="M1264" s="1">
        <f>[1]!orders[[#This Row],[Ship Date]]-[1]!orders[[#This Row],[Order Date]]</f>
        <v>2</v>
      </c>
      <c r="N1264" s="1">
        <f>WEEKNUM([1]!orders[[#This Row],[Order Date]])</f>
        <v>8</v>
      </c>
      <c r="O1264" t="str" cm="1">
        <f t="array" ref="O1264">_xlfn.IFS([1]!orders[[#This Row],[Customer Gender]]="M","Male", [1]!orders[[#This Row],[Customer Gender]]="F","Female", [1]!orders[[#This Row],[Customer Gender]]="O","Other", TRUE,"Unknown")</f>
        <v>Male</v>
      </c>
    </row>
    <row r="1265" spans="1:15" x14ac:dyDescent="0.25">
      <c r="A1265" t="s">
        <v>1347</v>
      </c>
      <c r="B1265" t="s">
        <v>31</v>
      </c>
      <c r="C1265">
        <v>2</v>
      </c>
      <c r="D1265">
        <v>110.8</v>
      </c>
      <c r="E1265">
        <v>221.6</v>
      </c>
      <c r="F1265" s="3">
        <v>45706</v>
      </c>
      <c r="G1265" s="3">
        <v>45706</v>
      </c>
      <c r="H1265" t="s">
        <v>8</v>
      </c>
      <c r="I1265" t="s">
        <v>3</v>
      </c>
      <c r="J1265">
        <v>5</v>
      </c>
      <c r="K1265" t="s">
        <v>4</v>
      </c>
      <c r="L1265" t="s">
        <v>47</v>
      </c>
      <c r="M1265">
        <f>[1]!orders[[#This Row],[Ship Date]]-[1]!orders[[#This Row],[Order Date]]</f>
        <v>0</v>
      </c>
      <c r="N1265">
        <f>WEEKNUM([1]!orders[[#This Row],[Order Date]])</f>
        <v>8</v>
      </c>
      <c r="O1265" t="str" cm="1">
        <f t="array" ref="O1265">_xlfn.IFS([1]!orders[[#This Row],[Customer Gender]]="M","Male", [1]!orders[[#This Row],[Customer Gender]]="F","Female", [1]!orders[[#This Row],[Customer Gender]]="O","Other", TRUE,"Unknown")</f>
        <v>Male</v>
      </c>
    </row>
    <row r="1266" spans="1:15" x14ac:dyDescent="0.25">
      <c r="A1266" s="1" t="s">
        <v>1348</v>
      </c>
      <c r="B1266" s="1" t="s">
        <v>39</v>
      </c>
      <c r="C1266" s="1">
        <v>13</v>
      </c>
      <c r="D1266" s="1">
        <v>36.1</v>
      </c>
      <c r="E1266" s="1">
        <v>469.3</v>
      </c>
      <c r="F1266" s="2">
        <v>45706</v>
      </c>
      <c r="G1266" s="2">
        <v>45709</v>
      </c>
      <c r="H1266" s="1" t="s">
        <v>12</v>
      </c>
      <c r="I1266" s="1" t="s">
        <v>3</v>
      </c>
      <c r="J1266" s="1">
        <v>3</v>
      </c>
      <c r="K1266" s="1" t="s">
        <v>4</v>
      </c>
      <c r="L1266" s="1" t="s">
        <v>47</v>
      </c>
      <c r="M1266" s="1">
        <f>[1]!orders[[#This Row],[Ship Date]]-[1]!orders[[#This Row],[Order Date]]</f>
        <v>3</v>
      </c>
      <c r="N1266" s="1">
        <f>WEEKNUM([1]!orders[[#This Row],[Order Date]])</f>
        <v>8</v>
      </c>
      <c r="O1266" t="str" cm="1">
        <f t="array" ref="O1266">_xlfn.IFS([1]!orders[[#This Row],[Customer Gender]]="M","Male", [1]!orders[[#This Row],[Customer Gender]]="F","Female", [1]!orders[[#This Row],[Customer Gender]]="O","Other", TRUE,"Unknown")</f>
        <v>Female</v>
      </c>
    </row>
    <row r="1267" spans="1:15" x14ac:dyDescent="0.25">
      <c r="A1267" t="s">
        <v>1349</v>
      </c>
      <c r="B1267" t="s">
        <v>1</v>
      </c>
      <c r="C1267">
        <v>1</v>
      </c>
      <c r="D1267">
        <v>24.1</v>
      </c>
      <c r="E1267">
        <v>24.1</v>
      </c>
      <c r="F1267" s="3">
        <v>45706</v>
      </c>
      <c r="G1267" s="3">
        <v>45708</v>
      </c>
      <c r="H1267" t="s">
        <v>12</v>
      </c>
      <c r="I1267" t="s">
        <v>55</v>
      </c>
      <c r="J1267">
        <v>5</v>
      </c>
      <c r="K1267" t="s">
        <v>4</v>
      </c>
      <c r="L1267" t="s">
        <v>47</v>
      </c>
      <c r="M1267">
        <f>[1]!orders[[#This Row],[Ship Date]]-[1]!orders[[#This Row],[Order Date]]</f>
        <v>2</v>
      </c>
      <c r="N1267">
        <f>WEEKNUM([1]!orders[[#This Row],[Order Date]])</f>
        <v>8</v>
      </c>
      <c r="O1267" t="str" cm="1">
        <f t="array" ref="O1267">_xlfn.IFS([1]!orders[[#This Row],[Customer Gender]]="M","Male", [1]!orders[[#This Row],[Customer Gender]]="F","Female", [1]!orders[[#This Row],[Customer Gender]]="O","Other", TRUE,"Unknown")</f>
        <v>Female</v>
      </c>
    </row>
    <row r="1268" spans="1:15" x14ac:dyDescent="0.25">
      <c r="A1268" s="1" t="s">
        <v>1350</v>
      </c>
      <c r="B1268" s="1" t="s">
        <v>156</v>
      </c>
      <c r="C1268" s="1">
        <v>3</v>
      </c>
      <c r="D1268" s="1">
        <v>30.5</v>
      </c>
      <c r="E1268" s="1">
        <v>91.5</v>
      </c>
      <c r="F1268" s="2">
        <v>45706</v>
      </c>
      <c r="G1268" s="2">
        <v>45708</v>
      </c>
      <c r="H1268" s="1" t="s">
        <v>8</v>
      </c>
      <c r="I1268" s="1" t="s">
        <v>20</v>
      </c>
      <c r="J1268" s="1">
        <v>4</v>
      </c>
      <c r="K1268" s="1" t="s">
        <v>4</v>
      </c>
      <c r="L1268" s="1" t="s">
        <v>47</v>
      </c>
      <c r="M1268" s="1">
        <f>[1]!orders[[#This Row],[Ship Date]]-[1]!orders[[#This Row],[Order Date]]</f>
        <v>2</v>
      </c>
      <c r="N1268" s="1">
        <f>WEEKNUM([1]!orders[[#This Row],[Order Date]])</f>
        <v>8</v>
      </c>
      <c r="O1268" t="str" cm="1">
        <f t="array" ref="O1268">_xlfn.IFS([1]!orders[[#This Row],[Customer Gender]]="M","Male", [1]!orders[[#This Row],[Customer Gender]]="F","Female", [1]!orders[[#This Row],[Customer Gender]]="O","Other", TRUE,"Unknown")</f>
        <v>Male</v>
      </c>
    </row>
    <row r="1269" spans="1:15" x14ac:dyDescent="0.25">
      <c r="A1269" t="s">
        <v>1351</v>
      </c>
      <c r="B1269" t="s">
        <v>131</v>
      </c>
      <c r="C1269">
        <v>6</v>
      </c>
      <c r="D1269">
        <v>68.3</v>
      </c>
      <c r="E1269">
        <v>409.79999999999995</v>
      </c>
      <c r="F1269" s="3">
        <v>45706</v>
      </c>
      <c r="G1269" s="3">
        <v>45709</v>
      </c>
      <c r="H1269" t="s">
        <v>8</v>
      </c>
      <c r="I1269" t="s">
        <v>3</v>
      </c>
      <c r="J1269">
        <v>4</v>
      </c>
      <c r="K1269" t="s">
        <v>4</v>
      </c>
      <c r="L1269" t="s">
        <v>47</v>
      </c>
      <c r="M1269">
        <f>[1]!orders[[#This Row],[Ship Date]]-[1]!orders[[#This Row],[Order Date]]</f>
        <v>3</v>
      </c>
      <c r="N1269">
        <f>WEEKNUM([1]!orders[[#This Row],[Order Date]])</f>
        <v>8</v>
      </c>
      <c r="O1269" t="str" cm="1">
        <f t="array" ref="O1269">_xlfn.IFS([1]!orders[[#This Row],[Customer Gender]]="M","Male", [1]!orders[[#This Row],[Customer Gender]]="F","Female", [1]!orders[[#This Row],[Customer Gender]]="O","Other", TRUE,"Unknown")</f>
        <v>Male</v>
      </c>
    </row>
    <row r="1270" spans="1:15" x14ac:dyDescent="0.25">
      <c r="A1270" s="1" t="s">
        <v>1352</v>
      </c>
      <c r="B1270" s="1" t="s">
        <v>27</v>
      </c>
      <c r="C1270" s="1">
        <v>3</v>
      </c>
      <c r="D1270" s="1">
        <v>43.3</v>
      </c>
      <c r="E1270" s="1">
        <v>129.89999999999998</v>
      </c>
      <c r="F1270" s="2">
        <v>45706</v>
      </c>
      <c r="G1270" s="2">
        <v>45710</v>
      </c>
      <c r="H1270" s="1" t="s">
        <v>12</v>
      </c>
      <c r="I1270" s="1" t="s">
        <v>3</v>
      </c>
      <c r="J1270" s="1">
        <v>4</v>
      </c>
      <c r="K1270" s="1" t="s">
        <v>4</v>
      </c>
      <c r="L1270" s="1" t="s">
        <v>88</v>
      </c>
      <c r="M1270" s="1">
        <f>[1]!orders[[#This Row],[Ship Date]]-[1]!orders[[#This Row],[Order Date]]</f>
        <v>4</v>
      </c>
      <c r="N1270" s="1">
        <f>WEEKNUM([1]!orders[[#This Row],[Order Date]])</f>
        <v>8</v>
      </c>
      <c r="O1270" t="str" cm="1">
        <f t="array" ref="O1270">_xlfn.IFS([1]!orders[[#This Row],[Customer Gender]]="M","Male", [1]!orders[[#This Row],[Customer Gender]]="F","Female", [1]!orders[[#This Row],[Customer Gender]]="O","Other", TRUE,"Unknown")</f>
        <v>Female</v>
      </c>
    </row>
    <row r="1271" spans="1:15" x14ac:dyDescent="0.25">
      <c r="A1271" t="s">
        <v>1353</v>
      </c>
      <c r="B1271" t="s">
        <v>15</v>
      </c>
      <c r="C1271">
        <v>1</v>
      </c>
      <c r="D1271">
        <v>101.7</v>
      </c>
      <c r="E1271">
        <v>101.7</v>
      </c>
      <c r="F1271" s="3">
        <v>45706</v>
      </c>
      <c r="G1271" s="3">
        <v>45709</v>
      </c>
      <c r="H1271" t="s">
        <v>12</v>
      </c>
      <c r="I1271" t="s">
        <v>3</v>
      </c>
      <c r="J1271">
        <v>3</v>
      </c>
      <c r="K1271" t="s">
        <v>4</v>
      </c>
      <c r="L1271" t="s">
        <v>88</v>
      </c>
      <c r="M1271">
        <f>[1]!orders[[#This Row],[Ship Date]]-[1]!orders[[#This Row],[Order Date]]</f>
        <v>3</v>
      </c>
      <c r="N1271">
        <f>WEEKNUM([1]!orders[[#This Row],[Order Date]])</f>
        <v>8</v>
      </c>
      <c r="O1271" t="str" cm="1">
        <f t="array" ref="O1271">_xlfn.IFS([1]!orders[[#This Row],[Customer Gender]]="M","Male", [1]!orders[[#This Row],[Customer Gender]]="F","Female", [1]!orders[[#This Row],[Customer Gender]]="O","Other", TRUE,"Unknown")</f>
        <v>Female</v>
      </c>
    </row>
    <row r="1272" spans="1:15" x14ac:dyDescent="0.25">
      <c r="A1272" s="1" t="s">
        <v>1354</v>
      </c>
      <c r="B1272" s="1" t="s">
        <v>52</v>
      </c>
      <c r="C1272" s="1">
        <v>2</v>
      </c>
      <c r="D1272" s="1">
        <v>54.2</v>
      </c>
      <c r="E1272" s="1">
        <v>108.4</v>
      </c>
      <c r="F1272" s="2">
        <v>45706</v>
      </c>
      <c r="G1272" s="2">
        <v>45707</v>
      </c>
      <c r="H1272" s="1" t="s">
        <v>12</v>
      </c>
      <c r="I1272" s="1" t="s">
        <v>3</v>
      </c>
      <c r="J1272" s="1">
        <v>3</v>
      </c>
      <c r="K1272" s="1" t="s">
        <v>4</v>
      </c>
      <c r="L1272" s="1" t="s">
        <v>88</v>
      </c>
      <c r="M1272" s="1">
        <f>[1]!orders[[#This Row],[Ship Date]]-[1]!orders[[#This Row],[Order Date]]</f>
        <v>1</v>
      </c>
      <c r="N1272" s="1">
        <f>WEEKNUM([1]!orders[[#This Row],[Order Date]])</f>
        <v>8</v>
      </c>
      <c r="O1272" t="str" cm="1">
        <f t="array" ref="O1272">_xlfn.IFS([1]!orders[[#This Row],[Customer Gender]]="M","Male", [1]!orders[[#This Row],[Customer Gender]]="F","Female", [1]!orders[[#This Row],[Customer Gender]]="O","Other", TRUE,"Unknown")</f>
        <v>Female</v>
      </c>
    </row>
    <row r="1273" spans="1:15" x14ac:dyDescent="0.25">
      <c r="A1273" t="s">
        <v>1355</v>
      </c>
      <c r="B1273" t="s">
        <v>113</v>
      </c>
      <c r="C1273">
        <v>2</v>
      </c>
      <c r="D1273">
        <v>51</v>
      </c>
      <c r="E1273">
        <v>102</v>
      </c>
      <c r="F1273" s="3">
        <v>45706</v>
      </c>
      <c r="G1273" s="3">
        <v>45706</v>
      </c>
      <c r="H1273" t="s">
        <v>8</v>
      </c>
      <c r="I1273" t="s">
        <v>20</v>
      </c>
      <c r="J1273">
        <v>4</v>
      </c>
      <c r="K1273" t="s">
        <v>4</v>
      </c>
      <c r="L1273" t="s">
        <v>186</v>
      </c>
      <c r="M1273">
        <f>[1]!orders[[#This Row],[Ship Date]]-[1]!orders[[#This Row],[Order Date]]</f>
        <v>0</v>
      </c>
      <c r="N1273">
        <f>WEEKNUM([1]!orders[[#This Row],[Order Date]])</f>
        <v>8</v>
      </c>
      <c r="O1273" t="str" cm="1">
        <f t="array" ref="O1273">_xlfn.IFS([1]!orders[[#This Row],[Customer Gender]]="M","Male", [1]!orders[[#This Row],[Customer Gender]]="F","Female", [1]!orders[[#This Row],[Customer Gender]]="O","Other", TRUE,"Unknown")</f>
        <v>Male</v>
      </c>
    </row>
    <row r="1274" spans="1:15" x14ac:dyDescent="0.25">
      <c r="A1274" s="1" t="s">
        <v>1356</v>
      </c>
      <c r="B1274" s="1" t="s">
        <v>17</v>
      </c>
      <c r="C1274" s="1">
        <v>2</v>
      </c>
      <c r="D1274" s="1">
        <v>23.1</v>
      </c>
      <c r="E1274" s="1">
        <v>46.2</v>
      </c>
      <c r="F1274" s="2">
        <v>45706</v>
      </c>
      <c r="G1274" s="2">
        <v>45709</v>
      </c>
      <c r="H1274" s="1" t="s">
        <v>8</v>
      </c>
      <c r="I1274" s="1" t="s">
        <v>20</v>
      </c>
      <c r="J1274" s="1">
        <v>4</v>
      </c>
      <c r="K1274" s="1" t="s">
        <v>4</v>
      </c>
      <c r="L1274" s="1" t="s">
        <v>59</v>
      </c>
      <c r="M1274" s="1">
        <f>[1]!orders[[#This Row],[Ship Date]]-[1]!orders[[#This Row],[Order Date]]</f>
        <v>3</v>
      </c>
      <c r="N1274" s="1">
        <f>WEEKNUM([1]!orders[[#This Row],[Order Date]])</f>
        <v>8</v>
      </c>
      <c r="O1274" t="str" cm="1">
        <f t="array" ref="O1274">_xlfn.IFS([1]!orders[[#This Row],[Customer Gender]]="M","Male", [1]!orders[[#This Row],[Customer Gender]]="F","Female", [1]!orders[[#This Row],[Customer Gender]]="O","Other", TRUE,"Unknown")</f>
        <v>Male</v>
      </c>
    </row>
    <row r="1275" spans="1:15" x14ac:dyDescent="0.25">
      <c r="A1275" t="s">
        <v>1357</v>
      </c>
      <c r="B1275" t="s">
        <v>54</v>
      </c>
      <c r="C1275">
        <v>6</v>
      </c>
      <c r="D1275">
        <v>60.1</v>
      </c>
      <c r="E1275">
        <v>360.6</v>
      </c>
      <c r="F1275" s="3">
        <v>45706</v>
      </c>
      <c r="G1275" s="3">
        <v>45706</v>
      </c>
      <c r="H1275" t="s">
        <v>12</v>
      </c>
      <c r="I1275" t="s">
        <v>36</v>
      </c>
      <c r="J1275">
        <v>4</v>
      </c>
      <c r="K1275" t="s">
        <v>4</v>
      </c>
      <c r="L1275" t="s">
        <v>62</v>
      </c>
      <c r="M1275">
        <f>[1]!orders[[#This Row],[Ship Date]]-[1]!orders[[#This Row],[Order Date]]</f>
        <v>0</v>
      </c>
      <c r="N1275">
        <f>WEEKNUM([1]!orders[[#This Row],[Order Date]])</f>
        <v>8</v>
      </c>
      <c r="O1275" t="str" cm="1">
        <f t="array" ref="O1275">_xlfn.IFS([1]!orders[[#This Row],[Customer Gender]]="M","Male", [1]!orders[[#This Row],[Customer Gender]]="F","Female", [1]!orders[[#This Row],[Customer Gender]]="O","Other", TRUE,"Unknown")</f>
        <v>Female</v>
      </c>
    </row>
    <row r="1276" spans="1:15" x14ac:dyDescent="0.25">
      <c r="A1276" s="1" t="s">
        <v>1358</v>
      </c>
      <c r="B1276" s="1" t="s">
        <v>11</v>
      </c>
      <c r="C1276" s="1">
        <v>7</v>
      </c>
      <c r="D1276" s="1">
        <v>87.5</v>
      </c>
      <c r="E1276" s="1">
        <v>612.5</v>
      </c>
      <c r="F1276" s="2">
        <v>45706</v>
      </c>
      <c r="G1276" s="2">
        <v>45708</v>
      </c>
      <c r="H1276" s="1" t="s">
        <v>12</v>
      </c>
      <c r="I1276" s="1" t="s">
        <v>3</v>
      </c>
      <c r="J1276" s="1">
        <v>3</v>
      </c>
      <c r="K1276" s="1" t="s">
        <v>4</v>
      </c>
      <c r="L1276" s="1" t="s">
        <v>62</v>
      </c>
      <c r="M1276" s="1">
        <f>[1]!orders[[#This Row],[Ship Date]]-[1]!orders[[#This Row],[Order Date]]</f>
        <v>2</v>
      </c>
      <c r="N1276" s="1">
        <f>WEEKNUM([1]!orders[[#This Row],[Order Date]])</f>
        <v>8</v>
      </c>
      <c r="O1276" t="str" cm="1">
        <f t="array" ref="O1276">_xlfn.IFS([1]!orders[[#This Row],[Customer Gender]]="M","Male", [1]!orders[[#This Row],[Customer Gender]]="F","Female", [1]!orders[[#This Row],[Customer Gender]]="O","Other", TRUE,"Unknown")</f>
        <v>Female</v>
      </c>
    </row>
    <row r="1277" spans="1:15" x14ac:dyDescent="0.25">
      <c r="A1277" t="s">
        <v>1359</v>
      </c>
      <c r="B1277" t="s">
        <v>7</v>
      </c>
      <c r="C1277">
        <v>3</v>
      </c>
      <c r="D1277">
        <v>51</v>
      </c>
      <c r="E1277">
        <v>153</v>
      </c>
      <c r="F1277" s="3">
        <v>45706</v>
      </c>
      <c r="G1277" s="3">
        <v>45707</v>
      </c>
      <c r="H1277" t="s">
        <v>12</v>
      </c>
      <c r="I1277" t="s">
        <v>20</v>
      </c>
      <c r="J1277">
        <v>4</v>
      </c>
      <c r="K1277" t="s">
        <v>4</v>
      </c>
      <c r="L1277" t="s">
        <v>62</v>
      </c>
      <c r="M1277">
        <f>[1]!orders[[#This Row],[Ship Date]]-[1]!orders[[#This Row],[Order Date]]</f>
        <v>1</v>
      </c>
      <c r="N1277">
        <f>WEEKNUM([1]!orders[[#This Row],[Order Date]])</f>
        <v>8</v>
      </c>
      <c r="O1277" t="str" cm="1">
        <f t="array" ref="O1277">_xlfn.IFS([1]!orders[[#This Row],[Customer Gender]]="M","Male", [1]!orders[[#This Row],[Customer Gender]]="F","Female", [1]!orders[[#This Row],[Customer Gender]]="O","Other", TRUE,"Unknown")</f>
        <v>Female</v>
      </c>
    </row>
    <row r="1278" spans="1:15" x14ac:dyDescent="0.25">
      <c r="A1278" s="1" t="s">
        <v>1360</v>
      </c>
      <c r="B1278" s="1" t="s">
        <v>29</v>
      </c>
      <c r="C1278" s="1">
        <v>4</v>
      </c>
      <c r="D1278" s="1">
        <v>19.2</v>
      </c>
      <c r="E1278" s="1">
        <v>76.8</v>
      </c>
      <c r="F1278" s="2">
        <v>45706</v>
      </c>
      <c r="G1278" s="2">
        <v>45708</v>
      </c>
      <c r="H1278" s="1" t="s">
        <v>12</v>
      </c>
      <c r="I1278" s="1" t="s">
        <v>3</v>
      </c>
      <c r="J1278" s="1">
        <v>4</v>
      </c>
      <c r="K1278" s="1" t="s">
        <v>4</v>
      </c>
      <c r="L1278" s="1" t="s">
        <v>62</v>
      </c>
      <c r="M1278" s="1">
        <f>[1]!orders[[#This Row],[Ship Date]]-[1]!orders[[#This Row],[Order Date]]</f>
        <v>2</v>
      </c>
      <c r="N1278" s="1">
        <f>WEEKNUM([1]!orders[[#This Row],[Order Date]])</f>
        <v>8</v>
      </c>
      <c r="O1278" t="str" cm="1">
        <f t="array" ref="O1278">_xlfn.IFS([1]!orders[[#This Row],[Customer Gender]]="M","Male", [1]!orders[[#This Row],[Customer Gender]]="F","Female", [1]!orders[[#This Row],[Customer Gender]]="O","Other", TRUE,"Unknown")</f>
        <v>Female</v>
      </c>
    </row>
    <row r="1279" spans="1:15" x14ac:dyDescent="0.25">
      <c r="A1279" t="s">
        <v>1361</v>
      </c>
      <c r="B1279" t="s">
        <v>22</v>
      </c>
      <c r="C1279">
        <v>8</v>
      </c>
      <c r="D1279">
        <v>26.5</v>
      </c>
      <c r="E1279">
        <v>212</v>
      </c>
      <c r="F1279" s="3">
        <v>45706</v>
      </c>
      <c r="G1279" s="3">
        <v>45707</v>
      </c>
      <c r="H1279" t="s">
        <v>2</v>
      </c>
      <c r="I1279" t="s">
        <v>36</v>
      </c>
      <c r="J1279">
        <v>5</v>
      </c>
      <c r="K1279" t="s">
        <v>4</v>
      </c>
      <c r="L1279" t="s">
        <v>62</v>
      </c>
      <c r="M1279">
        <f>[1]!orders[[#This Row],[Ship Date]]-[1]!orders[[#This Row],[Order Date]]</f>
        <v>1</v>
      </c>
      <c r="N1279">
        <f>WEEKNUM([1]!orders[[#This Row],[Order Date]])</f>
        <v>8</v>
      </c>
      <c r="O1279" t="str" cm="1">
        <f t="array" ref="O1279">_xlfn.IFS([1]!orders[[#This Row],[Customer Gender]]="M","Male", [1]!orders[[#This Row],[Customer Gender]]="F","Female", [1]!orders[[#This Row],[Customer Gender]]="O","Other", TRUE,"Unknown")</f>
        <v>Unknown</v>
      </c>
    </row>
    <row r="1280" spans="1:15" x14ac:dyDescent="0.25">
      <c r="A1280" s="1" t="s">
        <v>1362</v>
      </c>
      <c r="B1280" s="1" t="s">
        <v>11</v>
      </c>
      <c r="C1280" s="1">
        <v>2</v>
      </c>
      <c r="D1280" s="1">
        <v>220.3</v>
      </c>
      <c r="E1280" s="1">
        <v>440.6</v>
      </c>
      <c r="F1280" s="2">
        <v>45706</v>
      </c>
      <c r="G1280" s="2">
        <v>45707</v>
      </c>
      <c r="H1280" s="1" t="s">
        <v>12</v>
      </c>
      <c r="I1280" s="1" t="s">
        <v>20</v>
      </c>
      <c r="J1280" s="1">
        <v>2</v>
      </c>
      <c r="K1280" s="1" t="s">
        <v>4</v>
      </c>
      <c r="L1280" s="1" t="s">
        <v>1101</v>
      </c>
      <c r="M1280" s="1">
        <f>[1]!orders[[#This Row],[Ship Date]]-[1]!orders[[#This Row],[Order Date]]</f>
        <v>1</v>
      </c>
      <c r="N1280" s="1">
        <f>WEEKNUM([1]!orders[[#This Row],[Order Date]])</f>
        <v>8</v>
      </c>
      <c r="O1280" t="str" cm="1">
        <f t="array" ref="O1280">_xlfn.IFS([1]!orders[[#This Row],[Customer Gender]]="M","Male", [1]!orders[[#This Row],[Customer Gender]]="F","Female", [1]!orders[[#This Row],[Customer Gender]]="O","Other", TRUE,"Unknown")</f>
        <v>Female</v>
      </c>
    </row>
    <row r="1281" spans="1:15" x14ac:dyDescent="0.25">
      <c r="A1281" t="s">
        <v>1363</v>
      </c>
      <c r="B1281" t="s">
        <v>29</v>
      </c>
      <c r="C1281">
        <v>3</v>
      </c>
      <c r="D1281">
        <v>45.7</v>
      </c>
      <c r="E1281">
        <v>137.10000000000002</v>
      </c>
      <c r="F1281" s="3">
        <v>45706</v>
      </c>
      <c r="G1281" s="3">
        <v>45707</v>
      </c>
      <c r="H1281" t="s">
        <v>12</v>
      </c>
      <c r="I1281" t="s">
        <v>55</v>
      </c>
      <c r="J1281">
        <v>4</v>
      </c>
      <c r="K1281" t="s">
        <v>4</v>
      </c>
      <c r="L1281" t="s">
        <v>253</v>
      </c>
      <c r="M1281">
        <f>[1]!orders[[#This Row],[Ship Date]]-[1]!orders[[#This Row],[Order Date]]</f>
        <v>1</v>
      </c>
      <c r="N1281">
        <f>WEEKNUM([1]!orders[[#This Row],[Order Date]])</f>
        <v>8</v>
      </c>
      <c r="O1281" t="str" cm="1">
        <f t="array" ref="O1281">_xlfn.IFS([1]!orders[[#This Row],[Customer Gender]]="M","Male", [1]!orders[[#This Row],[Customer Gender]]="F","Female", [1]!orders[[#This Row],[Customer Gender]]="O","Other", TRUE,"Unknown")</f>
        <v>Female</v>
      </c>
    </row>
    <row r="1282" spans="1:15" x14ac:dyDescent="0.25">
      <c r="A1282" s="1" t="s">
        <v>1364</v>
      </c>
      <c r="B1282" s="1" t="s">
        <v>22</v>
      </c>
      <c r="C1282" s="1">
        <v>5</v>
      </c>
      <c r="D1282" s="1">
        <v>47.1</v>
      </c>
      <c r="E1282" s="1">
        <v>235.5</v>
      </c>
      <c r="F1282" s="2">
        <v>45706</v>
      </c>
      <c r="G1282" s="2">
        <v>45710</v>
      </c>
      <c r="H1282" s="1" t="s">
        <v>12</v>
      </c>
      <c r="I1282" s="1" t="s">
        <v>36</v>
      </c>
      <c r="J1282" s="1">
        <v>4</v>
      </c>
      <c r="K1282" s="1" t="s">
        <v>4</v>
      </c>
      <c r="L1282" s="1" t="s">
        <v>67</v>
      </c>
      <c r="M1282" s="1">
        <f>[1]!orders[[#This Row],[Ship Date]]-[1]!orders[[#This Row],[Order Date]]</f>
        <v>4</v>
      </c>
      <c r="N1282" s="1">
        <f>WEEKNUM([1]!orders[[#This Row],[Order Date]])</f>
        <v>8</v>
      </c>
      <c r="O1282" t="str" cm="1">
        <f t="array" ref="O1282">_xlfn.IFS([1]!orders[[#This Row],[Customer Gender]]="M","Male", [1]!orders[[#This Row],[Customer Gender]]="F","Female", [1]!orders[[#This Row],[Customer Gender]]="O","Other", TRUE,"Unknown")</f>
        <v>Female</v>
      </c>
    </row>
    <row r="1283" spans="1:15" x14ac:dyDescent="0.25">
      <c r="A1283" t="s">
        <v>1365</v>
      </c>
      <c r="B1283" t="s">
        <v>7</v>
      </c>
      <c r="C1283">
        <v>5</v>
      </c>
      <c r="D1283">
        <v>81.7</v>
      </c>
      <c r="E1283">
        <v>408.5</v>
      </c>
      <c r="F1283" s="3">
        <v>45706</v>
      </c>
      <c r="G1283" s="3">
        <v>45707</v>
      </c>
      <c r="H1283" t="s">
        <v>12</v>
      </c>
      <c r="I1283" t="s">
        <v>3</v>
      </c>
      <c r="J1283">
        <v>5</v>
      </c>
      <c r="K1283" t="s">
        <v>4</v>
      </c>
      <c r="L1283" t="s">
        <v>100</v>
      </c>
      <c r="M1283">
        <f>[1]!orders[[#This Row],[Ship Date]]-[1]!orders[[#This Row],[Order Date]]</f>
        <v>1</v>
      </c>
      <c r="N1283">
        <f>WEEKNUM([1]!orders[[#This Row],[Order Date]])</f>
        <v>8</v>
      </c>
      <c r="O1283" t="str" cm="1">
        <f t="array" ref="O1283">_xlfn.IFS([1]!orders[[#This Row],[Customer Gender]]="M","Male", [1]!orders[[#This Row],[Customer Gender]]="F","Female", [1]!orders[[#This Row],[Customer Gender]]="O","Other", TRUE,"Unknown")</f>
        <v>Female</v>
      </c>
    </row>
    <row r="1284" spans="1:15" x14ac:dyDescent="0.25">
      <c r="A1284" s="1" t="s">
        <v>1366</v>
      </c>
      <c r="B1284" s="1" t="s">
        <v>24</v>
      </c>
      <c r="C1284" s="1">
        <v>10</v>
      </c>
      <c r="D1284" s="1">
        <v>97.8</v>
      </c>
      <c r="E1284" s="1">
        <v>978</v>
      </c>
      <c r="F1284" s="2">
        <v>45706</v>
      </c>
      <c r="G1284" s="2">
        <v>45706</v>
      </c>
      <c r="H1284" s="1" t="s">
        <v>8</v>
      </c>
      <c r="I1284" s="1" t="s">
        <v>20</v>
      </c>
      <c r="J1284" s="1">
        <v>3</v>
      </c>
      <c r="K1284" s="1" t="s">
        <v>4</v>
      </c>
      <c r="L1284" s="1" t="s">
        <v>100</v>
      </c>
      <c r="M1284" s="1">
        <f>[1]!orders[[#This Row],[Ship Date]]-[1]!orders[[#This Row],[Order Date]]</f>
        <v>0</v>
      </c>
      <c r="N1284" s="1">
        <f>WEEKNUM([1]!orders[[#This Row],[Order Date]])</f>
        <v>8</v>
      </c>
      <c r="O1284" t="str" cm="1">
        <f t="array" ref="O1284">_xlfn.IFS([1]!orders[[#This Row],[Customer Gender]]="M","Male", [1]!orders[[#This Row],[Customer Gender]]="F","Female", [1]!orders[[#This Row],[Customer Gender]]="O","Other", TRUE,"Unknown")</f>
        <v>Male</v>
      </c>
    </row>
    <row r="1285" spans="1:15" x14ac:dyDescent="0.25">
      <c r="A1285" t="s">
        <v>1367</v>
      </c>
      <c r="B1285" t="s">
        <v>24</v>
      </c>
      <c r="C1285">
        <v>3</v>
      </c>
      <c r="D1285">
        <v>42.4</v>
      </c>
      <c r="E1285">
        <v>127.19999999999999</v>
      </c>
      <c r="F1285" s="3">
        <v>45706</v>
      </c>
      <c r="G1285" s="3">
        <v>45707</v>
      </c>
      <c r="H1285" t="s">
        <v>12</v>
      </c>
      <c r="I1285" t="s">
        <v>3</v>
      </c>
      <c r="J1285">
        <v>5</v>
      </c>
      <c r="K1285" t="s">
        <v>4</v>
      </c>
      <c r="L1285" t="s">
        <v>1368</v>
      </c>
      <c r="M1285">
        <f>[1]!orders[[#This Row],[Ship Date]]-[1]!orders[[#This Row],[Order Date]]</f>
        <v>1</v>
      </c>
      <c r="N1285">
        <f>WEEKNUM([1]!orders[[#This Row],[Order Date]])</f>
        <v>8</v>
      </c>
      <c r="O1285" t="str" cm="1">
        <f t="array" ref="O1285">_xlfn.IFS([1]!orders[[#This Row],[Customer Gender]]="M","Male", [1]!orders[[#This Row],[Customer Gender]]="F","Female", [1]!orders[[#This Row],[Customer Gender]]="O","Other", TRUE,"Unknown")</f>
        <v>Female</v>
      </c>
    </row>
    <row r="1286" spans="1:15" x14ac:dyDescent="0.25">
      <c r="A1286" s="1" t="s">
        <v>1369</v>
      </c>
      <c r="B1286" s="1" t="s">
        <v>11</v>
      </c>
      <c r="C1286" s="1">
        <v>10</v>
      </c>
      <c r="D1286" s="1">
        <v>74.5</v>
      </c>
      <c r="E1286" s="1">
        <v>745</v>
      </c>
      <c r="F1286" s="2">
        <v>45706</v>
      </c>
      <c r="G1286" s="2">
        <v>45707</v>
      </c>
      <c r="H1286" s="1" t="s">
        <v>8</v>
      </c>
      <c r="I1286" s="1" t="s">
        <v>25</v>
      </c>
      <c r="J1286" s="1">
        <v>3</v>
      </c>
      <c r="K1286" s="1" t="s">
        <v>4</v>
      </c>
      <c r="L1286" s="1" t="s">
        <v>9</v>
      </c>
      <c r="M1286" s="1">
        <f>[1]!orders[[#This Row],[Ship Date]]-[1]!orders[[#This Row],[Order Date]]</f>
        <v>1</v>
      </c>
      <c r="N1286" s="1">
        <f>WEEKNUM([1]!orders[[#This Row],[Order Date]])</f>
        <v>8</v>
      </c>
      <c r="O1286" t="str" cm="1">
        <f t="array" ref="O1286">_xlfn.IFS([1]!orders[[#This Row],[Customer Gender]]="M","Male", [1]!orders[[#This Row],[Customer Gender]]="F","Female", [1]!orders[[#This Row],[Customer Gender]]="O","Other", TRUE,"Unknown")</f>
        <v>Male</v>
      </c>
    </row>
    <row r="1287" spans="1:15" x14ac:dyDescent="0.25">
      <c r="A1287" t="s">
        <v>1370</v>
      </c>
      <c r="B1287" t="s">
        <v>120</v>
      </c>
      <c r="C1287">
        <v>6</v>
      </c>
      <c r="D1287">
        <v>47.4</v>
      </c>
      <c r="E1287">
        <v>284.39999999999998</v>
      </c>
      <c r="F1287" s="3">
        <v>45706</v>
      </c>
      <c r="G1287" s="3">
        <v>45707</v>
      </c>
      <c r="H1287" t="s">
        <v>8</v>
      </c>
      <c r="I1287" t="s">
        <v>20</v>
      </c>
      <c r="J1287">
        <v>4</v>
      </c>
      <c r="K1287" t="s">
        <v>4</v>
      </c>
      <c r="L1287" t="s">
        <v>9</v>
      </c>
      <c r="M1287">
        <f>[1]!orders[[#This Row],[Ship Date]]-[1]!orders[[#This Row],[Order Date]]</f>
        <v>1</v>
      </c>
      <c r="N1287">
        <f>WEEKNUM([1]!orders[[#This Row],[Order Date]])</f>
        <v>8</v>
      </c>
      <c r="O1287" t="str" cm="1">
        <f t="array" ref="O1287">_xlfn.IFS([1]!orders[[#This Row],[Customer Gender]]="M","Male", [1]!orders[[#This Row],[Customer Gender]]="F","Female", [1]!orders[[#This Row],[Customer Gender]]="O","Other", TRUE,"Unknown")</f>
        <v>Male</v>
      </c>
    </row>
    <row r="1288" spans="1:15" x14ac:dyDescent="0.25">
      <c r="A1288" s="1" t="s">
        <v>1371</v>
      </c>
      <c r="B1288" s="1" t="s">
        <v>66</v>
      </c>
      <c r="C1288" s="1">
        <v>3</v>
      </c>
      <c r="D1288" s="1">
        <v>17.3</v>
      </c>
      <c r="E1288" s="1">
        <v>51.900000000000006</v>
      </c>
      <c r="F1288" s="2">
        <v>45707</v>
      </c>
      <c r="G1288" s="2">
        <v>45710</v>
      </c>
      <c r="H1288" s="1" t="s">
        <v>8</v>
      </c>
      <c r="I1288" s="1" t="s">
        <v>25</v>
      </c>
      <c r="J1288" s="1">
        <v>5</v>
      </c>
      <c r="K1288" s="1" t="s">
        <v>4</v>
      </c>
      <c r="L1288" s="1" t="s">
        <v>9</v>
      </c>
      <c r="M1288" s="1">
        <f>[1]!orders[[#This Row],[Ship Date]]-[1]!orders[[#This Row],[Order Date]]</f>
        <v>3</v>
      </c>
      <c r="N1288" s="1">
        <f>WEEKNUM([1]!orders[[#This Row],[Order Date]])</f>
        <v>8</v>
      </c>
      <c r="O1288" t="str" cm="1">
        <f t="array" ref="O1288">_xlfn.IFS([1]!orders[[#This Row],[Customer Gender]]="M","Male", [1]!orders[[#This Row],[Customer Gender]]="F","Female", [1]!orders[[#This Row],[Customer Gender]]="O","Other", TRUE,"Unknown")</f>
        <v>Male</v>
      </c>
    </row>
    <row r="1289" spans="1:15" x14ac:dyDescent="0.25">
      <c r="A1289" t="s">
        <v>1372</v>
      </c>
      <c r="B1289" t="s">
        <v>54</v>
      </c>
      <c r="C1289">
        <v>4</v>
      </c>
      <c r="D1289">
        <v>77.900000000000006</v>
      </c>
      <c r="E1289">
        <v>311.60000000000002</v>
      </c>
      <c r="F1289" s="3">
        <v>45707</v>
      </c>
      <c r="G1289" s="3">
        <v>45708</v>
      </c>
      <c r="H1289" t="s">
        <v>8</v>
      </c>
      <c r="I1289" t="s">
        <v>20</v>
      </c>
      <c r="J1289">
        <v>4</v>
      </c>
      <c r="K1289" t="s">
        <v>4</v>
      </c>
      <c r="L1289" t="s">
        <v>13</v>
      </c>
      <c r="M1289">
        <f>[1]!orders[[#This Row],[Ship Date]]-[1]!orders[[#This Row],[Order Date]]</f>
        <v>1</v>
      </c>
      <c r="N1289">
        <f>WEEKNUM([1]!orders[[#This Row],[Order Date]])</f>
        <v>8</v>
      </c>
      <c r="O1289" t="str" cm="1">
        <f t="array" ref="O1289">_xlfn.IFS([1]!orders[[#This Row],[Customer Gender]]="M","Male", [1]!orders[[#This Row],[Customer Gender]]="F","Female", [1]!orders[[#This Row],[Customer Gender]]="O","Other", TRUE,"Unknown")</f>
        <v>Male</v>
      </c>
    </row>
    <row r="1290" spans="1:15" x14ac:dyDescent="0.25">
      <c r="A1290" s="1" t="s">
        <v>1373</v>
      </c>
      <c r="B1290" s="1" t="s">
        <v>29</v>
      </c>
      <c r="C1290" s="1">
        <v>1</v>
      </c>
      <c r="D1290" s="1">
        <v>29.1</v>
      </c>
      <c r="E1290" s="1">
        <v>29.1</v>
      </c>
      <c r="F1290" s="2">
        <v>45707</v>
      </c>
      <c r="G1290" s="2">
        <v>45710</v>
      </c>
      <c r="H1290" s="1" t="s">
        <v>8</v>
      </c>
      <c r="I1290" s="1" t="s">
        <v>3</v>
      </c>
      <c r="J1290" s="1">
        <v>5</v>
      </c>
      <c r="K1290" s="1" t="s">
        <v>4</v>
      </c>
      <c r="L1290" s="1" t="s">
        <v>934</v>
      </c>
      <c r="M1290" s="1">
        <f>[1]!orders[[#This Row],[Ship Date]]-[1]!orders[[#This Row],[Order Date]]</f>
        <v>3</v>
      </c>
      <c r="N1290" s="1">
        <f>WEEKNUM([1]!orders[[#This Row],[Order Date]])</f>
        <v>8</v>
      </c>
      <c r="O1290" t="str" cm="1">
        <f t="array" ref="O1290">_xlfn.IFS([1]!orders[[#This Row],[Customer Gender]]="M","Male", [1]!orders[[#This Row],[Customer Gender]]="F","Female", [1]!orders[[#This Row],[Customer Gender]]="O","Other", TRUE,"Unknown")</f>
        <v>Male</v>
      </c>
    </row>
    <row r="1291" spans="1:15" x14ac:dyDescent="0.25">
      <c r="A1291" t="s">
        <v>1374</v>
      </c>
      <c r="B1291" t="s">
        <v>29</v>
      </c>
      <c r="C1291">
        <v>1</v>
      </c>
      <c r="D1291">
        <v>49</v>
      </c>
      <c r="E1291">
        <v>49</v>
      </c>
      <c r="F1291" s="3">
        <v>45707</v>
      </c>
      <c r="G1291" s="3">
        <v>45708</v>
      </c>
      <c r="H1291" t="s">
        <v>8</v>
      </c>
      <c r="I1291" t="s">
        <v>20</v>
      </c>
      <c r="J1291">
        <v>4</v>
      </c>
      <c r="K1291" t="s">
        <v>4</v>
      </c>
      <c r="L1291" t="s">
        <v>18</v>
      </c>
      <c r="M1291">
        <f>[1]!orders[[#This Row],[Ship Date]]-[1]!orders[[#This Row],[Order Date]]</f>
        <v>1</v>
      </c>
      <c r="N1291">
        <f>WEEKNUM([1]!orders[[#This Row],[Order Date]])</f>
        <v>8</v>
      </c>
      <c r="O1291" t="str" cm="1">
        <f t="array" ref="O1291">_xlfn.IFS([1]!orders[[#This Row],[Customer Gender]]="M","Male", [1]!orders[[#This Row],[Customer Gender]]="F","Female", [1]!orders[[#This Row],[Customer Gender]]="O","Other", TRUE,"Unknown")</f>
        <v>Male</v>
      </c>
    </row>
    <row r="1292" spans="1:15" x14ac:dyDescent="0.25">
      <c r="A1292" s="1" t="s">
        <v>1375</v>
      </c>
      <c r="B1292" s="1" t="s">
        <v>29</v>
      </c>
      <c r="C1292" s="1">
        <v>6</v>
      </c>
      <c r="D1292" s="1">
        <v>21.1</v>
      </c>
      <c r="E1292" s="1">
        <v>126.60000000000001</v>
      </c>
      <c r="F1292" s="2">
        <v>45707</v>
      </c>
      <c r="G1292" s="2">
        <v>45714</v>
      </c>
      <c r="H1292" s="1" t="s">
        <v>8</v>
      </c>
      <c r="I1292" s="1" t="s">
        <v>3</v>
      </c>
      <c r="J1292" s="1">
        <v>5</v>
      </c>
      <c r="K1292" s="1" t="s">
        <v>4</v>
      </c>
      <c r="L1292" s="1" t="s">
        <v>18</v>
      </c>
      <c r="M1292" s="1">
        <f>[1]!orders[[#This Row],[Ship Date]]-[1]!orders[[#This Row],[Order Date]]</f>
        <v>7</v>
      </c>
      <c r="N1292" s="1">
        <f>WEEKNUM([1]!orders[[#This Row],[Order Date]])</f>
        <v>8</v>
      </c>
      <c r="O1292" t="str" cm="1">
        <f t="array" ref="O1292">_xlfn.IFS([1]!orders[[#This Row],[Customer Gender]]="M","Male", [1]!orders[[#This Row],[Customer Gender]]="F","Female", [1]!orders[[#This Row],[Customer Gender]]="O","Other", TRUE,"Unknown")</f>
        <v>Male</v>
      </c>
    </row>
    <row r="1293" spans="1:15" x14ac:dyDescent="0.25">
      <c r="A1293" t="s">
        <v>1376</v>
      </c>
      <c r="B1293" t="s">
        <v>17</v>
      </c>
      <c r="C1293">
        <v>19</v>
      </c>
      <c r="D1293">
        <v>36.9</v>
      </c>
      <c r="E1293">
        <v>701.1</v>
      </c>
      <c r="F1293" s="3">
        <v>45707</v>
      </c>
      <c r="G1293" s="3">
        <v>45707</v>
      </c>
      <c r="H1293" t="s">
        <v>12</v>
      </c>
      <c r="I1293" t="s">
        <v>3</v>
      </c>
      <c r="J1293">
        <v>4</v>
      </c>
      <c r="K1293" t="s">
        <v>4</v>
      </c>
      <c r="L1293" t="s">
        <v>18</v>
      </c>
      <c r="M1293">
        <f>[1]!orders[[#This Row],[Ship Date]]-[1]!orders[[#This Row],[Order Date]]</f>
        <v>0</v>
      </c>
      <c r="N1293">
        <f>WEEKNUM([1]!orders[[#This Row],[Order Date]])</f>
        <v>8</v>
      </c>
      <c r="O1293" t="str" cm="1">
        <f t="array" ref="O1293">_xlfn.IFS([1]!orders[[#This Row],[Customer Gender]]="M","Male", [1]!orders[[#This Row],[Customer Gender]]="F","Female", [1]!orders[[#This Row],[Customer Gender]]="O","Other", TRUE,"Unknown")</f>
        <v>Female</v>
      </c>
    </row>
    <row r="1294" spans="1:15" x14ac:dyDescent="0.25">
      <c r="A1294" s="1" t="s">
        <v>1377</v>
      </c>
      <c r="B1294" s="1" t="s">
        <v>7</v>
      </c>
      <c r="C1294" s="1">
        <v>10</v>
      </c>
      <c r="D1294" s="1">
        <v>92.6</v>
      </c>
      <c r="E1294" s="1">
        <v>926</v>
      </c>
      <c r="F1294" s="2">
        <v>45707</v>
      </c>
      <c r="G1294" s="2">
        <v>45712</v>
      </c>
      <c r="H1294" s="1" t="s">
        <v>8</v>
      </c>
      <c r="I1294" s="1" t="s">
        <v>55</v>
      </c>
      <c r="J1294" s="1">
        <v>5</v>
      </c>
      <c r="K1294" s="1" t="s">
        <v>4</v>
      </c>
      <c r="L1294" s="1" t="s">
        <v>18</v>
      </c>
      <c r="M1294" s="1">
        <f>[1]!orders[[#This Row],[Ship Date]]-[1]!orders[[#This Row],[Order Date]]</f>
        <v>5</v>
      </c>
      <c r="N1294" s="1">
        <f>WEEKNUM([1]!orders[[#This Row],[Order Date]])</f>
        <v>8</v>
      </c>
      <c r="O1294" t="str" cm="1">
        <f t="array" ref="O1294">_xlfn.IFS([1]!orders[[#This Row],[Customer Gender]]="M","Male", [1]!orders[[#This Row],[Customer Gender]]="F","Female", [1]!orders[[#This Row],[Customer Gender]]="O","Other", TRUE,"Unknown")</f>
        <v>Male</v>
      </c>
    </row>
    <row r="1295" spans="1:15" x14ac:dyDescent="0.25">
      <c r="A1295" t="s">
        <v>1378</v>
      </c>
      <c r="B1295" t="s">
        <v>39</v>
      </c>
      <c r="C1295">
        <v>2</v>
      </c>
      <c r="D1295">
        <v>38</v>
      </c>
      <c r="E1295">
        <v>76</v>
      </c>
      <c r="F1295" s="3">
        <v>45707</v>
      </c>
      <c r="G1295" s="3">
        <v>45708</v>
      </c>
      <c r="H1295" t="s">
        <v>8</v>
      </c>
      <c r="I1295" t="s">
        <v>20</v>
      </c>
      <c r="J1295">
        <v>3</v>
      </c>
      <c r="K1295" t="s">
        <v>4</v>
      </c>
      <c r="L1295" t="s">
        <v>18</v>
      </c>
      <c r="M1295">
        <f>[1]!orders[[#This Row],[Ship Date]]-[1]!orders[[#This Row],[Order Date]]</f>
        <v>1</v>
      </c>
      <c r="N1295">
        <f>WEEKNUM([1]!orders[[#This Row],[Order Date]])</f>
        <v>8</v>
      </c>
      <c r="O1295" t="str" cm="1">
        <f t="array" ref="O1295">_xlfn.IFS([1]!orders[[#This Row],[Customer Gender]]="M","Male", [1]!orders[[#This Row],[Customer Gender]]="F","Female", [1]!orders[[#This Row],[Customer Gender]]="O","Other", TRUE,"Unknown")</f>
        <v>Male</v>
      </c>
    </row>
    <row r="1296" spans="1:15" x14ac:dyDescent="0.25">
      <c r="A1296" s="1" t="s">
        <v>1379</v>
      </c>
      <c r="B1296" s="1" t="s">
        <v>22</v>
      </c>
      <c r="C1296" s="1">
        <v>3</v>
      </c>
      <c r="D1296" s="1">
        <v>54.8</v>
      </c>
      <c r="E1296" s="1">
        <v>164.39999999999998</v>
      </c>
      <c r="F1296" s="2">
        <v>45707</v>
      </c>
      <c r="G1296" s="2">
        <v>45711</v>
      </c>
      <c r="H1296" s="1" t="s">
        <v>2</v>
      </c>
      <c r="I1296" s="1" t="s">
        <v>3</v>
      </c>
      <c r="J1296" s="1">
        <v>3</v>
      </c>
      <c r="K1296" s="1" t="s">
        <v>4</v>
      </c>
      <c r="L1296" s="1" t="s">
        <v>18</v>
      </c>
      <c r="M1296" s="1">
        <f>[1]!orders[[#This Row],[Ship Date]]-[1]!orders[[#This Row],[Order Date]]</f>
        <v>4</v>
      </c>
      <c r="N1296" s="1">
        <f>WEEKNUM([1]!orders[[#This Row],[Order Date]])</f>
        <v>8</v>
      </c>
      <c r="O1296" t="str" cm="1">
        <f t="array" ref="O1296">_xlfn.IFS([1]!orders[[#This Row],[Customer Gender]]="M","Male", [1]!orders[[#This Row],[Customer Gender]]="F","Female", [1]!orders[[#This Row],[Customer Gender]]="O","Other", TRUE,"Unknown")</f>
        <v>Unknown</v>
      </c>
    </row>
    <row r="1297" spans="1:15" x14ac:dyDescent="0.25">
      <c r="A1297" t="s">
        <v>1380</v>
      </c>
      <c r="B1297" t="s">
        <v>39</v>
      </c>
      <c r="C1297">
        <v>12</v>
      </c>
      <c r="D1297">
        <v>56.8</v>
      </c>
      <c r="E1297">
        <v>681.59999999999991</v>
      </c>
      <c r="F1297" s="3">
        <v>45707</v>
      </c>
      <c r="G1297" s="3">
        <v>45709</v>
      </c>
      <c r="H1297" t="s">
        <v>8</v>
      </c>
      <c r="I1297" t="s">
        <v>20</v>
      </c>
      <c r="J1297">
        <v>4</v>
      </c>
      <c r="K1297" t="s">
        <v>4</v>
      </c>
      <c r="L1297" t="s">
        <v>18</v>
      </c>
      <c r="M1297">
        <f>[1]!orders[[#This Row],[Ship Date]]-[1]!orders[[#This Row],[Order Date]]</f>
        <v>2</v>
      </c>
      <c r="N1297">
        <f>WEEKNUM([1]!orders[[#This Row],[Order Date]])</f>
        <v>8</v>
      </c>
      <c r="O1297" t="str" cm="1">
        <f t="array" ref="O1297">_xlfn.IFS([1]!orders[[#This Row],[Customer Gender]]="M","Male", [1]!orders[[#This Row],[Customer Gender]]="F","Female", [1]!orders[[#This Row],[Customer Gender]]="O","Other", TRUE,"Unknown")</f>
        <v>Male</v>
      </c>
    </row>
    <row r="1298" spans="1:15" x14ac:dyDescent="0.25">
      <c r="A1298" s="1" t="s">
        <v>1381</v>
      </c>
      <c r="B1298" s="1" t="s">
        <v>52</v>
      </c>
      <c r="C1298" s="1">
        <v>33</v>
      </c>
      <c r="D1298" s="1">
        <v>47.2</v>
      </c>
      <c r="E1298" s="1">
        <v>1557.6000000000001</v>
      </c>
      <c r="F1298" s="2">
        <v>45707</v>
      </c>
      <c r="G1298" s="2">
        <v>45710</v>
      </c>
      <c r="H1298" s="1" t="s">
        <v>12</v>
      </c>
      <c r="I1298" s="1" t="s">
        <v>20</v>
      </c>
      <c r="J1298" s="1">
        <v>4</v>
      </c>
      <c r="K1298" s="1" t="s">
        <v>4</v>
      </c>
      <c r="L1298" s="1" t="s">
        <v>18</v>
      </c>
      <c r="M1298" s="1">
        <f>[1]!orders[[#This Row],[Ship Date]]-[1]!orders[[#This Row],[Order Date]]</f>
        <v>3</v>
      </c>
      <c r="N1298" s="1">
        <f>WEEKNUM([1]!orders[[#This Row],[Order Date]])</f>
        <v>8</v>
      </c>
      <c r="O1298" t="str" cm="1">
        <f t="array" ref="O1298">_xlfn.IFS([1]!orders[[#This Row],[Customer Gender]]="M","Male", [1]!orders[[#This Row],[Customer Gender]]="F","Female", [1]!orders[[#This Row],[Customer Gender]]="O","Other", TRUE,"Unknown")</f>
        <v>Female</v>
      </c>
    </row>
    <row r="1299" spans="1:15" x14ac:dyDescent="0.25">
      <c r="A1299" t="s">
        <v>1382</v>
      </c>
      <c r="B1299" t="s">
        <v>27</v>
      </c>
      <c r="C1299">
        <v>6</v>
      </c>
      <c r="D1299">
        <v>45.1</v>
      </c>
      <c r="E1299">
        <v>270.60000000000002</v>
      </c>
      <c r="F1299" s="3">
        <v>45707</v>
      </c>
      <c r="G1299" s="3">
        <v>45708</v>
      </c>
      <c r="H1299" t="s">
        <v>12</v>
      </c>
      <c r="I1299" t="s">
        <v>25</v>
      </c>
      <c r="J1299">
        <v>4</v>
      </c>
      <c r="K1299" t="s">
        <v>4</v>
      </c>
      <c r="L1299" t="s">
        <v>530</v>
      </c>
      <c r="M1299">
        <f>[1]!orders[[#This Row],[Ship Date]]-[1]!orders[[#This Row],[Order Date]]</f>
        <v>1</v>
      </c>
      <c r="N1299">
        <f>WEEKNUM([1]!orders[[#This Row],[Order Date]])</f>
        <v>8</v>
      </c>
      <c r="O1299" t="str" cm="1">
        <f t="array" ref="O1299">_xlfn.IFS([1]!orders[[#This Row],[Customer Gender]]="M","Male", [1]!orders[[#This Row],[Customer Gender]]="F","Female", [1]!orders[[#This Row],[Customer Gender]]="O","Other", TRUE,"Unknown")</f>
        <v>Female</v>
      </c>
    </row>
    <row r="1300" spans="1:15" x14ac:dyDescent="0.25">
      <c r="A1300" s="1" t="s">
        <v>1383</v>
      </c>
      <c r="B1300" s="1" t="s">
        <v>17</v>
      </c>
      <c r="C1300" s="1">
        <v>12</v>
      </c>
      <c r="D1300" s="1">
        <v>25.2</v>
      </c>
      <c r="E1300" s="1">
        <v>302.39999999999998</v>
      </c>
      <c r="F1300" s="2">
        <v>45707</v>
      </c>
      <c r="G1300" s="2">
        <v>45712</v>
      </c>
      <c r="H1300" s="1" t="s">
        <v>12</v>
      </c>
      <c r="I1300" s="1" t="s">
        <v>25</v>
      </c>
      <c r="J1300" s="1">
        <v>4</v>
      </c>
      <c r="K1300" s="1" t="s">
        <v>4</v>
      </c>
      <c r="L1300" s="1" t="s">
        <v>83</v>
      </c>
      <c r="M1300" s="1">
        <f>[1]!orders[[#This Row],[Ship Date]]-[1]!orders[[#This Row],[Order Date]]</f>
        <v>5</v>
      </c>
      <c r="N1300" s="1">
        <f>WEEKNUM([1]!orders[[#This Row],[Order Date]])</f>
        <v>8</v>
      </c>
      <c r="O1300" t="str" cm="1">
        <f t="array" ref="O1300">_xlfn.IFS([1]!orders[[#This Row],[Customer Gender]]="M","Male", [1]!orders[[#This Row],[Customer Gender]]="F","Female", [1]!orders[[#This Row],[Customer Gender]]="O","Other", TRUE,"Unknown")</f>
        <v>Female</v>
      </c>
    </row>
    <row r="1301" spans="1:15" x14ac:dyDescent="0.25">
      <c r="A1301" t="s">
        <v>1384</v>
      </c>
      <c r="B1301" t="s">
        <v>29</v>
      </c>
      <c r="C1301">
        <v>1</v>
      </c>
      <c r="D1301">
        <v>22</v>
      </c>
      <c r="E1301">
        <v>22</v>
      </c>
      <c r="F1301" s="3">
        <v>45707</v>
      </c>
      <c r="G1301" s="3">
        <v>45708</v>
      </c>
      <c r="H1301" t="s">
        <v>12</v>
      </c>
      <c r="I1301" t="s">
        <v>3</v>
      </c>
      <c r="J1301">
        <v>4</v>
      </c>
      <c r="K1301" t="s">
        <v>4</v>
      </c>
      <c r="L1301" t="s">
        <v>37</v>
      </c>
      <c r="M1301">
        <f>[1]!orders[[#This Row],[Ship Date]]-[1]!orders[[#This Row],[Order Date]]</f>
        <v>1</v>
      </c>
      <c r="N1301">
        <f>WEEKNUM([1]!orders[[#This Row],[Order Date]])</f>
        <v>8</v>
      </c>
      <c r="O1301" t="str" cm="1">
        <f t="array" ref="O1301">_xlfn.IFS([1]!orders[[#This Row],[Customer Gender]]="M","Male", [1]!orders[[#This Row],[Customer Gender]]="F","Female", [1]!orders[[#This Row],[Customer Gender]]="O","Other", TRUE,"Unknown")</f>
        <v>Female</v>
      </c>
    </row>
    <row r="1302" spans="1:15" x14ac:dyDescent="0.25">
      <c r="A1302" s="1" t="s">
        <v>1385</v>
      </c>
      <c r="B1302" s="1" t="s">
        <v>24</v>
      </c>
      <c r="C1302" s="1">
        <v>2</v>
      </c>
      <c r="D1302" s="1">
        <v>42.2</v>
      </c>
      <c r="E1302" s="1">
        <v>84.4</v>
      </c>
      <c r="F1302" s="2">
        <v>45707</v>
      </c>
      <c r="G1302" s="2">
        <v>45708</v>
      </c>
      <c r="H1302" s="1" t="s">
        <v>12</v>
      </c>
      <c r="I1302" s="1" t="s">
        <v>20</v>
      </c>
      <c r="J1302" s="1">
        <v>3</v>
      </c>
      <c r="K1302" s="1" t="s">
        <v>4</v>
      </c>
      <c r="L1302" s="1" t="s">
        <v>143</v>
      </c>
      <c r="M1302" s="1">
        <f>[1]!orders[[#This Row],[Ship Date]]-[1]!orders[[#This Row],[Order Date]]</f>
        <v>1</v>
      </c>
      <c r="N1302" s="1">
        <f>WEEKNUM([1]!orders[[#This Row],[Order Date]])</f>
        <v>8</v>
      </c>
      <c r="O1302" t="str" cm="1">
        <f t="array" ref="O1302">_xlfn.IFS([1]!orders[[#This Row],[Customer Gender]]="M","Male", [1]!orders[[#This Row],[Customer Gender]]="F","Female", [1]!orders[[#This Row],[Customer Gender]]="O","Other", TRUE,"Unknown")</f>
        <v>Female</v>
      </c>
    </row>
    <row r="1303" spans="1:15" x14ac:dyDescent="0.25">
      <c r="A1303" t="s">
        <v>1386</v>
      </c>
      <c r="B1303" t="s">
        <v>61</v>
      </c>
      <c r="C1303">
        <v>3</v>
      </c>
      <c r="D1303">
        <v>20.5</v>
      </c>
      <c r="E1303">
        <v>61.5</v>
      </c>
      <c r="F1303" s="3">
        <v>45707</v>
      </c>
      <c r="G1303" s="3">
        <v>45708</v>
      </c>
      <c r="H1303" t="s">
        <v>8</v>
      </c>
      <c r="I1303" t="s">
        <v>3</v>
      </c>
      <c r="J1303">
        <v>3</v>
      </c>
      <c r="K1303" t="s">
        <v>4</v>
      </c>
      <c r="L1303" t="s">
        <v>40</v>
      </c>
      <c r="M1303">
        <f>[1]!orders[[#This Row],[Ship Date]]-[1]!orders[[#This Row],[Order Date]]</f>
        <v>1</v>
      </c>
      <c r="N1303">
        <f>WEEKNUM([1]!orders[[#This Row],[Order Date]])</f>
        <v>8</v>
      </c>
      <c r="O1303" t="str" cm="1">
        <f t="array" ref="O1303">_xlfn.IFS([1]!orders[[#This Row],[Customer Gender]]="M","Male", [1]!orders[[#This Row],[Customer Gender]]="F","Female", [1]!orders[[#This Row],[Customer Gender]]="O","Other", TRUE,"Unknown")</f>
        <v>Male</v>
      </c>
    </row>
    <row r="1304" spans="1:15" x14ac:dyDescent="0.25">
      <c r="A1304" s="1" t="s">
        <v>1387</v>
      </c>
      <c r="B1304" s="1" t="s">
        <v>11</v>
      </c>
      <c r="C1304" s="1">
        <v>1</v>
      </c>
      <c r="D1304" s="1">
        <v>190.4</v>
      </c>
      <c r="E1304" s="1">
        <v>190.4</v>
      </c>
      <c r="F1304" s="2">
        <v>45707</v>
      </c>
      <c r="G1304" s="2">
        <v>45712</v>
      </c>
      <c r="H1304" s="1" t="s">
        <v>8</v>
      </c>
      <c r="I1304" s="1" t="s">
        <v>20</v>
      </c>
      <c r="J1304" s="1">
        <v>2</v>
      </c>
      <c r="K1304" s="1" t="s">
        <v>4</v>
      </c>
      <c r="L1304" s="1" t="s">
        <v>40</v>
      </c>
      <c r="M1304" s="1">
        <f>[1]!orders[[#This Row],[Ship Date]]-[1]!orders[[#This Row],[Order Date]]</f>
        <v>5</v>
      </c>
      <c r="N1304" s="1">
        <f>WEEKNUM([1]!orders[[#This Row],[Order Date]])</f>
        <v>8</v>
      </c>
      <c r="O1304" t="str" cm="1">
        <f t="array" ref="O1304">_xlfn.IFS([1]!orders[[#This Row],[Customer Gender]]="M","Male", [1]!orders[[#This Row],[Customer Gender]]="F","Female", [1]!orders[[#This Row],[Customer Gender]]="O","Other", TRUE,"Unknown")</f>
        <v>Male</v>
      </c>
    </row>
    <row r="1305" spans="1:15" x14ac:dyDescent="0.25">
      <c r="A1305" t="s">
        <v>1388</v>
      </c>
      <c r="B1305" t="s">
        <v>11</v>
      </c>
      <c r="C1305">
        <v>1</v>
      </c>
      <c r="D1305">
        <v>121.9</v>
      </c>
      <c r="E1305">
        <v>121.9</v>
      </c>
      <c r="F1305" s="3">
        <v>45707</v>
      </c>
      <c r="G1305" s="3">
        <v>45709</v>
      </c>
      <c r="H1305" t="s">
        <v>12</v>
      </c>
      <c r="I1305" t="s">
        <v>20</v>
      </c>
      <c r="J1305">
        <v>5</v>
      </c>
      <c r="K1305" t="s">
        <v>4</v>
      </c>
      <c r="L1305" t="s">
        <v>40</v>
      </c>
      <c r="M1305">
        <f>[1]!orders[[#This Row],[Ship Date]]-[1]!orders[[#This Row],[Order Date]]</f>
        <v>2</v>
      </c>
      <c r="N1305">
        <f>WEEKNUM([1]!orders[[#This Row],[Order Date]])</f>
        <v>8</v>
      </c>
      <c r="O1305" t="str" cm="1">
        <f t="array" ref="O1305">_xlfn.IFS([1]!orders[[#This Row],[Customer Gender]]="M","Male", [1]!orders[[#This Row],[Customer Gender]]="F","Female", [1]!orders[[#This Row],[Customer Gender]]="O","Other", TRUE,"Unknown")</f>
        <v>Female</v>
      </c>
    </row>
    <row r="1306" spans="1:15" x14ac:dyDescent="0.25">
      <c r="A1306" s="1" t="s">
        <v>1389</v>
      </c>
      <c r="B1306" s="1" t="s">
        <v>11</v>
      </c>
      <c r="C1306" s="1">
        <v>6</v>
      </c>
      <c r="D1306" s="1">
        <v>149.19999999999999</v>
      </c>
      <c r="E1306" s="1">
        <v>895.19999999999993</v>
      </c>
      <c r="F1306" s="2">
        <v>45707</v>
      </c>
      <c r="G1306" s="2">
        <v>45708</v>
      </c>
      <c r="H1306" s="1" t="s">
        <v>12</v>
      </c>
      <c r="I1306" s="1" t="s">
        <v>25</v>
      </c>
      <c r="J1306" s="1">
        <v>5</v>
      </c>
      <c r="K1306" s="1" t="s">
        <v>4</v>
      </c>
      <c r="L1306" s="1" t="s">
        <v>44</v>
      </c>
      <c r="M1306" s="1">
        <f>[1]!orders[[#This Row],[Ship Date]]-[1]!orders[[#This Row],[Order Date]]</f>
        <v>1</v>
      </c>
      <c r="N1306" s="1">
        <f>WEEKNUM([1]!orders[[#This Row],[Order Date]])</f>
        <v>8</v>
      </c>
      <c r="O1306" t="str" cm="1">
        <f t="array" ref="O1306">_xlfn.IFS([1]!orders[[#This Row],[Customer Gender]]="M","Male", [1]!orders[[#This Row],[Customer Gender]]="F","Female", [1]!orders[[#This Row],[Customer Gender]]="O","Other", TRUE,"Unknown")</f>
        <v>Female</v>
      </c>
    </row>
    <row r="1307" spans="1:15" x14ac:dyDescent="0.25">
      <c r="A1307" t="s">
        <v>1390</v>
      </c>
      <c r="B1307" t="s">
        <v>11</v>
      </c>
      <c r="C1307">
        <v>1</v>
      </c>
      <c r="D1307">
        <v>54.1</v>
      </c>
      <c r="E1307">
        <v>54.1</v>
      </c>
      <c r="F1307" s="3">
        <v>45707</v>
      </c>
      <c r="G1307" s="3">
        <v>45716</v>
      </c>
      <c r="H1307" t="s">
        <v>12</v>
      </c>
      <c r="I1307" t="s">
        <v>25</v>
      </c>
      <c r="J1307">
        <v>5</v>
      </c>
      <c r="K1307" t="s">
        <v>4</v>
      </c>
      <c r="L1307" t="s">
        <v>44</v>
      </c>
      <c r="M1307">
        <f>[1]!orders[[#This Row],[Ship Date]]-[1]!orders[[#This Row],[Order Date]]</f>
        <v>9</v>
      </c>
      <c r="N1307">
        <f>WEEKNUM([1]!orders[[#This Row],[Order Date]])</f>
        <v>8</v>
      </c>
      <c r="O1307" t="str" cm="1">
        <f t="array" ref="O1307">_xlfn.IFS([1]!orders[[#This Row],[Customer Gender]]="M","Male", [1]!orders[[#This Row],[Customer Gender]]="F","Female", [1]!orders[[#This Row],[Customer Gender]]="O","Other", TRUE,"Unknown")</f>
        <v>Female</v>
      </c>
    </row>
    <row r="1308" spans="1:15" x14ac:dyDescent="0.25">
      <c r="A1308" s="1" t="s">
        <v>1391</v>
      </c>
      <c r="B1308" s="1" t="s">
        <v>22</v>
      </c>
      <c r="C1308" s="1">
        <v>2</v>
      </c>
      <c r="D1308" s="1">
        <v>27.4</v>
      </c>
      <c r="E1308" s="1">
        <v>54.8</v>
      </c>
      <c r="F1308" s="2">
        <v>45707</v>
      </c>
      <c r="G1308" s="2">
        <v>45709</v>
      </c>
      <c r="H1308" s="1" t="s">
        <v>8</v>
      </c>
      <c r="I1308" s="1" t="s">
        <v>20</v>
      </c>
      <c r="J1308" s="1">
        <v>4</v>
      </c>
      <c r="K1308" s="1" t="s">
        <v>4</v>
      </c>
      <c r="L1308" s="1" t="s">
        <v>47</v>
      </c>
      <c r="M1308" s="1">
        <f>[1]!orders[[#This Row],[Ship Date]]-[1]!orders[[#This Row],[Order Date]]</f>
        <v>2</v>
      </c>
      <c r="N1308" s="1">
        <f>WEEKNUM([1]!orders[[#This Row],[Order Date]])</f>
        <v>8</v>
      </c>
      <c r="O1308" t="str" cm="1">
        <f t="array" ref="O1308">_xlfn.IFS([1]!orders[[#This Row],[Customer Gender]]="M","Male", [1]!orders[[#This Row],[Customer Gender]]="F","Female", [1]!orders[[#This Row],[Customer Gender]]="O","Other", TRUE,"Unknown")</f>
        <v>Male</v>
      </c>
    </row>
    <row r="1309" spans="1:15" x14ac:dyDescent="0.25">
      <c r="A1309" t="s">
        <v>1392</v>
      </c>
      <c r="B1309" t="s">
        <v>1</v>
      </c>
      <c r="C1309">
        <v>13</v>
      </c>
      <c r="D1309">
        <v>30.4</v>
      </c>
      <c r="E1309">
        <v>395.2</v>
      </c>
      <c r="F1309" s="3">
        <v>45707</v>
      </c>
      <c r="G1309" s="3">
        <v>45708</v>
      </c>
      <c r="H1309" t="s">
        <v>12</v>
      </c>
      <c r="I1309" t="s">
        <v>3</v>
      </c>
      <c r="J1309">
        <v>5</v>
      </c>
      <c r="K1309" t="s">
        <v>4</v>
      </c>
      <c r="L1309" t="s">
        <v>47</v>
      </c>
      <c r="M1309">
        <f>[1]!orders[[#This Row],[Ship Date]]-[1]!orders[[#This Row],[Order Date]]</f>
        <v>1</v>
      </c>
      <c r="N1309">
        <f>WEEKNUM([1]!orders[[#This Row],[Order Date]])</f>
        <v>8</v>
      </c>
      <c r="O1309" t="str" cm="1">
        <f t="array" ref="O1309">_xlfn.IFS([1]!orders[[#This Row],[Customer Gender]]="M","Male", [1]!orders[[#This Row],[Customer Gender]]="F","Female", [1]!orders[[#This Row],[Customer Gender]]="O","Other", TRUE,"Unknown")</f>
        <v>Female</v>
      </c>
    </row>
    <row r="1310" spans="1:15" x14ac:dyDescent="0.25">
      <c r="A1310" s="1" t="s">
        <v>1393</v>
      </c>
      <c r="B1310" s="1" t="s">
        <v>54</v>
      </c>
      <c r="C1310" s="1">
        <v>3</v>
      </c>
      <c r="D1310" s="1">
        <v>46.2</v>
      </c>
      <c r="E1310" s="1">
        <v>138.60000000000002</v>
      </c>
      <c r="F1310" s="2">
        <v>45707</v>
      </c>
      <c r="G1310" s="2">
        <v>45709</v>
      </c>
      <c r="H1310" s="1" t="s">
        <v>8</v>
      </c>
      <c r="I1310" s="1" t="s">
        <v>25</v>
      </c>
      <c r="J1310" s="1">
        <v>3</v>
      </c>
      <c r="K1310" s="1" t="s">
        <v>4</v>
      </c>
      <c r="L1310" s="1" t="s">
        <v>88</v>
      </c>
      <c r="M1310" s="1">
        <f>[1]!orders[[#This Row],[Ship Date]]-[1]!orders[[#This Row],[Order Date]]</f>
        <v>2</v>
      </c>
      <c r="N1310" s="1">
        <f>WEEKNUM([1]!orders[[#This Row],[Order Date]])</f>
        <v>8</v>
      </c>
      <c r="O1310" t="str" cm="1">
        <f t="array" ref="O1310">_xlfn.IFS([1]!orders[[#This Row],[Customer Gender]]="M","Male", [1]!orders[[#This Row],[Customer Gender]]="F","Female", [1]!orders[[#This Row],[Customer Gender]]="O","Other", TRUE,"Unknown")</f>
        <v>Male</v>
      </c>
    </row>
    <row r="1311" spans="1:15" x14ac:dyDescent="0.25">
      <c r="A1311" t="s">
        <v>1394</v>
      </c>
      <c r="B1311" t="s">
        <v>27</v>
      </c>
      <c r="C1311">
        <v>8</v>
      </c>
      <c r="D1311">
        <v>78.599999999999994</v>
      </c>
      <c r="E1311">
        <v>628.79999999999995</v>
      </c>
      <c r="F1311" s="3">
        <v>45707</v>
      </c>
      <c r="G1311" s="3">
        <v>45711</v>
      </c>
      <c r="H1311" t="s">
        <v>8</v>
      </c>
      <c r="I1311" t="s">
        <v>36</v>
      </c>
      <c r="J1311">
        <v>4</v>
      </c>
      <c r="K1311" t="s">
        <v>4</v>
      </c>
      <c r="L1311" t="s">
        <v>88</v>
      </c>
      <c r="M1311">
        <f>[1]!orders[[#This Row],[Ship Date]]-[1]!orders[[#This Row],[Order Date]]</f>
        <v>4</v>
      </c>
      <c r="N1311">
        <f>WEEKNUM([1]!orders[[#This Row],[Order Date]])</f>
        <v>8</v>
      </c>
      <c r="O1311" t="str" cm="1">
        <f t="array" ref="O1311">_xlfn.IFS([1]!orders[[#This Row],[Customer Gender]]="M","Male", [1]!orders[[#This Row],[Customer Gender]]="F","Female", [1]!orders[[#This Row],[Customer Gender]]="O","Other", TRUE,"Unknown")</f>
        <v>Male</v>
      </c>
    </row>
    <row r="1312" spans="1:15" x14ac:dyDescent="0.25">
      <c r="A1312" s="1" t="s">
        <v>1395</v>
      </c>
      <c r="B1312" s="1" t="s">
        <v>120</v>
      </c>
      <c r="C1312" s="1">
        <v>10</v>
      </c>
      <c r="D1312" s="1">
        <v>25.9</v>
      </c>
      <c r="E1312" s="1">
        <v>259</v>
      </c>
      <c r="F1312" s="2">
        <v>45707</v>
      </c>
      <c r="G1312" s="2">
        <v>45713</v>
      </c>
      <c r="H1312" s="1" t="s">
        <v>8</v>
      </c>
      <c r="I1312" s="1" t="s">
        <v>55</v>
      </c>
      <c r="J1312" s="1">
        <v>4</v>
      </c>
      <c r="K1312" s="1" t="s">
        <v>4</v>
      </c>
      <c r="L1312" s="1" t="s">
        <v>57</v>
      </c>
      <c r="M1312" s="1">
        <f>[1]!orders[[#This Row],[Ship Date]]-[1]!orders[[#This Row],[Order Date]]</f>
        <v>6</v>
      </c>
      <c r="N1312" s="1">
        <f>WEEKNUM([1]!orders[[#This Row],[Order Date]])</f>
        <v>8</v>
      </c>
      <c r="O1312" t="str" cm="1">
        <f t="array" ref="O1312">_xlfn.IFS([1]!orders[[#This Row],[Customer Gender]]="M","Male", [1]!orders[[#This Row],[Customer Gender]]="F","Female", [1]!orders[[#This Row],[Customer Gender]]="O","Other", TRUE,"Unknown")</f>
        <v>Male</v>
      </c>
    </row>
    <row r="1313" spans="1:15" x14ac:dyDescent="0.25">
      <c r="A1313" t="s">
        <v>1396</v>
      </c>
      <c r="B1313" t="s">
        <v>24</v>
      </c>
      <c r="C1313">
        <v>1</v>
      </c>
      <c r="D1313">
        <v>134.80000000000001</v>
      </c>
      <c r="E1313">
        <v>134.80000000000001</v>
      </c>
      <c r="F1313" s="3">
        <v>45707</v>
      </c>
      <c r="G1313" s="3">
        <v>45709</v>
      </c>
      <c r="H1313" t="s">
        <v>8</v>
      </c>
      <c r="I1313" t="s">
        <v>25</v>
      </c>
      <c r="J1313">
        <v>5</v>
      </c>
      <c r="K1313" t="s">
        <v>4</v>
      </c>
      <c r="L1313" t="s">
        <v>57</v>
      </c>
      <c r="M1313">
        <f>[1]!orders[[#This Row],[Ship Date]]-[1]!orders[[#This Row],[Order Date]]</f>
        <v>2</v>
      </c>
      <c r="N1313">
        <f>WEEKNUM([1]!orders[[#This Row],[Order Date]])</f>
        <v>8</v>
      </c>
      <c r="O1313" t="str" cm="1">
        <f t="array" ref="O1313">_xlfn.IFS([1]!orders[[#This Row],[Customer Gender]]="M","Male", [1]!orders[[#This Row],[Customer Gender]]="F","Female", [1]!orders[[#This Row],[Customer Gender]]="O","Other", TRUE,"Unknown")</f>
        <v>Male</v>
      </c>
    </row>
    <row r="1314" spans="1:15" x14ac:dyDescent="0.25">
      <c r="A1314" s="1" t="s">
        <v>1397</v>
      </c>
      <c r="B1314" s="1" t="s">
        <v>108</v>
      </c>
      <c r="C1314" s="1">
        <v>5</v>
      </c>
      <c r="D1314" s="1">
        <v>43.1</v>
      </c>
      <c r="E1314" s="1">
        <v>215.5</v>
      </c>
      <c r="F1314" s="2">
        <v>45707</v>
      </c>
      <c r="G1314" s="2">
        <v>45709</v>
      </c>
      <c r="H1314" s="1" t="s">
        <v>12</v>
      </c>
      <c r="I1314" s="1" t="s">
        <v>3</v>
      </c>
      <c r="J1314" s="1">
        <v>4</v>
      </c>
      <c r="K1314" s="1" t="s">
        <v>4</v>
      </c>
      <c r="L1314" s="1" t="s">
        <v>62</v>
      </c>
      <c r="M1314" s="1">
        <f>[1]!orders[[#This Row],[Ship Date]]-[1]!orders[[#This Row],[Order Date]]</f>
        <v>2</v>
      </c>
      <c r="N1314" s="1">
        <f>WEEKNUM([1]!orders[[#This Row],[Order Date]])</f>
        <v>8</v>
      </c>
      <c r="O1314" t="str" cm="1">
        <f t="array" ref="O1314">_xlfn.IFS([1]!orders[[#This Row],[Customer Gender]]="M","Male", [1]!orders[[#This Row],[Customer Gender]]="F","Female", [1]!orders[[#This Row],[Customer Gender]]="O","Other", TRUE,"Unknown")</f>
        <v>Female</v>
      </c>
    </row>
    <row r="1315" spans="1:15" x14ac:dyDescent="0.25">
      <c r="A1315" t="s">
        <v>1398</v>
      </c>
      <c r="B1315" t="s">
        <v>11</v>
      </c>
      <c r="C1315">
        <v>2</v>
      </c>
      <c r="D1315">
        <v>215.6</v>
      </c>
      <c r="E1315">
        <v>431.2</v>
      </c>
      <c r="F1315" s="3">
        <v>45707</v>
      </c>
      <c r="G1315" s="3">
        <v>45708</v>
      </c>
      <c r="H1315" t="s">
        <v>12</v>
      </c>
      <c r="I1315" t="s">
        <v>25</v>
      </c>
      <c r="J1315">
        <v>4</v>
      </c>
      <c r="K1315" t="s">
        <v>4</v>
      </c>
      <c r="L1315" t="s">
        <v>93</v>
      </c>
      <c r="M1315">
        <f>[1]!orders[[#This Row],[Ship Date]]-[1]!orders[[#This Row],[Order Date]]</f>
        <v>1</v>
      </c>
      <c r="N1315">
        <f>WEEKNUM([1]!orders[[#This Row],[Order Date]])</f>
        <v>8</v>
      </c>
      <c r="O1315" t="str" cm="1">
        <f t="array" ref="O1315">_xlfn.IFS([1]!orders[[#This Row],[Customer Gender]]="M","Male", [1]!orders[[#This Row],[Customer Gender]]="F","Female", [1]!orders[[#This Row],[Customer Gender]]="O","Other", TRUE,"Unknown")</f>
        <v>Female</v>
      </c>
    </row>
    <row r="1316" spans="1:15" x14ac:dyDescent="0.25">
      <c r="A1316" s="1" t="s">
        <v>1399</v>
      </c>
      <c r="B1316" s="1" t="s">
        <v>24</v>
      </c>
      <c r="C1316" s="1">
        <v>2</v>
      </c>
      <c r="D1316" s="1">
        <v>80.7</v>
      </c>
      <c r="E1316" s="1">
        <v>161.4</v>
      </c>
      <c r="F1316" s="2">
        <v>45707</v>
      </c>
      <c r="G1316" s="2">
        <v>45710</v>
      </c>
      <c r="H1316" s="1" t="s">
        <v>12</v>
      </c>
      <c r="I1316" s="1" t="s">
        <v>36</v>
      </c>
      <c r="J1316" s="1">
        <v>4</v>
      </c>
      <c r="K1316" s="1" t="s">
        <v>4</v>
      </c>
      <c r="L1316" s="1" t="s">
        <v>93</v>
      </c>
      <c r="M1316" s="1">
        <f>[1]!orders[[#This Row],[Ship Date]]-[1]!orders[[#This Row],[Order Date]]</f>
        <v>3</v>
      </c>
      <c r="N1316" s="1">
        <f>WEEKNUM([1]!orders[[#This Row],[Order Date]])</f>
        <v>8</v>
      </c>
      <c r="O1316" t="str" cm="1">
        <f t="array" ref="O1316">_xlfn.IFS([1]!orders[[#This Row],[Customer Gender]]="M","Male", [1]!orders[[#This Row],[Customer Gender]]="F","Female", [1]!orders[[#This Row],[Customer Gender]]="O","Other", TRUE,"Unknown")</f>
        <v>Female</v>
      </c>
    </row>
    <row r="1317" spans="1:15" x14ac:dyDescent="0.25">
      <c r="A1317" t="s">
        <v>1400</v>
      </c>
      <c r="B1317" t="s">
        <v>39</v>
      </c>
      <c r="C1317">
        <v>7</v>
      </c>
      <c r="D1317">
        <v>20.6</v>
      </c>
      <c r="E1317">
        <v>144.20000000000002</v>
      </c>
      <c r="F1317" s="3">
        <v>45707</v>
      </c>
      <c r="G1317" s="3">
        <v>45712</v>
      </c>
      <c r="H1317" t="s">
        <v>2</v>
      </c>
      <c r="I1317" t="s">
        <v>25</v>
      </c>
      <c r="J1317">
        <v>3</v>
      </c>
      <c r="K1317" t="s">
        <v>4</v>
      </c>
      <c r="L1317" t="s">
        <v>95</v>
      </c>
      <c r="M1317">
        <f>[1]!orders[[#This Row],[Ship Date]]-[1]!orders[[#This Row],[Order Date]]</f>
        <v>5</v>
      </c>
      <c r="N1317">
        <f>WEEKNUM([1]!orders[[#This Row],[Order Date]])</f>
        <v>8</v>
      </c>
      <c r="O1317" t="str" cm="1">
        <f t="array" ref="O1317">_xlfn.IFS([1]!orders[[#This Row],[Customer Gender]]="M","Male", [1]!orders[[#This Row],[Customer Gender]]="F","Female", [1]!orders[[#This Row],[Customer Gender]]="O","Other", TRUE,"Unknown")</f>
        <v>Unknown</v>
      </c>
    </row>
    <row r="1318" spans="1:15" x14ac:dyDescent="0.25">
      <c r="A1318" s="1" t="s">
        <v>1401</v>
      </c>
      <c r="B1318" s="1" t="s">
        <v>54</v>
      </c>
      <c r="C1318" s="1">
        <v>3</v>
      </c>
      <c r="D1318" s="1">
        <v>37.1</v>
      </c>
      <c r="E1318" s="1">
        <v>111.30000000000001</v>
      </c>
      <c r="F1318" s="2">
        <v>45707</v>
      </c>
      <c r="G1318" s="2">
        <v>45708</v>
      </c>
      <c r="H1318" s="1" t="s">
        <v>12</v>
      </c>
      <c r="I1318" s="1" t="s">
        <v>3</v>
      </c>
      <c r="J1318" s="1">
        <v>4</v>
      </c>
      <c r="K1318" s="1" t="s">
        <v>4</v>
      </c>
      <c r="L1318" s="1" t="s">
        <v>982</v>
      </c>
      <c r="M1318" s="1">
        <f>[1]!orders[[#This Row],[Ship Date]]-[1]!orders[[#This Row],[Order Date]]</f>
        <v>1</v>
      </c>
      <c r="N1318" s="1">
        <f>WEEKNUM([1]!orders[[#This Row],[Order Date]])</f>
        <v>8</v>
      </c>
      <c r="O1318" t="str" cm="1">
        <f t="array" ref="O1318">_xlfn.IFS([1]!orders[[#This Row],[Customer Gender]]="M","Male", [1]!orders[[#This Row],[Customer Gender]]="F","Female", [1]!orders[[#This Row],[Customer Gender]]="O","Other", TRUE,"Unknown")</f>
        <v>Female</v>
      </c>
    </row>
    <row r="1319" spans="1:15" x14ac:dyDescent="0.25">
      <c r="A1319" t="s">
        <v>1402</v>
      </c>
      <c r="B1319" t="s">
        <v>54</v>
      </c>
      <c r="C1319">
        <v>1</v>
      </c>
      <c r="D1319">
        <v>104.8</v>
      </c>
      <c r="E1319">
        <v>104.8</v>
      </c>
      <c r="F1319" s="3">
        <v>45708</v>
      </c>
      <c r="G1319" s="3">
        <v>45710</v>
      </c>
      <c r="H1319" t="s">
        <v>12</v>
      </c>
      <c r="I1319" t="s">
        <v>3</v>
      </c>
      <c r="J1319">
        <v>4</v>
      </c>
      <c r="K1319" t="s">
        <v>4</v>
      </c>
      <c r="L1319" t="s">
        <v>67</v>
      </c>
      <c r="M1319">
        <f>[1]!orders[[#This Row],[Ship Date]]-[1]!orders[[#This Row],[Order Date]]</f>
        <v>2</v>
      </c>
      <c r="N1319">
        <f>WEEKNUM([1]!orders[[#This Row],[Order Date]])</f>
        <v>8</v>
      </c>
      <c r="O1319" t="str" cm="1">
        <f t="array" ref="O1319">_xlfn.IFS([1]!orders[[#This Row],[Customer Gender]]="M","Male", [1]!orders[[#This Row],[Customer Gender]]="F","Female", [1]!orders[[#This Row],[Customer Gender]]="O","Other", TRUE,"Unknown")</f>
        <v>Female</v>
      </c>
    </row>
    <row r="1320" spans="1:15" x14ac:dyDescent="0.25">
      <c r="A1320" s="1" t="s">
        <v>1403</v>
      </c>
      <c r="B1320" s="1" t="s">
        <v>29</v>
      </c>
      <c r="C1320" s="1">
        <v>2</v>
      </c>
      <c r="D1320" s="1">
        <v>59</v>
      </c>
      <c r="E1320" s="1">
        <v>118</v>
      </c>
      <c r="F1320" s="2">
        <v>45708</v>
      </c>
      <c r="G1320" s="2">
        <v>45709</v>
      </c>
      <c r="H1320" s="1" t="s">
        <v>8</v>
      </c>
      <c r="I1320" s="1" t="s">
        <v>20</v>
      </c>
      <c r="J1320" s="1">
        <v>4</v>
      </c>
      <c r="K1320" s="1" t="s">
        <v>4</v>
      </c>
      <c r="L1320" s="1" t="s">
        <v>100</v>
      </c>
      <c r="M1320" s="1">
        <f>[1]!orders[[#This Row],[Ship Date]]-[1]!orders[[#This Row],[Order Date]]</f>
        <v>1</v>
      </c>
      <c r="N1320" s="1">
        <f>WEEKNUM([1]!orders[[#This Row],[Order Date]])</f>
        <v>8</v>
      </c>
      <c r="O1320" t="str" cm="1">
        <f t="array" ref="O1320">_xlfn.IFS([1]!orders[[#This Row],[Customer Gender]]="M","Male", [1]!orders[[#This Row],[Customer Gender]]="F","Female", [1]!orders[[#This Row],[Customer Gender]]="O","Other", TRUE,"Unknown")</f>
        <v>Male</v>
      </c>
    </row>
    <row r="1321" spans="1:15" x14ac:dyDescent="0.25">
      <c r="A1321" t="s">
        <v>1404</v>
      </c>
      <c r="B1321" t="s">
        <v>29</v>
      </c>
      <c r="C1321">
        <v>2</v>
      </c>
      <c r="D1321">
        <v>32.299999999999997</v>
      </c>
      <c r="E1321">
        <v>64.599999999999994</v>
      </c>
      <c r="F1321" s="3">
        <v>45708</v>
      </c>
      <c r="G1321" s="3">
        <v>45709</v>
      </c>
      <c r="H1321" t="s">
        <v>8</v>
      </c>
      <c r="I1321" t="s">
        <v>3</v>
      </c>
      <c r="J1321">
        <v>5</v>
      </c>
      <c r="K1321" t="s">
        <v>4</v>
      </c>
      <c r="L1321" t="s">
        <v>100</v>
      </c>
      <c r="M1321">
        <f>[1]!orders[[#This Row],[Ship Date]]-[1]!orders[[#This Row],[Order Date]]</f>
        <v>1</v>
      </c>
      <c r="N1321">
        <f>WEEKNUM([1]!orders[[#This Row],[Order Date]])</f>
        <v>8</v>
      </c>
      <c r="O1321" t="str" cm="1">
        <f t="array" ref="O1321">_xlfn.IFS([1]!orders[[#This Row],[Customer Gender]]="M","Male", [1]!orders[[#This Row],[Customer Gender]]="F","Female", [1]!orders[[#This Row],[Customer Gender]]="O","Other", TRUE,"Unknown")</f>
        <v>Male</v>
      </c>
    </row>
    <row r="1322" spans="1:15" x14ac:dyDescent="0.25">
      <c r="A1322" s="1" t="s">
        <v>1405</v>
      </c>
      <c r="B1322" s="1" t="s">
        <v>29</v>
      </c>
      <c r="C1322" s="1">
        <v>4</v>
      </c>
      <c r="D1322" s="1">
        <v>28.9</v>
      </c>
      <c r="E1322" s="1">
        <v>115.6</v>
      </c>
      <c r="F1322" s="2">
        <v>45708</v>
      </c>
      <c r="G1322" s="2">
        <v>45715</v>
      </c>
      <c r="H1322" s="1" t="s">
        <v>8</v>
      </c>
      <c r="I1322" s="1" t="s">
        <v>3</v>
      </c>
      <c r="J1322" s="1">
        <v>4</v>
      </c>
      <c r="K1322" s="1" t="s">
        <v>4</v>
      </c>
      <c r="L1322" s="1" t="s">
        <v>9</v>
      </c>
      <c r="M1322" s="1">
        <f>[1]!orders[[#This Row],[Ship Date]]-[1]!orders[[#This Row],[Order Date]]</f>
        <v>7</v>
      </c>
      <c r="N1322" s="1">
        <f>WEEKNUM([1]!orders[[#This Row],[Order Date]])</f>
        <v>8</v>
      </c>
      <c r="O1322" t="str" cm="1">
        <f t="array" ref="O1322">_xlfn.IFS([1]!orders[[#This Row],[Customer Gender]]="M","Male", [1]!orders[[#This Row],[Customer Gender]]="F","Female", [1]!orders[[#This Row],[Customer Gender]]="O","Other", TRUE,"Unknown")</f>
        <v>Male</v>
      </c>
    </row>
    <row r="1323" spans="1:15" x14ac:dyDescent="0.25">
      <c r="A1323" t="s">
        <v>1406</v>
      </c>
      <c r="B1323" t="s">
        <v>1</v>
      </c>
      <c r="C1323">
        <v>2</v>
      </c>
      <c r="D1323">
        <v>29.6</v>
      </c>
      <c r="E1323">
        <v>59.2</v>
      </c>
      <c r="F1323" s="3">
        <v>45708</v>
      </c>
      <c r="G1323" s="3">
        <v>45710</v>
      </c>
      <c r="H1323" t="s">
        <v>8</v>
      </c>
      <c r="I1323" t="s">
        <v>3</v>
      </c>
      <c r="J1323">
        <v>4</v>
      </c>
      <c r="K1323" t="s">
        <v>4</v>
      </c>
      <c r="L1323" t="s">
        <v>9</v>
      </c>
      <c r="M1323">
        <f>[1]!orders[[#This Row],[Ship Date]]-[1]!orders[[#This Row],[Order Date]]</f>
        <v>2</v>
      </c>
      <c r="N1323">
        <f>WEEKNUM([1]!orders[[#This Row],[Order Date]])</f>
        <v>8</v>
      </c>
      <c r="O1323" t="str" cm="1">
        <f t="array" ref="O1323">_xlfn.IFS([1]!orders[[#This Row],[Customer Gender]]="M","Male", [1]!orders[[#This Row],[Customer Gender]]="F","Female", [1]!orders[[#This Row],[Customer Gender]]="O","Other", TRUE,"Unknown")</f>
        <v>Male</v>
      </c>
    </row>
    <row r="1324" spans="1:15" x14ac:dyDescent="0.25">
      <c r="A1324" s="1" t="s">
        <v>1407</v>
      </c>
      <c r="B1324" s="1" t="s">
        <v>1</v>
      </c>
      <c r="C1324" s="1">
        <v>5</v>
      </c>
      <c r="D1324" s="1">
        <v>29.4</v>
      </c>
      <c r="E1324" s="1">
        <v>147</v>
      </c>
      <c r="F1324" s="2">
        <v>45708</v>
      </c>
      <c r="G1324" s="2">
        <v>45711</v>
      </c>
      <c r="H1324" s="1" t="s">
        <v>12</v>
      </c>
      <c r="I1324" s="1" t="s">
        <v>3</v>
      </c>
      <c r="J1324" s="1">
        <v>4</v>
      </c>
      <c r="K1324" s="1" t="s">
        <v>4</v>
      </c>
      <c r="L1324" s="1" t="s">
        <v>9</v>
      </c>
      <c r="M1324" s="1">
        <f>[1]!orders[[#This Row],[Ship Date]]-[1]!orders[[#This Row],[Order Date]]</f>
        <v>3</v>
      </c>
      <c r="N1324" s="1">
        <f>WEEKNUM([1]!orders[[#This Row],[Order Date]])</f>
        <v>8</v>
      </c>
      <c r="O1324" t="str" cm="1">
        <f t="array" ref="O1324">_xlfn.IFS([1]!orders[[#This Row],[Customer Gender]]="M","Male", [1]!orders[[#This Row],[Customer Gender]]="F","Female", [1]!orders[[#This Row],[Customer Gender]]="O","Other", TRUE,"Unknown")</f>
        <v>Female</v>
      </c>
    </row>
    <row r="1325" spans="1:15" x14ac:dyDescent="0.25">
      <c r="A1325" t="s">
        <v>1408</v>
      </c>
      <c r="B1325" t="s">
        <v>7</v>
      </c>
      <c r="C1325">
        <v>2</v>
      </c>
      <c r="D1325">
        <v>40.6</v>
      </c>
      <c r="E1325">
        <v>81.2</v>
      </c>
      <c r="F1325" s="3">
        <v>45708</v>
      </c>
      <c r="G1325" s="3">
        <v>45709</v>
      </c>
      <c r="H1325" t="s">
        <v>8</v>
      </c>
      <c r="I1325" t="s">
        <v>3</v>
      </c>
      <c r="J1325">
        <v>2</v>
      </c>
      <c r="K1325" t="s">
        <v>4</v>
      </c>
      <c r="L1325" t="s">
        <v>13</v>
      </c>
      <c r="M1325">
        <f>[1]!orders[[#This Row],[Ship Date]]-[1]!orders[[#This Row],[Order Date]]</f>
        <v>1</v>
      </c>
      <c r="N1325">
        <f>WEEKNUM([1]!orders[[#This Row],[Order Date]])</f>
        <v>8</v>
      </c>
      <c r="O1325" t="str" cm="1">
        <f t="array" ref="O1325">_xlfn.IFS([1]!orders[[#This Row],[Customer Gender]]="M","Male", [1]!orders[[#This Row],[Customer Gender]]="F","Female", [1]!orders[[#This Row],[Customer Gender]]="O","Other", TRUE,"Unknown")</f>
        <v>Male</v>
      </c>
    </row>
    <row r="1326" spans="1:15" x14ac:dyDescent="0.25">
      <c r="A1326" s="1" t="s">
        <v>1409</v>
      </c>
      <c r="B1326" s="1" t="s">
        <v>1</v>
      </c>
      <c r="C1326" s="1">
        <v>3</v>
      </c>
      <c r="D1326" s="1">
        <v>32.5</v>
      </c>
      <c r="E1326" s="1">
        <v>97.5</v>
      </c>
      <c r="F1326" s="2">
        <v>45708</v>
      </c>
      <c r="G1326" s="2">
        <v>45709</v>
      </c>
      <c r="H1326" s="1" t="s">
        <v>8</v>
      </c>
      <c r="I1326" s="1" t="s">
        <v>36</v>
      </c>
      <c r="J1326" s="1">
        <v>5</v>
      </c>
      <c r="K1326" s="1" t="s">
        <v>4</v>
      </c>
      <c r="L1326" s="1" t="s">
        <v>132</v>
      </c>
      <c r="M1326" s="1">
        <f>[1]!orders[[#This Row],[Ship Date]]-[1]!orders[[#This Row],[Order Date]]</f>
        <v>1</v>
      </c>
      <c r="N1326" s="1">
        <f>WEEKNUM([1]!orders[[#This Row],[Order Date]])</f>
        <v>8</v>
      </c>
      <c r="O1326" t="str" cm="1">
        <f t="array" ref="O1326">_xlfn.IFS([1]!orders[[#This Row],[Customer Gender]]="M","Male", [1]!orders[[#This Row],[Customer Gender]]="F","Female", [1]!orders[[#This Row],[Customer Gender]]="O","Other", TRUE,"Unknown")</f>
        <v>Male</v>
      </c>
    </row>
    <row r="1327" spans="1:15" x14ac:dyDescent="0.25">
      <c r="A1327" t="s">
        <v>1410</v>
      </c>
      <c r="B1327" t="s">
        <v>108</v>
      </c>
      <c r="C1327">
        <v>1</v>
      </c>
      <c r="D1327">
        <v>26.2</v>
      </c>
      <c r="E1327">
        <v>26.2</v>
      </c>
      <c r="F1327" s="3">
        <v>45708</v>
      </c>
      <c r="G1327" s="3">
        <v>45710</v>
      </c>
      <c r="H1327" t="s">
        <v>8</v>
      </c>
      <c r="I1327" t="s">
        <v>25</v>
      </c>
      <c r="J1327">
        <v>4</v>
      </c>
      <c r="K1327" t="s">
        <v>4</v>
      </c>
      <c r="L1327" t="s">
        <v>1411</v>
      </c>
      <c r="M1327">
        <f>[1]!orders[[#This Row],[Ship Date]]-[1]!orders[[#This Row],[Order Date]]</f>
        <v>2</v>
      </c>
      <c r="N1327">
        <f>WEEKNUM([1]!orders[[#This Row],[Order Date]])</f>
        <v>8</v>
      </c>
      <c r="O1327" t="str" cm="1">
        <f t="array" ref="O1327">_xlfn.IFS([1]!orders[[#This Row],[Customer Gender]]="M","Male", [1]!orders[[#This Row],[Customer Gender]]="F","Female", [1]!orders[[#This Row],[Customer Gender]]="O","Other", TRUE,"Unknown")</f>
        <v>Male</v>
      </c>
    </row>
    <row r="1328" spans="1:15" x14ac:dyDescent="0.25">
      <c r="A1328" s="1" t="s">
        <v>1412</v>
      </c>
      <c r="B1328" s="1" t="s">
        <v>39</v>
      </c>
      <c r="C1328" s="1">
        <v>30</v>
      </c>
      <c r="D1328" s="1">
        <v>44</v>
      </c>
      <c r="E1328" s="1">
        <v>1320</v>
      </c>
      <c r="F1328" s="2">
        <v>45708</v>
      </c>
      <c r="G1328" s="2">
        <v>45714</v>
      </c>
      <c r="H1328" s="1" t="s">
        <v>8</v>
      </c>
      <c r="I1328" s="1" t="s">
        <v>55</v>
      </c>
      <c r="J1328" s="1">
        <v>4</v>
      </c>
      <c r="K1328" s="1" t="s">
        <v>4</v>
      </c>
      <c r="L1328" s="1" t="s">
        <v>18</v>
      </c>
      <c r="M1328" s="1">
        <f>[1]!orders[[#This Row],[Ship Date]]-[1]!orders[[#This Row],[Order Date]]</f>
        <v>6</v>
      </c>
      <c r="N1328" s="1">
        <f>WEEKNUM([1]!orders[[#This Row],[Order Date]])</f>
        <v>8</v>
      </c>
      <c r="O1328" t="str" cm="1">
        <f t="array" ref="O1328">_xlfn.IFS([1]!orders[[#This Row],[Customer Gender]]="M","Male", [1]!orders[[#This Row],[Customer Gender]]="F","Female", [1]!orders[[#This Row],[Customer Gender]]="O","Other", TRUE,"Unknown")</f>
        <v>Male</v>
      </c>
    </row>
    <row r="1329" spans="1:15" x14ac:dyDescent="0.25">
      <c r="A1329" t="s">
        <v>1413</v>
      </c>
      <c r="B1329" t="s">
        <v>27</v>
      </c>
      <c r="C1329">
        <v>4</v>
      </c>
      <c r="D1329">
        <v>65.599999999999994</v>
      </c>
      <c r="E1329">
        <v>262.39999999999998</v>
      </c>
      <c r="F1329" s="3">
        <v>45708</v>
      </c>
      <c r="G1329" s="3">
        <v>45709</v>
      </c>
      <c r="H1329" t="s">
        <v>12</v>
      </c>
      <c r="I1329" t="s">
        <v>20</v>
      </c>
      <c r="J1329">
        <v>3</v>
      </c>
      <c r="K1329" t="s">
        <v>4</v>
      </c>
      <c r="L1329" t="s">
        <v>18</v>
      </c>
      <c r="M1329">
        <f>[1]!orders[[#This Row],[Ship Date]]-[1]!orders[[#This Row],[Order Date]]</f>
        <v>1</v>
      </c>
      <c r="N1329">
        <f>WEEKNUM([1]!orders[[#This Row],[Order Date]])</f>
        <v>8</v>
      </c>
      <c r="O1329" t="str" cm="1">
        <f t="array" ref="O1329">_xlfn.IFS([1]!orders[[#This Row],[Customer Gender]]="M","Male", [1]!orders[[#This Row],[Customer Gender]]="F","Female", [1]!orders[[#This Row],[Customer Gender]]="O","Other", TRUE,"Unknown")</f>
        <v>Female</v>
      </c>
    </row>
    <row r="1330" spans="1:15" x14ac:dyDescent="0.25">
      <c r="A1330" s="1" t="s">
        <v>1414</v>
      </c>
      <c r="B1330" s="1" t="s">
        <v>22</v>
      </c>
      <c r="C1330" s="1">
        <v>12</v>
      </c>
      <c r="D1330" s="1">
        <v>32.6</v>
      </c>
      <c r="E1330" s="1">
        <v>391.20000000000005</v>
      </c>
      <c r="F1330" s="2">
        <v>45708</v>
      </c>
      <c r="G1330" s="2">
        <v>45709</v>
      </c>
      <c r="H1330" s="1" t="s">
        <v>8</v>
      </c>
      <c r="I1330" s="1" t="s">
        <v>55</v>
      </c>
      <c r="J1330" s="1">
        <v>4</v>
      </c>
      <c r="K1330" s="1" t="s">
        <v>4</v>
      </c>
      <c r="L1330" s="1" t="s">
        <v>18</v>
      </c>
      <c r="M1330" s="1">
        <f>[1]!orders[[#This Row],[Ship Date]]-[1]!orders[[#This Row],[Order Date]]</f>
        <v>1</v>
      </c>
      <c r="N1330" s="1">
        <f>WEEKNUM([1]!orders[[#This Row],[Order Date]])</f>
        <v>8</v>
      </c>
      <c r="O1330" t="str" cm="1">
        <f t="array" ref="O1330">_xlfn.IFS([1]!orders[[#This Row],[Customer Gender]]="M","Male", [1]!orders[[#This Row],[Customer Gender]]="F","Female", [1]!orders[[#This Row],[Customer Gender]]="O","Other", TRUE,"Unknown")</f>
        <v>Male</v>
      </c>
    </row>
    <row r="1331" spans="1:15" x14ac:dyDescent="0.25">
      <c r="A1331" t="s">
        <v>1415</v>
      </c>
      <c r="B1331" t="s">
        <v>113</v>
      </c>
      <c r="C1331">
        <v>2</v>
      </c>
      <c r="D1331">
        <v>88.7</v>
      </c>
      <c r="E1331">
        <v>177.4</v>
      </c>
      <c r="F1331" s="3">
        <v>45708</v>
      </c>
      <c r="G1331" s="3">
        <v>45709</v>
      </c>
      <c r="H1331" t="s">
        <v>2</v>
      </c>
      <c r="I1331" t="s">
        <v>36</v>
      </c>
      <c r="J1331">
        <v>5</v>
      </c>
      <c r="K1331" t="s">
        <v>4</v>
      </c>
      <c r="L1331" t="s">
        <v>18</v>
      </c>
      <c r="M1331">
        <f>[1]!orders[[#This Row],[Ship Date]]-[1]!orders[[#This Row],[Order Date]]</f>
        <v>1</v>
      </c>
      <c r="N1331">
        <f>WEEKNUM([1]!orders[[#This Row],[Order Date]])</f>
        <v>8</v>
      </c>
      <c r="O1331" t="str" cm="1">
        <f t="array" ref="O1331">_xlfn.IFS([1]!orders[[#This Row],[Customer Gender]]="M","Male", [1]!orders[[#This Row],[Customer Gender]]="F","Female", [1]!orders[[#This Row],[Customer Gender]]="O","Other", TRUE,"Unknown")</f>
        <v>Unknown</v>
      </c>
    </row>
    <row r="1332" spans="1:15" x14ac:dyDescent="0.25">
      <c r="A1332" s="1" t="s">
        <v>1416</v>
      </c>
      <c r="B1332" s="1" t="s">
        <v>17</v>
      </c>
      <c r="C1332" s="1">
        <v>2</v>
      </c>
      <c r="D1332" s="1">
        <v>21.3</v>
      </c>
      <c r="E1332" s="1">
        <v>42.6</v>
      </c>
      <c r="F1332" s="2">
        <v>45708</v>
      </c>
      <c r="G1332" s="2">
        <v>45709</v>
      </c>
      <c r="H1332" s="1" t="s">
        <v>8</v>
      </c>
      <c r="I1332" s="1" t="s">
        <v>3</v>
      </c>
      <c r="J1332" s="1">
        <v>4</v>
      </c>
      <c r="K1332" s="1" t="s">
        <v>4</v>
      </c>
      <c r="L1332" s="1" t="s">
        <v>18</v>
      </c>
      <c r="M1332" s="1">
        <f>[1]!orders[[#This Row],[Ship Date]]-[1]!orders[[#This Row],[Order Date]]</f>
        <v>1</v>
      </c>
      <c r="N1332" s="1">
        <f>WEEKNUM([1]!orders[[#This Row],[Order Date]])</f>
        <v>8</v>
      </c>
      <c r="O1332" t="str" cm="1">
        <f t="array" ref="O1332">_xlfn.IFS([1]!orders[[#This Row],[Customer Gender]]="M","Male", [1]!orders[[#This Row],[Customer Gender]]="F","Female", [1]!orders[[#This Row],[Customer Gender]]="O","Other", TRUE,"Unknown")</f>
        <v>Male</v>
      </c>
    </row>
    <row r="1333" spans="1:15" x14ac:dyDescent="0.25">
      <c r="A1333" t="s">
        <v>1417</v>
      </c>
      <c r="B1333" t="s">
        <v>17</v>
      </c>
      <c r="C1333">
        <v>6</v>
      </c>
      <c r="D1333">
        <v>50.6</v>
      </c>
      <c r="E1333">
        <v>303.60000000000002</v>
      </c>
      <c r="F1333" s="3">
        <v>45708</v>
      </c>
      <c r="G1333" s="3">
        <v>45712</v>
      </c>
      <c r="H1333" t="s">
        <v>12</v>
      </c>
      <c r="I1333" t="s">
        <v>25</v>
      </c>
      <c r="J1333">
        <v>4</v>
      </c>
      <c r="K1333" t="s">
        <v>4</v>
      </c>
      <c r="L1333" t="s">
        <v>18</v>
      </c>
      <c r="M1333">
        <f>[1]!orders[[#This Row],[Ship Date]]-[1]!orders[[#This Row],[Order Date]]</f>
        <v>4</v>
      </c>
      <c r="N1333">
        <f>WEEKNUM([1]!orders[[#This Row],[Order Date]])</f>
        <v>8</v>
      </c>
      <c r="O1333" t="str" cm="1">
        <f t="array" ref="O1333">_xlfn.IFS([1]!orders[[#This Row],[Customer Gender]]="M","Male", [1]!orders[[#This Row],[Customer Gender]]="F","Female", [1]!orders[[#This Row],[Customer Gender]]="O","Other", TRUE,"Unknown")</f>
        <v>Female</v>
      </c>
    </row>
    <row r="1334" spans="1:15" x14ac:dyDescent="0.25">
      <c r="A1334" s="1" t="s">
        <v>1418</v>
      </c>
      <c r="B1334" s="1" t="s">
        <v>31</v>
      </c>
      <c r="C1334" s="1">
        <v>21</v>
      </c>
      <c r="D1334" s="1">
        <v>86.9</v>
      </c>
      <c r="E1334" s="1">
        <v>1824.9</v>
      </c>
      <c r="F1334" s="2">
        <v>45708</v>
      </c>
      <c r="G1334" s="2">
        <v>45711</v>
      </c>
      <c r="H1334" s="1" t="s">
        <v>12</v>
      </c>
      <c r="I1334" s="1" t="s">
        <v>3</v>
      </c>
      <c r="J1334" s="1">
        <v>3</v>
      </c>
      <c r="K1334" s="1" t="s">
        <v>4</v>
      </c>
      <c r="L1334" s="1" t="s">
        <v>18</v>
      </c>
      <c r="M1334" s="1">
        <f>[1]!orders[[#This Row],[Ship Date]]-[1]!orders[[#This Row],[Order Date]]</f>
        <v>3</v>
      </c>
      <c r="N1334" s="1">
        <f>WEEKNUM([1]!orders[[#This Row],[Order Date]])</f>
        <v>8</v>
      </c>
      <c r="O1334" t="str" cm="1">
        <f t="array" ref="O1334">_xlfn.IFS([1]!orders[[#This Row],[Customer Gender]]="M","Male", [1]!orders[[#This Row],[Customer Gender]]="F","Female", [1]!orders[[#This Row],[Customer Gender]]="O","Other", TRUE,"Unknown")</f>
        <v>Female</v>
      </c>
    </row>
    <row r="1335" spans="1:15" x14ac:dyDescent="0.25">
      <c r="A1335" t="s">
        <v>1419</v>
      </c>
      <c r="B1335" t="s">
        <v>52</v>
      </c>
      <c r="C1335">
        <v>3</v>
      </c>
      <c r="D1335">
        <v>31.8</v>
      </c>
      <c r="E1335">
        <v>95.4</v>
      </c>
      <c r="F1335" s="3">
        <v>45708</v>
      </c>
      <c r="G1335" s="3">
        <v>45710</v>
      </c>
      <c r="H1335" t="s">
        <v>8</v>
      </c>
      <c r="I1335" t="s">
        <v>3</v>
      </c>
      <c r="J1335">
        <v>5</v>
      </c>
      <c r="K1335" t="s">
        <v>4</v>
      </c>
      <c r="L1335" t="s">
        <v>18</v>
      </c>
      <c r="M1335">
        <f>[1]!orders[[#This Row],[Ship Date]]-[1]!orders[[#This Row],[Order Date]]</f>
        <v>2</v>
      </c>
      <c r="N1335">
        <f>WEEKNUM([1]!orders[[#This Row],[Order Date]])</f>
        <v>8</v>
      </c>
      <c r="O1335" t="str" cm="1">
        <f t="array" ref="O1335">_xlfn.IFS([1]!orders[[#This Row],[Customer Gender]]="M","Male", [1]!orders[[#This Row],[Customer Gender]]="F","Female", [1]!orders[[#This Row],[Customer Gender]]="O","Other", TRUE,"Unknown")</f>
        <v>Male</v>
      </c>
    </row>
    <row r="1336" spans="1:15" x14ac:dyDescent="0.25">
      <c r="A1336" s="1" t="s">
        <v>1420</v>
      </c>
      <c r="B1336" s="1" t="s">
        <v>29</v>
      </c>
      <c r="C1336" s="1">
        <v>1</v>
      </c>
      <c r="D1336" s="1">
        <v>19</v>
      </c>
      <c r="E1336" s="1">
        <v>19</v>
      </c>
      <c r="F1336" s="2">
        <v>45708</v>
      </c>
      <c r="G1336" s="2">
        <v>45709</v>
      </c>
      <c r="H1336" s="1" t="s">
        <v>12</v>
      </c>
      <c r="I1336" s="1" t="s">
        <v>3</v>
      </c>
      <c r="J1336" s="1">
        <v>5</v>
      </c>
      <c r="K1336" s="1" t="s">
        <v>4</v>
      </c>
      <c r="L1336" s="1" t="s">
        <v>18</v>
      </c>
      <c r="M1336" s="1">
        <f>[1]!orders[[#This Row],[Ship Date]]-[1]!orders[[#This Row],[Order Date]]</f>
        <v>1</v>
      </c>
      <c r="N1336" s="1">
        <f>WEEKNUM([1]!orders[[#This Row],[Order Date]])</f>
        <v>8</v>
      </c>
      <c r="O1336" t="str" cm="1">
        <f t="array" ref="O1336">_xlfn.IFS([1]!orders[[#This Row],[Customer Gender]]="M","Male", [1]!orders[[#This Row],[Customer Gender]]="F","Female", [1]!orders[[#This Row],[Customer Gender]]="O","Other", TRUE,"Unknown")</f>
        <v>Female</v>
      </c>
    </row>
    <row r="1337" spans="1:15" x14ac:dyDescent="0.25">
      <c r="A1337" t="s">
        <v>1421</v>
      </c>
      <c r="B1337" t="s">
        <v>22</v>
      </c>
      <c r="C1337">
        <v>1</v>
      </c>
      <c r="D1337">
        <v>54.5</v>
      </c>
      <c r="E1337">
        <v>54.5</v>
      </c>
      <c r="F1337" s="3">
        <v>45708</v>
      </c>
      <c r="G1337" s="3">
        <v>45710</v>
      </c>
      <c r="H1337" t="s">
        <v>8</v>
      </c>
      <c r="I1337" t="s">
        <v>3</v>
      </c>
      <c r="J1337">
        <v>4</v>
      </c>
      <c r="K1337" t="s">
        <v>4</v>
      </c>
      <c r="L1337" t="s">
        <v>18</v>
      </c>
      <c r="M1337">
        <f>[1]!orders[[#This Row],[Ship Date]]-[1]!orders[[#This Row],[Order Date]]</f>
        <v>2</v>
      </c>
      <c r="N1337">
        <f>WEEKNUM([1]!orders[[#This Row],[Order Date]])</f>
        <v>8</v>
      </c>
      <c r="O1337" t="str" cm="1">
        <f t="array" ref="O1337">_xlfn.IFS([1]!orders[[#This Row],[Customer Gender]]="M","Male", [1]!orders[[#This Row],[Customer Gender]]="F","Female", [1]!orders[[#This Row],[Customer Gender]]="O","Other", TRUE,"Unknown")</f>
        <v>Male</v>
      </c>
    </row>
    <row r="1338" spans="1:15" x14ac:dyDescent="0.25">
      <c r="A1338" s="1" t="s">
        <v>1422</v>
      </c>
      <c r="B1338" s="1" t="s">
        <v>31</v>
      </c>
      <c r="C1338" s="1">
        <v>5</v>
      </c>
      <c r="D1338" s="1">
        <v>68.900000000000006</v>
      </c>
      <c r="E1338" s="1">
        <v>344.5</v>
      </c>
      <c r="F1338" s="2">
        <v>45708</v>
      </c>
      <c r="G1338" s="2">
        <v>45710</v>
      </c>
      <c r="H1338" s="1" t="s">
        <v>8</v>
      </c>
      <c r="I1338" s="1" t="s">
        <v>55</v>
      </c>
      <c r="J1338" s="1">
        <v>3</v>
      </c>
      <c r="K1338" s="1" t="s">
        <v>4</v>
      </c>
      <c r="L1338" s="1" t="s">
        <v>18</v>
      </c>
      <c r="M1338" s="1">
        <f>[1]!orders[[#This Row],[Ship Date]]-[1]!orders[[#This Row],[Order Date]]</f>
        <v>2</v>
      </c>
      <c r="N1338" s="1">
        <f>WEEKNUM([1]!orders[[#This Row],[Order Date]])</f>
        <v>8</v>
      </c>
      <c r="O1338" t="str" cm="1">
        <f t="array" ref="O1338">_xlfn.IFS([1]!orders[[#This Row],[Customer Gender]]="M","Male", [1]!orders[[#This Row],[Customer Gender]]="F","Female", [1]!orders[[#This Row],[Customer Gender]]="O","Other", TRUE,"Unknown")</f>
        <v>Male</v>
      </c>
    </row>
    <row r="1339" spans="1:15" x14ac:dyDescent="0.25">
      <c r="A1339" t="s">
        <v>1423</v>
      </c>
      <c r="B1339" t="s">
        <v>24</v>
      </c>
      <c r="C1339">
        <v>3</v>
      </c>
      <c r="D1339">
        <v>84</v>
      </c>
      <c r="E1339">
        <v>252</v>
      </c>
      <c r="F1339" s="3">
        <v>45708</v>
      </c>
      <c r="G1339" s="3">
        <v>45709</v>
      </c>
      <c r="H1339" t="s">
        <v>8</v>
      </c>
      <c r="I1339" t="s">
        <v>20</v>
      </c>
      <c r="J1339">
        <v>2</v>
      </c>
      <c r="K1339" t="s">
        <v>4</v>
      </c>
      <c r="L1339" t="s">
        <v>83</v>
      </c>
      <c r="M1339">
        <f>[1]!orders[[#This Row],[Ship Date]]-[1]!orders[[#This Row],[Order Date]]</f>
        <v>1</v>
      </c>
      <c r="N1339">
        <f>WEEKNUM([1]!orders[[#This Row],[Order Date]])</f>
        <v>8</v>
      </c>
      <c r="O1339" t="str" cm="1">
        <f t="array" ref="O1339">_xlfn.IFS([1]!orders[[#This Row],[Customer Gender]]="M","Male", [1]!orders[[#This Row],[Customer Gender]]="F","Female", [1]!orders[[#This Row],[Customer Gender]]="O","Other", TRUE,"Unknown")</f>
        <v>Male</v>
      </c>
    </row>
    <row r="1340" spans="1:15" x14ac:dyDescent="0.25">
      <c r="A1340" s="1" t="s">
        <v>1424</v>
      </c>
      <c r="B1340" s="1" t="s">
        <v>108</v>
      </c>
      <c r="C1340" s="1">
        <v>8</v>
      </c>
      <c r="D1340" s="1">
        <v>23.1</v>
      </c>
      <c r="E1340" s="1">
        <v>184.8</v>
      </c>
      <c r="F1340" s="2">
        <v>45708</v>
      </c>
      <c r="G1340" s="2">
        <v>45713</v>
      </c>
      <c r="H1340" s="1" t="s">
        <v>8</v>
      </c>
      <c r="I1340" s="1" t="s">
        <v>3</v>
      </c>
      <c r="J1340" s="1">
        <v>5</v>
      </c>
      <c r="K1340" s="1" t="s">
        <v>4</v>
      </c>
      <c r="L1340" s="1" t="s">
        <v>143</v>
      </c>
      <c r="M1340" s="1">
        <f>[1]!orders[[#This Row],[Ship Date]]-[1]!orders[[#This Row],[Order Date]]</f>
        <v>5</v>
      </c>
      <c r="N1340" s="1">
        <f>WEEKNUM([1]!orders[[#This Row],[Order Date]])</f>
        <v>8</v>
      </c>
      <c r="O1340" t="str" cm="1">
        <f t="array" ref="O1340">_xlfn.IFS([1]!orders[[#This Row],[Customer Gender]]="M","Male", [1]!orders[[#This Row],[Customer Gender]]="F","Female", [1]!orders[[#This Row],[Customer Gender]]="O","Other", TRUE,"Unknown")</f>
        <v>Male</v>
      </c>
    </row>
    <row r="1341" spans="1:15" x14ac:dyDescent="0.25">
      <c r="A1341" t="s">
        <v>1425</v>
      </c>
      <c r="B1341" t="s">
        <v>27</v>
      </c>
      <c r="C1341">
        <v>2</v>
      </c>
      <c r="D1341">
        <v>62.4</v>
      </c>
      <c r="E1341">
        <v>124.8</v>
      </c>
      <c r="F1341" s="3">
        <v>45708</v>
      </c>
      <c r="G1341" s="3">
        <v>45709</v>
      </c>
      <c r="H1341" t="s">
        <v>12</v>
      </c>
      <c r="I1341" t="s">
        <v>3</v>
      </c>
      <c r="J1341">
        <v>3</v>
      </c>
      <c r="K1341" t="s">
        <v>4</v>
      </c>
      <c r="L1341" t="s">
        <v>40</v>
      </c>
      <c r="M1341">
        <f>[1]!orders[[#This Row],[Ship Date]]-[1]!orders[[#This Row],[Order Date]]</f>
        <v>1</v>
      </c>
      <c r="N1341">
        <f>WEEKNUM([1]!orders[[#This Row],[Order Date]])</f>
        <v>8</v>
      </c>
      <c r="O1341" t="str" cm="1">
        <f t="array" ref="O1341">_xlfn.IFS([1]!orders[[#This Row],[Customer Gender]]="M","Male", [1]!orders[[#This Row],[Customer Gender]]="F","Female", [1]!orders[[#This Row],[Customer Gender]]="O","Other", TRUE,"Unknown")</f>
        <v>Female</v>
      </c>
    </row>
    <row r="1342" spans="1:15" x14ac:dyDescent="0.25">
      <c r="A1342" s="1" t="s">
        <v>1426</v>
      </c>
      <c r="B1342" s="1" t="s">
        <v>24</v>
      </c>
      <c r="C1342" s="1">
        <v>12</v>
      </c>
      <c r="D1342" s="1">
        <v>40.700000000000003</v>
      </c>
      <c r="E1342" s="1">
        <v>488.40000000000003</v>
      </c>
      <c r="F1342" s="2">
        <v>45708</v>
      </c>
      <c r="G1342" s="2">
        <v>45710</v>
      </c>
      <c r="H1342" s="1" t="s">
        <v>8</v>
      </c>
      <c r="I1342" s="1" t="s">
        <v>20</v>
      </c>
      <c r="J1342" s="1">
        <v>5</v>
      </c>
      <c r="K1342" s="1" t="s">
        <v>4</v>
      </c>
      <c r="L1342" s="1" t="s">
        <v>40</v>
      </c>
      <c r="M1342" s="1">
        <f>[1]!orders[[#This Row],[Ship Date]]-[1]!orders[[#This Row],[Order Date]]</f>
        <v>2</v>
      </c>
      <c r="N1342" s="1">
        <f>WEEKNUM([1]!orders[[#This Row],[Order Date]])</f>
        <v>8</v>
      </c>
      <c r="O1342" t="str" cm="1">
        <f t="array" ref="O1342">_xlfn.IFS([1]!orders[[#This Row],[Customer Gender]]="M","Male", [1]!orders[[#This Row],[Customer Gender]]="F","Female", [1]!orders[[#This Row],[Customer Gender]]="O","Other", TRUE,"Unknown")</f>
        <v>Male</v>
      </c>
    </row>
    <row r="1343" spans="1:15" x14ac:dyDescent="0.25">
      <c r="A1343" t="s">
        <v>1427</v>
      </c>
      <c r="B1343" t="s">
        <v>24</v>
      </c>
      <c r="C1343">
        <v>1</v>
      </c>
      <c r="D1343">
        <v>49.6</v>
      </c>
      <c r="E1343">
        <v>49.6</v>
      </c>
      <c r="F1343" s="3">
        <v>45708</v>
      </c>
      <c r="G1343" s="3">
        <v>45711</v>
      </c>
      <c r="H1343" t="s">
        <v>8</v>
      </c>
      <c r="I1343" t="s">
        <v>25</v>
      </c>
      <c r="J1343">
        <v>4</v>
      </c>
      <c r="K1343" t="s">
        <v>4</v>
      </c>
      <c r="L1343" t="s">
        <v>44</v>
      </c>
      <c r="M1343">
        <f>[1]!orders[[#This Row],[Ship Date]]-[1]!orders[[#This Row],[Order Date]]</f>
        <v>3</v>
      </c>
      <c r="N1343">
        <f>WEEKNUM([1]!orders[[#This Row],[Order Date]])</f>
        <v>8</v>
      </c>
      <c r="O1343" t="str" cm="1">
        <f t="array" ref="O1343">_xlfn.IFS([1]!orders[[#This Row],[Customer Gender]]="M","Male", [1]!orders[[#This Row],[Customer Gender]]="F","Female", [1]!orders[[#This Row],[Customer Gender]]="O","Other", TRUE,"Unknown")</f>
        <v>Male</v>
      </c>
    </row>
    <row r="1344" spans="1:15" x14ac:dyDescent="0.25">
      <c r="A1344" s="1" t="s">
        <v>1428</v>
      </c>
      <c r="B1344" s="1" t="s">
        <v>27</v>
      </c>
      <c r="C1344" s="1">
        <v>45</v>
      </c>
      <c r="D1344" s="1">
        <v>66.599999999999994</v>
      </c>
      <c r="E1344" s="1">
        <v>2996.9999999999995</v>
      </c>
      <c r="F1344" s="2">
        <v>45708</v>
      </c>
      <c r="G1344" s="2">
        <v>45711</v>
      </c>
      <c r="H1344" s="1" t="s">
        <v>8</v>
      </c>
      <c r="I1344" s="1" t="s">
        <v>25</v>
      </c>
      <c r="J1344" s="1">
        <v>4</v>
      </c>
      <c r="K1344" s="1" t="s">
        <v>4</v>
      </c>
      <c r="L1344" s="1" t="s">
        <v>47</v>
      </c>
      <c r="M1344" s="1">
        <f>[1]!orders[[#This Row],[Ship Date]]-[1]!orders[[#This Row],[Order Date]]</f>
        <v>3</v>
      </c>
      <c r="N1344" s="1">
        <f>WEEKNUM([1]!orders[[#This Row],[Order Date]])</f>
        <v>8</v>
      </c>
      <c r="O1344" t="str" cm="1">
        <f t="array" ref="O1344">_xlfn.IFS([1]!orders[[#This Row],[Customer Gender]]="M","Male", [1]!orders[[#This Row],[Customer Gender]]="F","Female", [1]!orders[[#This Row],[Customer Gender]]="O","Other", TRUE,"Unknown")</f>
        <v>Male</v>
      </c>
    </row>
    <row r="1345" spans="1:15" x14ac:dyDescent="0.25">
      <c r="A1345" t="s">
        <v>1429</v>
      </c>
      <c r="B1345" t="s">
        <v>29</v>
      </c>
      <c r="C1345">
        <v>3</v>
      </c>
      <c r="D1345">
        <v>26.4</v>
      </c>
      <c r="E1345">
        <v>79.199999999999989</v>
      </c>
      <c r="F1345" s="3">
        <v>45708</v>
      </c>
      <c r="G1345" s="3">
        <v>45709</v>
      </c>
      <c r="H1345" t="s">
        <v>12</v>
      </c>
      <c r="I1345" t="s">
        <v>20</v>
      </c>
      <c r="J1345">
        <v>3</v>
      </c>
      <c r="K1345" t="s">
        <v>4</v>
      </c>
      <c r="L1345" t="s">
        <v>47</v>
      </c>
      <c r="M1345">
        <f>[1]!orders[[#This Row],[Ship Date]]-[1]!orders[[#This Row],[Order Date]]</f>
        <v>1</v>
      </c>
      <c r="N1345">
        <f>WEEKNUM([1]!orders[[#This Row],[Order Date]])</f>
        <v>8</v>
      </c>
      <c r="O1345" t="str" cm="1">
        <f t="array" ref="O1345">_xlfn.IFS([1]!orders[[#This Row],[Customer Gender]]="M","Male", [1]!orders[[#This Row],[Customer Gender]]="F","Female", [1]!orders[[#This Row],[Customer Gender]]="O","Other", TRUE,"Unknown")</f>
        <v>Female</v>
      </c>
    </row>
    <row r="1346" spans="1:15" x14ac:dyDescent="0.25">
      <c r="A1346" s="1" t="s">
        <v>1430</v>
      </c>
      <c r="B1346" s="1" t="s">
        <v>1</v>
      </c>
      <c r="C1346" s="1">
        <v>2</v>
      </c>
      <c r="D1346" s="1">
        <v>17.2</v>
      </c>
      <c r="E1346" s="1">
        <v>34.4</v>
      </c>
      <c r="F1346" s="2">
        <v>45708</v>
      </c>
      <c r="G1346" s="2">
        <v>45711</v>
      </c>
      <c r="H1346" s="1" t="s">
        <v>8</v>
      </c>
      <c r="I1346" s="1" t="s">
        <v>25</v>
      </c>
      <c r="J1346" s="1">
        <v>3</v>
      </c>
      <c r="K1346" s="1" t="s">
        <v>4</v>
      </c>
      <c r="L1346" s="1" t="s">
        <v>47</v>
      </c>
      <c r="M1346" s="1">
        <f>[1]!orders[[#This Row],[Ship Date]]-[1]!orders[[#This Row],[Order Date]]</f>
        <v>3</v>
      </c>
      <c r="N1346" s="1">
        <f>WEEKNUM([1]!orders[[#This Row],[Order Date]])</f>
        <v>8</v>
      </c>
      <c r="O1346" t="str" cm="1">
        <f t="array" ref="O1346">_xlfn.IFS([1]!orders[[#This Row],[Customer Gender]]="M","Male", [1]!orders[[#This Row],[Customer Gender]]="F","Female", [1]!orders[[#This Row],[Customer Gender]]="O","Other", TRUE,"Unknown")</f>
        <v>Male</v>
      </c>
    </row>
    <row r="1347" spans="1:15" x14ac:dyDescent="0.25">
      <c r="A1347" t="s">
        <v>1431</v>
      </c>
      <c r="B1347" t="s">
        <v>22</v>
      </c>
      <c r="C1347">
        <v>8</v>
      </c>
      <c r="D1347">
        <v>58.1</v>
      </c>
      <c r="E1347">
        <v>464.8</v>
      </c>
      <c r="F1347" s="3">
        <v>45708</v>
      </c>
      <c r="G1347" s="3">
        <v>45711</v>
      </c>
      <c r="H1347" t="s">
        <v>12</v>
      </c>
      <c r="I1347" t="s">
        <v>55</v>
      </c>
      <c r="J1347">
        <v>4</v>
      </c>
      <c r="K1347" t="s">
        <v>4</v>
      </c>
      <c r="L1347" t="s">
        <v>47</v>
      </c>
      <c r="M1347">
        <f>[1]!orders[[#This Row],[Ship Date]]-[1]!orders[[#This Row],[Order Date]]</f>
        <v>3</v>
      </c>
      <c r="N1347">
        <f>WEEKNUM([1]!orders[[#This Row],[Order Date]])</f>
        <v>8</v>
      </c>
      <c r="O1347" t="str" cm="1">
        <f t="array" ref="O1347">_xlfn.IFS([1]!orders[[#This Row],[Customer Gender]]="M","Male", [1]!orders[[#This Row],[Customer Gender]]="F","Female", [1]!orders[[#This Row],[Customer Gender]]="O","Other", TRUE,"Unknown")</f>
        <v>Female</v>
      </c>
    </row>
    <row r="1348" spans="1:15" x14ac:dyDescent="0.25">
      <c r="A1348" s="1" t="s">
        <v>1432</v>
      </c>
      <c r="B1348" s="1" t="s">
        <v>108</v>
      </c>
      <c r="C1348" s="1">
        <v>4</v>
      </c>
      <c r="D1348" s="1">
        <v>31.5</v>
      </c>
      <c r="E1348" s="1">
        <v>126</v>
      </c>
      <c r="F1348" s="2">
        <v>45708</v>
      </c>
      <c r="G1348" s="2">
        <v>45711</v>
      </c>
      <c r="H1348" s="1" t="s">
        <v>12</v>
      </c>
      <c r="I1348" s="1" t="s">
        <v>55</v>
      </c>
      <c r="J1348" s="1">
        <v>2</v>
      </c>
      <c r="K1348" s="1" t="s">
        <v>4</v>
      </c>
      <c r="L1348" s="1" t="s">
        <v>47</v>
      </c>
      <c r="M1348" s="1">
        <f>[1]!orders[[#This Row],[Ship Date]]-[1]!orders[[#This Row],[Order Date]]</f>
        <v>3</v>
      </c>
      <c r="N1348" s="1">
        <f>WEEKNUM([1]!orders[[#This Row],[Order Date]])</f>
        <v>8</v>
      </c>
      <c r="O1348" t="str" cm="1">
        <f t="array" ref="O1348">_xlfn.IFS([1]!orders[[#This Row],[Customer Gender]]="M","Male", [1]!orders[[#This Row],[Customer Gender]]="F","Female", [1]!orders[[#This Row],[Customer Gender]]="O","Other", TRUE,"Unknown")</f>
        <v>Female</v>
      </c>
    </row>
    <row r="1349" spans="1:15" x14ac:dyDescent="0.25">
      <c r="A1349" t="s">
        <v>1433</v>
      </c>
      <c r="B1349" t="s">
        <v>1</v>
      </c>
      <c r="C1349">
        <v>1</v>
      </c>
      <c r="D1349">
        <v>27.1</v>
      </c>
      <c r="E1349">
        <v>27.1</v>
      </c>
      <c r="F1349" s="3">
        <v>45708</v>
      </c>
      <c r="G1349" s="3">
        <v>45710</v>
      </c>
      <c r="H1349" t="s">
        <v>12</v>
      </c>
      <c r="I1349" t="s">
        <v>3</v>
      </c>
      <c r="J1349">
        <v>3</v>
      </c>
      <c r="K1349" t="s">
        <v>4</v>
      </c>
      <c r="L1349" t="s">
        <v>88</v>
      </c>
      <c r="M1349">
        <f>[1]!orders[[#This Row],[Ship Date]]-[1]!orders[[#This Row],[Order Date]]</f>
        <v>2</v>
      </c>
      <c r="N1349">
        <f>WEEKNUM([1]!orders[[#This Row],[Order Date]])</f>
        <v>8</v>
      </c>
      <c r="O1349" t="str" cm="1">
        <f t="array" ref="O1349">_xlfn.IFS([1]!orders[[#This Row],[Customer Gender]]="M","Male", [1]!orders[[#This Row],[Customer Gender]]="F","Female", [1]!orders[[#This Row],[Customer Gender]]="O","Other", TRUE,"Unknown")</f>
        <v>Female</v>
      </c>
    </row>
    <row r="1350" spans="1:15" x14ac:dyDescent="0.25">
      <c r="A1350" s="1" t="s">
        <v>1434</v>
      </c>
      <c r="B1350" s="1" t="s">
        <v>131</v>
      </c>
      <c r="C1350" s="1">
        <v>4</v>
      </c>
      <c r="D1350" s="1">
        <v>28.5</v>
      </c>
      <c r="E1350" s="1">
        <v>114</v>
      </c>
      <c r="F1350" s="2">
        <v>45708</v>
      </c>
      <c r="G1350" s="2">
        <v>45710</v>
      </c>
      <c r="H1350" s="1" t="s">
        <v>8</v>
      </c>
      <c r="I1350" s="1" t="s">
        <v>20</v>
      </c>
      <c r="J1350" s="1">
        <v>5</v>
      </c>
      <c r="K1350" s="1" t="s">
        <v>4</v>
      </c>
      <c r="L1350" s="1" t="s">
        <v>57</v>
      </c>
      <c r="M1350" s="1">
        <f>[1]!orders[[#This Row],[Ship Date]]-[1]!orders[[#This Row],[Order Date]]</f>
        <v>2</v>
      </c>
      <c r="N1350" s="1">
        <f>WEEKNUM([1]!orders[[#This Row],[Order Date]])</f>
        <v>8</v>
      </c>
      <c r="O1350" t="str" cm="1">
        <f t="array" ref="O1350">_xlfn.IFS([1]!orders[[#This Row],[Customer Gender]]="M","Male", [1]!orders[[#This Row],[Customer Gender]]="F","Female", [1]!orders[[#This Row],[Customer Gender]]="O","Other", TRUE,"Unknown")</f>
        <v>Male</v>
      </c>
    </row>
    <row r="1351" spans="1:15" x14ac:dyDescent="0.25">
      <c r="A1351" t="s">
        <v>1435</v>
      </c>
      <c r="B1351" t="s">
        <v>39</v>
      </c>
      <c r="C1351">
        <v>1</v>
      </c>
      <c r="D1351">
        <v>40.5</v>
      </c>
      <c r="E1351">
        <v>40.5</v>
      </c>
      <c r="F1351" s="3">
        <v>45709</v>
      </c>
      <c r="G1351" s="3">
        <v>45711</v>
      </c>
      <c r="H1351" t="s">
        <v>74</v>
      </c>
      <c r="I1351" t="s">
        <v>25</v>
      </c>
      <c r="J1351">
        <v>4</v>
      </c>
      <c r="K1351" t="s">
        <v>4</v>
      </c>
      <c r="L1351" t="s">
        <v>57</v>
      </c>
      <c r="M1351">
        <f>[1]!orders[[#This Row],[Ship Date]]-[1]!orders[[#This Row],[Order Date]]</f>
        <v>2</v>
      </c>
      <c r="N1351">
        <f>WEEKNUM([1]!orders[[#This Row],[Order Date]])</f>
        <v>8</v>
      </c>
      <c r="O1351" t="str" cm="1">
        <f t="array" ref="O1351">_xlfn.IFS([1]!orders[[#This Row],[Customer Gender]]="M","Male", [1]!orders[[#This Row],[Customer Gender]]="F","Female", [1]!orders[[#This Row],[Customer Gender]]="O","Other", TRUE,"Unknown")</f>
        <v>Other</v>
      </c>
    </row>
    <row r="1352" spans="1:15" x14ac:dyDescent="0.25">
      <c r="A1352" s="1" t="s">
        <v>1436</v>
      </c>
      <c r="B1352" s="1" t="s">
        <v>11</v>
      </c>
      <c r="C1352" s="1">
        <v>3</v>
      </c>
      <c r="D1352" s="1">
        <v>77.900000000000006</v>
      </c>
      <c r="E1352" s="1">
        <v>233.70000000000002</v>
      </c>
      <c r="F1352" s="2">
        <v>45709</v>
      </c>
      <c r="G1352" s="2">
        <v>45713</v>
      </c>
      <c r="H1352" s="1" t="s">
        <v>12</v>
      </c>
      <c r="I1352" s="1" t="s">
        <v>20</v>
      </c>
      <c r="J1352" s="1">
        <v>5</v>
      </c>
      <c r="K1352" s="1" t="s">
        <v>4</v>
      </c>
      <c r="L1352" s="1" t="s">
        <v>95</v>
      </c>
      <c r="M1352" s="1">
        <f>[1]!orders[[#This Row],[Ship Date]]-[1]!orders[[#This Row],[Order Date]]</f>
        <v>4</v>
      </c>
      <c r="N1352" s="1">
        <f>WEEKNUM([1]!orders[[#This Row],[Order Date]])</f>
        <v>8</v>
      </c>
      <c r="O1352" t="str" cm="1">
        <f t="array" ref="O1352">_xlfn.IFS([1]!orders[[#This Row],[Customer Gender]]="M","Male", [1]!orders[[#This Row],[Customer Gender]]="F","Female", [1]!orders[[#This Row],[Customer Gender]]="O","Other", TRUE,"Unknown")</f>
        <v>Female</v>
      </c>
    </row>
    <row r="1353" spans="1:15" x14ac:dyDescent="0.25">
      <c r="A1353" t="s">
        <v>1437</v>
      </c>
      <c r="B1353" t="s">
        <v>131</v>
      </c>
      <c r="C1353">
        <v>4</v>
      </c>
      <c r="D1353">
        <v>37.1</v>
      </c>
      <c r="E1353">
        <v>148.4</v>
      </c>
      <c r="F1353" s="3">
        <v>45709</v>
      </c>
      <c r="G1353" s="3">
        <v>45711</v>
      </c>
      <c r="H1353" t="s">
        <v>8</v>
      </c>
      <c r="I1353" t="s">
        <v>55</v>
      </c>
      <c r="J1353">
        <v>5</v>
      </c>
      <c r="K1353" t="s">
        <v>4</v>
      </c>
      <c r="L1353" t="s">
        <v>95</v>
      </c>
      <c r="M1353">
        <f>[1]!orders[[#This Row],[Ship Date]]-[1]!orders[[#This Row],[Order Date]]</f>
        <v>2</v>
      </c>
      <c r="N1353">
        <f>WEEKNUM([1]!orders[[#This Row],[Order Date]])</f>
        <v>8</v>
      </c>
      <c r="O1353" t="str" cm="1">
        <f t="array" ref="O1353">_xlfn.IFS([1]!orders[[#This Row],[Customer Gender]]="M","Male", [1]!orders[[#This Row],[Customer Gender]]="F","Female", [1]!orders[[#This Row],[Customer Gender]]="O","Other", TRUE,"Unknown")</f>
        <v>Male</v>
      </c>
    </row>
    <row r="1354" spans="1:15" x14ac:dyDescent="0.25">
      <c r="A1354" s="1" t="s">
        <v>1438</v>
      </c>
      <c r="B1354" s="1" t="s">
        <v>113</v>
      </c>
      <c r="C1354" s="1">
        <v>3</v>
      </c>
      <c r="D1354" s="1">
        <v>51.6</v>
      </c>
      <c r="E1354" s="1">
        <v>154.80000000000001</v>
      </c>
      <c r="F1354" s="2">
        <v>45709</v>
      </c>
      <c r="G1354" s="2">
        <v>45717</v>
      </c>
      <c r="H1354" s="1" t="s">
        <v>12</v>
      </c>
      <c r="I1354" s="1" t="s">
        <v>3</v>
      </c>
      <c r="J1354" s="1">
        <v>2</v>
      </c>
      <c r="K1354" s="1" t="s">
        <v>4</v>
      </c>
      <c r="L1354" s="1" t="s">
        <v>95</v>
      </c>
      <c r="M1354" s="1">
        <f>[1]!orders[[#This Row],[Ship Date]]-[1]!orders[[#This Row],[Order Date]]</f>
        <v>8</v>
      </c>
      <c r="N1354" s="1">
        <f>WEEKNUM([1]!orders[[#This Row],[Order Date]])</f>
        <v>8</v>
      </c>
      <c r="O1354" t="str" cm="1">
        <f t="array" ref="O1354">_xlfn.IFS([1]!orders[[#This Row],[Customer Gender]]="M","Male", [1]!orders[[#This Row],[Customer Gender]]="F","Female", [1]!orders[[#This Row],[Customer Gender]]="O","Other", TRUE,"Unknown")</f>
        <v>Female</v>
      </c>
    </row>
    <row r="1355" spans="1:15" x14ac:dyDescent="0.25">
      <c r="A1355" t="s">
        <v>1439</v>
      </c>
      <c r="B1355" t="s">
        <v>27</v>
      </c>
      <c r="C1355">
        <v>3</v>
      </c>
      <c r="D1355">
        <v>98</v>
      </c>
      <c r="E1355">
        <v>294</v>
      </c>
      <c r="F1355" s="3">
        <v>45709</v>
      </c>
      <c r="G1355" s="3">
        <v>45710</v>
      </c>
      <c r="H1355" t="s">
        <v>8</v>
      </c>
      <c r="I1355" t="s">
        <v>20</v>
      </c>
      <c r="J1355">
        <v>3</v>
      </c>
      <c r="K1355" t="s">
        <v>4</v>
      </c>
      <c r="L1355" t="s">
        <v>95</v>
      </c>
      <c r="M1355">
        <f>[1]!orders[[#This Row],[Ship Date]]-[1]!orders[[#This Row],[Order Date]]</f>
        <v>1</v>
      </c>
      <c r="N1355">
        <f>WEEKNUM([1]!orders[[#This Row],[Order Date]])</f>
        <v>8</v>
      </c>
      <c r="O1355" t="str" cm="1">
        <f t="array" ref="O1355">_xlfn.IFS([1]!orders[[#This Row],[Customer Gender]]="M","Male", [1]!orders[[#This Row],[Customer Gender]]="F","Female", [1]!orders[[#This Row],[Customer Gender]]="O","Other", TRUE,"Unknown")</f>
        <v>Male</v>
      </c>
    </row>
    <row r="1356" spans="1:15" x14ac:dyDescent="0.25">
      <c r="A1356" s="1" t="s">
        <v>1440</v>
      </c>
      <c r="B1356" s="1" t="s">
        <v>24</v>
      </c>
      <c r="C1356" s="1">
        <v>7</v>
      </c>
      <c r="D1356" s="1">
        <v>41.4</v>
      </c>
      <c r="E1356" s="1">
        <v>289.8</v>
      </c>
      <c r="F1356" s="2">
        <v>45709</v>
      </c>
      <c r="G1356" s="2">
        <v>45710</v>
      </c>
      <c r="H1356" s="1" t="s">
        <v>8</v>
      </c>
      <c r="I1356" s="1" t="s">
        <v>20</v>
      </c>
      <c r="J1356" s="1">
        <v>4</v>
      </c>
      <c r="K1356" s="1" t="s">
        <v>4</v>
      </c>
      <c r="L1356" s="1" t="s">
        <v>98</v>
      </c>
      <c r="M1356" s="1">
        <f>[1]!orders[[#This Row],[Ship Date]]-[1]!orders[[#This Row],[Order Date]]</f>
        <v>1</v>
      </c>
      <c r="N1356" s="1">
        <f>WEEKNUM([1]!orders[[#This Row],[Order Date]])</f>
        <v>8</v>
      </c>
      <c r="O1356" t="str" cm="1">
        <f t="array" ref="O1356">_xlfn.IFS([1]!orders[[#This Row],[Customer Gender]]="M","Male", [1]!orders[[#This Row],[Customer Gender]]="F","Female", [1]!orders[[#This Row],[Customer Gender]]="O","Other", TRUE,"Unknown")</f>
        <v>Male</v>
      </c>
    </row>
    <row r="1357" spans="1:15" x14ac:dyDescent="0.25">
      <c r="A1357" t="s">
        <v>1441</v>
      </c>
      <c r="B1357" t="s">
        <v>52</v>
      </c>
      <c r="C1357">
        <v>8</v>
      </c>
      <c r="D1357">
        <v>34</v>
      </c>
      <c r="E1357">
        <v>272</v>
      </c>
      <c r="F1357" s="3">
        <v>45709</v>
      </c>
      <c r="G1357" s="3">
        <v>45714</v>
      </c>
      <c r="H1357" t="s">
        <v>12</v>
      </c>
      <c r="I1357" t="s">
        <v>3</v>
      </c>
      <c r="J1357">
        <v>5</v>
      </c>
      <c r="K1357" t="s">
        <v>4</v>
      </c>
      <c r="L1357" t="s">
        <v>982</v>
      </c>
      <c r="M1357">
        <f>[1]!orders[[#This Row],[Ship Date]]-[1]!orders[[#This Row],[Order Date]]</f>
        <v>5</v>
      </c>
      <c r="N1357">
        <f>WEEKNUM([1]!orders[[#This Row],[Order Date]])</f>
        <v>8</v>
      </c>
      <c r="O1357" t="str" cm="1">
        <f t="array" ref="O1357">_xlfn.IFS([1]!orders[[#This Row],[Customer Gender]]="M","Male", [1]!orders[[#This Row],[Customer Gender]]="F","Female", [1]!orders[[#This Row],[Customer Gender]]="O","Other", TRUE,"Unknown")</f>
        <v>Female</v>
      </c>
    </row>
    <row r="1358" spans="1:15" x14ac:dyDescent="0.25">
      <c r="A1358" s="1" t="s">
        <v>1442</v>
      </c>
      <c r="B1358" s="1" t="s">
        <v>24</v>
      </c>
      <c r="C1358" s="1">
        <v>1</v>
      </c>
      <c r="D1358" s="1">
        <v>66.3</v>
      </c>
      <c r="E1358" s="1">
        <v>66.3</v>
      </c>
      <c r="F1358" s="2">
        <v>45709</v>
      </c>
      <c r="G1358" s="2">
        <v>45710</v>
      </c>
      <c r="H1358" s="1" t="s">
        <v>12</v>
      </c>
      <c r="I1358" s="1" t="s">
        <v>20</v>
      </c>
      <c r="J1358" s="1">
        <v>4</v>
      </c>
      <c r="K1358" s="1" t="s">
        <v>4</v>
      </c>
      <c r="L1358" s="1" t="s">
        <v>67</v>
      </c>
      <c r="M1358" s="1">
        <f>[1]!orders[[#This Row],[Ship Date]]-[1]!orders[[#This Row],[Order Date]]</f>
        <v>1</v>
      </c>
      <c r="N1358" s="1">
        <f>WEEKNUM([1]!orders[[#This Row],[Order Date]])</f>
        <v>8</v>
      </c>
      <c r="O1358" t="str" cm="1">
        <f t="array" ref="O1358">_xlfn.IFS([1]!orders[[#This Row],[Customer Gender]]="M","Male", [1]!orders[[#This Row],[Customer Gender]]="F","Female", [1]!orders[[#This Row],[Customer Gender]]="O","Other", TRUE,"Unknown")</f>
        <v>Female</v>
      </c>
    </row>
    <row r="1359" spans="1:15" x14ac:dyDescent="0.25">
      <c r="A1359" t="s">
        <v>1443</v>
      </c>
      <c r="B1359" t="s">
        <v>27</v>
      </c>
      <c r="C1359">
        <v>1</v>
      </c>
      <c r="D1359">
        <v>33.5</v>
      </c>
      <c r="E1359">
        <v>33.5</v>
      </c>
      <c r="F1359" s="3">
        <v>45709</v>
      </c>
      <c r="G1359" s="3">
        <v>45713</v>
      </c>
      <c r="H1359" t="s">
        <v>8</v>
      </c>
      <c r="I1359" t="s">
        <v>25</v>
      </c>
      <c r="J1359">
        <v>4</v>
      </c>
      <c r="K1359" t="s">
        <v>4</v>
      </c>
      <c r="L1359" t="s">
        <v>67</v>
      </c>
      <c r="M1359">
        <f>[1]!orders[[#This Row],[Ship Date]]-[1]!orders[[#This Row],[Order Date]]</f>
        <v>4</v>
      </c>
      <c r="N1359">
        <f>WEEKNUM([1]!orders[[#This Row],[Order Date]])</f>
        <v>8</v>
      </c>
      <c r="O1359" t="str" cm="1">
        <f t="array" ref="O1359">_xlfn.IFS([1]!orders[[#This Row],[Customer Gender]]="M","Male", [1]!orders[[#This Row],[Customer Gender]]="F","Female", [1]!orders[[#This Row],[Customer Gender]]="O","Other", TRUE,"Unknown")</f>
        <v>Male</v>
      </c>
    </row>
    <row r="1360" spans="1:15" x14ac:dyDescent="0.25">
      <c r="A1360" s="1" t="s">
        <v>1444</v>
      </c>
      <c r="B1360" s="1" t="s">
        <v>54</v>
      </c>
      <c r="C1360" s="1">
        <v>2</v>
      </c>
      <c r="D1360" s="1">
        <v>70.8</v>
      </c>
      <c r="E1360" s="1">
        <v>141.6</v>
      </c>
      <c r="F1360" s="2">
        <v>45709</v>
      </c>
      <c r="G1360" s="2">
        <v>45710</v>
      </c>
      <c r="H1360" s="1" t="s">
        <v>2</v>
      </c>
      <c r="I1360" s="1" t="s">
        <v>3</v>
      </c>
      <c r="J1360" s="1">
        <v>4</v>
      </c>
      <c r="K1360" s="1" t="s">
        <v>4</v>
      </c>
      <c r="L1360" s="1" t="s">
        <v>228</v>
      </c>
      <c r="M1360" s="1">
        <f>[1]!orders[[#This Row],[Ship Date]]-[1]!orders[[#This Row],[Order Date]]</f>
        <v>1</v>
      </c>
      <c r="N1360" s="1">
        <f>WEEKNUM([1]!orders[[#This Row],[Order Date]])</f>
        <v>8</v>
      </c>
      <c r="O1360" t="str" cm="1">
        <f t="array" ref="O1360">_xlfn.IFS([1]!orders[[#This Row],[Customer Gender]]="M","Male", [1]!orders[[#This Row],[Customer Gender]]="F","Female", [1]!orders[[#This Row],[Customer Gender]]="O","Other", TRUE,"Unknown")</f>
        <v>Unknown</v>
      </c>
    </row>
    <row r="1361" spans="1:15" x14ac:dyDescent="0.25">
      <c r="A1361" t="s">
        <v>1445</v>
      </c>
      <c r="B1361" t="s">
        <v>24</v>
      </c>
      <c r="C1361">
        <v>2</v>
      </c>
      <c r="D1361">
        <v>127.6</v>
      </c>
      <c r="E1361">
        <v>255.2</v>
      </c>
      <c r="F1361" s="3">
        <v>45709</v>
      </c>
      <c r="G1361" s="3">
        <v>45710</v>
      </c>
      <c r="H1361" t="s">
        <v>8</v>
      </c>
      <c r="I1361" t="s">
        <v>3</v>
      </c>
      <c r="J1361">
        <v>4</v>
      </c>
      <c r="K1361" t="s">
        <v>4</v>
      </c>
      <c r="L1361" t="s">
        <v>100</v>
      </c>
      <c r="M1361">
        <f>[1]!orders[[#This Row],[Ship Date]]-[1]!orders[[#This Row],[Order Date]]</f>
        <v>1</v>
      </c>
      <c r="N1361">
        <f>WEEKNUM([1]!orders[[#This Row],[Order Date]])</f>
        <v>8</v>
      </c>
      <c r="O1361" t="str" cm="1">
        <f t="array" ref="O1361">_xlfn.IFS([1]!orders[[#This Row],[Customer Gender]]="M","Male", [1]!orders[[#This Row],[Customer Gender]]="F","Female", [1]!orders[[#This Row],[Customer Gender]]="O","Other", TRUE,"Unknown")</f>
        <v>Male</v>
      </c>
    </row>
    <row r="1362" spans="1:15" x14ac:dyDescent="0.25">
      <c r="A1362" s="1" t="s">
        <v>1446</v>
      </c>
      <c r="B1362" s="1" t="s">
        <v>24</v>
      </c>
      <c r="C1362" s="1">
        <v>3</v>
      </c>
      <c r="D1362" s="1">
        <v>95.9</v>
      </c>
      <c r="E1362" s="1">
        <v>287.70000000000005</v>
      </c>
      <c r="F1362" s="2">
        <v>45709</v>
      </c>
      <c r="G1362" s="2">
        <v>45710</v>
      </c>
      <c r="H1362" s="1" t="s">
        <v>12</v>
      </c>
      <c r="I1362" s="1" t="s">
        <v>20</v>
      </c>
      <c r="J1362" s="1">
        <v>3</v>
      </c>
      <c r="K1362" s="1" t="s">
        <v>4</v>
      </c>
      <c r="L1362" s="1" t="s">
        <v>100</v>
      </c>
      <c r="M1362" s="1">
        <f>[1]!orders[[#This Row],[Ship Date]]-[1]!orders[[#This Row],[Order Date]]</f>
        <v>1</v>
      </c>
      <c r="N1362" s="1">
        <f>WEEKNUM([1]!orders[[#This Row],[Order Date]])</f>
        <v>8</v>
      </c>
      <c r="O1362" t="str" cm="1">
        <f t="array" ref="O1362">_xlfn.IFS([1]!orders[[#This Row],[Customer Gender]]="M","Male", [1]!orders[[#This Row],[Customer Gender]]="F","Female", [1]!orders[[#This Row],[Customer Gender]]="O","Other", TRUE,"Unknown")</f>
        <v>Female</v>
      </c>
    </row>
    <row r="1363" spans="1:15" x14ac:dyDescent="0.25">
      <c r="A1363" t="s">
        <v>1447</v>
      </c>
      <c r="B1363" t="s">
        <v>11</v>
      </c>
      <c r="C1363">
        <v>2</v>
      </c>
      <c r="D1363">
        <v>78.099999999999994</v>
      </c>
      <c r="E1363">
        <v>156.19999999999999</v>
      </c>
      <c r="F1363" s="3">
        <v>45709</v>
      </c>
      <c r="G1363" s="3">
        <v>45710</v>
      </c>
      <c r="H1363" t="s">
        <v>8</v>
      </c>
      <c r="I1363" t="s">
        <v>3</v>
      </c>
      <c r="J1363">
        <v>4</v>
      </c>
      <c r="K1363" t="s">
        <v>4</v>
      </c>
      <c r="L1363" t="s">
        <v>9</v>
      </c>
      <c r="M1363">
        <f>[1]!orders[[#This Row],[Ship Date]]-[1]!orders[[#This Row],[Order Date]]</f>
        <v>1</v>
      </c>
      <c r="N1363">
        <f>WEEKNUM([1]!orders[[#This Row],[Order Date]])</f>
        <v>8</v>
      </c>
      <c r="O1363" t="str" cm="1">
        <f t="array" ref="O1363">_xlfn.IFS([1]!orders[[#This Row],[Customer Gender]]="M","Male", [1]!orders[[#This Row],[Customer Gender]]="F","Female", [1]!orders[[#This Row],[Customer Gender]]="O","Other", TRUE,"Unknown")</f>
        <v>Male</v>
      </c>
    </row>
    <row r="1364" spans="1:15" x14ac:dyDescent="0.25">
      <c r="A1364" s="1" t="s">
        <v>1448</v>
      </c>
      <c r="B1364" s="1" t="s">
        <v>61</v>
      </c>
      <c r="C1364" s="1">
        <v>2</v>
      </c>
      <c r="D1364" s="1">
        <v>43.2</v>
      </c>
      <c r="E1364" s="1">
        <v>86.4</v>
      </c>
      <c r="F1364" s="2">
        <v>45709</v>
      </c>
      <c r="G1364" s="2">
        <v>45710</v>
      </c>
      <c r="H1364" s="1" t="s">
        <v>2</v>
      </c>
      <c r="I1364" s="1" t="s">
        <v>20</v>
      </c>
      <c r="J1364" s="1">
        <v>3</v>
      </c>
      <c r="K1364" s="1" t="s">
        <v>4</v>
      </c>
      <c r="L1364" s="1" t="s">
        <v>9</v>
      </c>
      <c r="M1364" s="1">
        <f>[1]!orders[[#This Row],[Ship Date]]-[1]!orders[[#This Row],[Order Date]]</f>
        <v>1</v>
      </c>
      <c r="N1364" s="1">
        <f>WEEKNUM([1]!orders[[#This Row],[Order Date]])</f>
        <v>8</v>
      </c>
      <c r="O1364" t="str" cm="1">
        <f t="array" ref="O1364">_xlfn.IFS([1]!orders[[#This Row],[Customer Gender]]="M","Male", [1]!orders[[#This Row],[Customer Gender]]="F","Female", [1]!orders[[#This Row],[Customer Gender]]="O","Other", TRUE,"Unknown")</f>
        <v>Unknown</v>
      </c>
    </row>
    <row r="1365" spans="1:15" x14ac:dyDescent="0.25">
      <c r="A1365" t="s">
        <v>1449</v>
      </c>
      <c r="B1365" t="s">
        <v>29</v>
      </c>
      <c r="C1365">
        <v>4</v>
      </c>
      <c r="D1365">
        <v>28.4</v>
      </c>
      <c r="E1365">
        <v>113.6</v>
      </c>
      <c r="F1365" s="3">
        <v>45709</v>
      </c>
      <c r="G1365" s="3">
        <v>45715</v>
      </c>
      <c r="H1365" t="s">
        <v>8</v>
      </c>
      <c r="I1365" t="s">
        <v>25</v>
      </c>
      <c r="J1365">
        <v>4</v>
      </c>
      <c r="K1365" t="s">
        <v>4</v>
      </c>
      <c r="L1365" t="s">
        <v>18</v>
      </c>
      <c r="M1365">
        <f>[1]!orders[[#This Row],[Ship Date]]-[1]!orders[[#This Row],[Order Date]]</f>
        <v>6</v>
      </c>
      <c r="N1365">
        <f>WEEKNUM([1]!orders[[#This Row],[Order Date]])</f>
        <v>8</v>
      </c>
      <c r="O1365" t="str" cm="1">
        <f t="array" ref="O1365">_xlfn.IFS([1]!orders[[#This Row],[Customer Gender]]="M","Male", [1]!orders[[#This Row],[Customer Gender]]="F","Female", [1]!orders[[#This Row],[Customer Gender]]="O","Other", TRUE,"Unknown")</f>
        <v>Male</v>
      </c>
    </row>
    <row r="1366" spans="1:15" x14ac:dyDescent="0.25">
      <c r="A1366" s="1" t="s">
        <v>1450</v>
      </c>
      <c r="B1366" s="1" t="s">
        <v>11</v>
      </c>
      <c r="C1366" s="1">
        <v>2</v>
      </c>
      <c r="D1366" s="1">
        <v>81.7</v>
      </c>
      <c r="E1366" s="1">
        <v>163.4</v>
      </c>
      <c r="F1366" s="2">
        <v>45709</v>
      </c>
      <c r="G1366" s="2">
        <v>45709</v>
      </c>
      <c r="H1366" s="1" t="s">
        <v>8</v>
      </c>
      <c r="I1366" s="1" t="s">
        <v>3</v>
      </c>
      <c r="J1366" s="1">
        <v>4</v>
      </c>
      <c r="K1366" s="1" t="s">
        <v>4</v>
      </c>
      <c r="L1366" s="1" t="s">
        <v>18</v>
      </c>
      <c r="M1366" s="1">
        <f>[1]!orders[[#This Row],[Ship Date]]-[1]!orders[[#This Row],[Order Date]]</f>
        <v>0</v>
      </c>
      <c r="N1366" s="1">
        <f>WEEKNUM([1]!orders[[#This Row],[Order Date]])</f>
        <v>8</v>
      </c>
      <c r="O1366" t="str" cm="1">
        <f t="array" ref="O1366">_xlfn.IFS([1]!orders[[#This Row],[Customer Gender]]="M","Male", [1]!orders[[#This Row],[Customer Gender]]="F","Female", [1]!orders[[#This Row],[Customer Gender]]="O","Other", TRUE,"Unknown")</f>
        <v>Male</v>
      </c>
    </row>
    <row r="1367" spans="1:15" x14ac:dyDescent="0.25">
      <c r="A1367" t="s">
        <v>1451</v>
      </c>
      <c r="B1367" t="s">
        <v>131</v>
      </c>
      <c r="C1367">
        <v>2</v>
      </c>
      <c r="D1367">
        <v>56.7</v>
      </c>
      <c r="E1367">
        <v>113.4</v>
      </c>
      <c r="F1367" s="3">
        <v>45709</v>
      </c>
      <c r="G1367" s="3">
        <v>45711</v>
      </c>
      <c r="H1367" t="s">
        <v>2</v>
      </c>
      <c r="I1367" t="s">
        <v>3</v>
      </c>
      <c r="J1367">
        <v>5</v>
      </c>
      <c r="K1367" t="s">
        <v>4</v>
      </c>
      <c r="L1367" t="s">
        <v>18</v>
      </c>
      <c r="M1367">
        <f>[1]!orders[[#This Row],[Ship Date]]-[1]!orders[[#This Row],[Order Date]]</f>
        <v>2</v>
      </c>
      <c r="N1367">
        <f>WEEKNUM([1]!orders[[#This Row],[Order Date]])</f>
        <v>8</v>
      </c>
      <c r="O1367" t="str" cm="1">
        <f t="array" ref="O1367">_xlfn.IFS([1]!orders[[#This Row],[Customer Gender]]="M","Male", [1]!orders[[#This Row],[Customer Gender]]="F","Female", [1]!orders[[#This Row],[Customer Gender]]="O","Other", TRUE,"Unknown")</f>
        <v>Unknown</v>
      </c>
    </row>
    <row r="1368" spans="1:15" x14ac:dyDescent="0.25">
      <c r="A1368" s="1" t="s">
        <v>1452</v>
      </c>
      <c r="B1368" s="1" t="s">
        <v>15</v>
      </c>
      <c r="C1368" s="1">
        <v>4</v>
      </c>
      <c r="D1368" s="1">
        <v>66.5</v>
      </c>
      <c r="E1368" s="1">
        <v>266</v>
      </c>
      <c r="F1368" s="2">
        <v>45709</v>
      </c>
      <c r="G1368" s="2">
        <v>45709</v>
      </c>
      <c r="H1368" s="1" t="s">
        <v>12</v>
      </c>
      <c r="I1368" s="1" t="s">
        <v>3</v>
      </c>
      <c r="J1368" s="1">
        <v>5</v>
      </c>
      <c r="K1368" s="1" t="s">
        <v>4</v>
      </c>
      <c r="L1368" s="1" t="s">
        <v>18</v>
      </c>
      <c r="M1368" s="1">
        <f>[1]!orders[[#This Row],[Ship Date]]-[1]!orders[[#This Row],[Order Date]]</f>
        <v>0</v>
      </c>
      <c r="N1368" s="1">
        <f>WEEKNUM([1]!orders[[#This Row],[Order Date]])</f>
        <v>8</v>
      </c>
      <c r="O1368" t="str" cm="1">
        <f t="array" ref="O1368">_xlfn.IFS([1]!orders[[#This Row],[Customer Gender]]="M","Male", [1]!orders[[#This Row],[Customer Gender]]="F","Female", [1]!orders[[#This Row],[Customer Gender]]="O","Other", TRUE,"Unknown")</f>
        <v>Female</v>
      </c>
    </row>
    <row r="1369" spans="1:15" x14ac:dyDescent="0.25">
      <c r="A1369" t="s">
        <v>1453</v>
      </c>
      <c r="B1369" t="s">
        <v>7</v>
      </c>
      <c r="C1369">
        <v>2</v>
      </c>
      <c r="D1369">
        <v>105.3</v>
      </c>
      <c r="E1369">
        <v>210.6</v>
      </c>
      <c r="F1369" s="3">
        <v>45709</v>
      </c>
      <c r="G1369" s="3">
        <v>45713</v>
      </c>
      <c r="H1369" t="s">
        <v>8</v>
      </c>
      <c r="I1369" t="s">
        <v>3</v>
      </c>
      <c r="J1369">
        <v>3</v>
      </c>
      <c r="K1369" t="s">
        <v>4</v>
      </c>
      <c r="L1369" t="s">
        <v>18</v>
      </c>
      <c r="M1369">
        <f>[1]!orders[[#This Row],[Ship Date]]-[1]!orders[[#This Row],[Order Date]]</f>
        <v>4</v>
      </c>
      <c r="N1369">
        <f>WEEKNUM([1]!orders[[#This Row],[Order Date]])</f>
        <v>8</v>
      </c>
      <c r="O1369" t="str" cm="1">
        <f t="array" ref="O1369">_xlfn.IFS([1]!orders[[#This Row],[Customer Gender]]="M","Male", [1]!orders[[#This Row],[Customer Gender]]="F","Female", [1]!orders[[#This Row],[Customer Gender]]="O","Other", TRUE,"Unknown")</f>
        <v>Male</v>
      </c>
    </row>
    <row r="1370" spans="1:15" x14ac:dyDescent="0.25">
      <c r="A1370" s="1" t="s">
        <v>1454</v>
      </c>
      <c r="B1370" s="1" t="s">
        <v>39</v>
      </c>
      <c r="C1370" s="1">
        <v>5</v>
      </c>
      <c r="D1370" s="1">
        <v>33.799999999999997</v>
      </c>
      <c r="E1370" s="1">
        <v>169</v>
      </c>
      <c r="F1370" s="2">
        <v>45709</v>
      </c>
      <c r="G1370" s="2">
        <v>45714</v>
      </c>
      <c r="H1370" s="1" t="s">
        <v>8</v>
      </c>
      <c r="I1370" s="1" t="s">
        <v>3</v>
      </c>
      <c r="J1370" s="1">
        <v>4</v>
      </c>
      <c r="K1370" s="1" t="s">
        <v>4</v>
      </c>
      <c r="L1370" s="1" t="s">
        <v>18</v>
      </c>
      <c r="M1370" s="1">
        <f>[1]!orders[[#This Row],[Ship Date]]-[1]!orders[[#This Row],[Order Date]]</f>
        <v>5</v>
      </c>
      <c r="N1370" s="1">
        <f>WEEKNUM([1]!orders[[#This Row],[Order Date]])</f>
        <v>8</v>
      </c>
      <c r="O1370" t="str" cm="1">
        <f t="array" ref="O1370">_xlfn.IFS([1]!orders[[#This Row],[Customer Gender]]="M","Male", [1]!orders[[#This Row],[Customer Gender]]="F","Female", [1]!orders[[#This Row],[Customer Gender]]="O","Other", TRUE,"Unknown")</f>
        <v>Male</v>
      </c>
    </row>
    <row r="1371" spans="1:15" x14ac:dyDescent="0.25">
      <c r="A1371" t="s">
        <v>1455</v>
      </c>
      <c r="B1371" t="s">
        <v>24</v>
      </c>
      <c r="C1371">
        <v>3</v>
      </c>
      <c r="D1371">
        <v>63.4</v>
      </c>
      <c r="E1371">
        <v>190.2</v>
      </c>
      <c r="F1371" s="3">
        <v>45709</v>
      </c>
      <c r="G1371" s="3">
        <v>45714</v>
      </c>
      <c r="H1371" t="s">
        <v>8</v>
      </c>
      <c r="I1371" t="s">
        <v>36</v>
      </c>
      <c r="J1371">
        <v>3</v>
      </c>
      <c r="K1371" t="s">
        <v>4</v>
      </c>
      <c r="L1371" t="s">
        <v>171</v>
      </c>
      <c r="M1371">
        <f>[1]!orders[[#This Row],[Ship Date]]-[1]!orders[[#This Row],[Order Date]]</f>
        <v>5</v>
      </c>
      <c r="N1371">
        <f>WEEKNUM([1]!orders[[#This Row],[Order Date]])</f>
        <v>8</v>
      </c>
      <c r="O1371" t="str" cm="1">
        <f t="array" ref="O1371">_xlfn.IFS([1]!orders[[#This Row],[Customer Gender]]="M","Male", [1]!orders[[#This Row],[Customer Gender]]="F","Female", [1]!orders[[#This Row],[Customer Gender]]="O","Other", TRUE,"Unknown")</f>
        <v>Male</v>
      </c>
    </row>
    <row r="1372" spans="1:15" x14ac:dyDescent="0.25">
      <c r="A1372" s="1" t="s">
        <v>1456</v>
      </c>
      <c r="B1372" s="1" t="s">
        <v>24</v>
      </c>
      <c r="C1372" s="1">
        <v>3</v>
      </c>
      <c r="D1372" s="1">
        <v>49</v>
      </c>
      <c r="E1372" s="1">
        <v>147</v>
      </c>
      <c r="F1372" s="2">
        <v>45709</v>
      </c>
      <c r="G1372" s="2">
        <v>45713</v>
      </c>
      <c r="H1372" s="1" t="s">
        <v>8</v>
      </c>
      <c r="I1372" s="1" t="s">
        <v>36</v>
      </c>
      <c r="J1372" s="1">
        <v>4</v>
      </c>
      <c r="K1372" s="1" t="s">
        <v>4</v>
      </c>
      <c r="L1372" s="1" t="s">
        <v>787</v>
      </c>
      <c r="M1372" s="1">
        <f>[1]!orders[[#This Row],[Ship Date]]-[1]!orders[[#This Row],[Order Date]]</f>
        <v>4</v>
      </c>
      <c r="N1372" s="1">
        <f>WEEKNUM([1]!orders[[#This Row],[Order Date]])</f>
        <v>8</v>
      </c>
      <c r="O1372" t="str" cm="1">
        <f t="array" ref="O1372">_xlfn.IFS([1]!orders[[#This Row],[Customer Gender]]="M","Male", [1]!orders[[#This Row],[Customer Gender]]="F","Female", [1]!orders[[#This Row],[Customer Gender]]="O","Other", TRUE,"Unknown")</f>
        <v>Male</v>
      </c>
    </row>
    <row r="1373" spans="1:15" x14ac:dyDescent="0.25">
      <c r="A1373" t="s">
        <v>1457</v>
      </c>
      <c r="B1373" t="s">
        <v>7</v>
      </c>
      <c r="C1373">
        <v>2</v>
      </c>
      <c r="D1373">
        <v>40</v>
      </c>
      <c r="E1373">
        <v>80</v>
      </c>
      <c r="F1373" s="3">
        <v>45709</v>
      </c>
      <c r="G1373" s="3">
        <v>45710</v>
      </c>
      <c r="H1373" t="s">
        <v>12</v>
      </c>
      <c r="I1373" t="s">
        <v>55</v>
      </c>
      <c r="J1373">
        <v>3</v>
      </c>
      <c r="K1373" t="s">
        <v>4</v>
      </c>
      <c r="L1373" t="s">
        <v>143</v>
      </c>
      <c r="M1373">
        <f>[1]!orders[[#This Row],[Ship Date]]-[1]!orders[[#This Row],[Order Date]]</f>
        <v>1</v>
      </c>
      <c r="N1373">
        <f>WEEKNUM([1]!orders[[#This Row],[Order Date]])</f>
        <v>8</v>
      </c>
      <c r="O1373" t="str" cm="1">
        <f t="array" ref="O1373">_xlfn.IFS([1]!orders[[#This Row],[Customer Gender]]="M","Male", [1]!orders[[#This Row],[Customer Gender]]="F","Female", [1]!orders[[#This Row],[Customer Gender]]="O","Other", TRUE,"Unknown")</f>
        <v>Female</v>
      </c>
    </row>
    <row r="1374" spans="1:15" x14ac:dyDescent="0.25">
      <c r="A1374" s="1" t="s">
        <v>1458</v>
      </c>
      <c r="B1374" s="1" t="s">
        <v>24</v>
      </c>
      <c r="C1374" s="1">
        <v>4</v>
      </c>
      <c r="D1374" s="1">
        <v>86.3</v>
      </c>
      <c r="E1374" s="1">
        <v>345.2</v>
      </c>
      <c r="F1374" s="2">
        <v>45709</v>
      </c>
      <c r="G1374" s="2">
        <v>45710</v>
      </c>
      <c r="H1374" s="1" t="s">
        <v>74</v>
      </c>
      <c r="I1374" s="1" t="s">
        <v>3</v>
      </c>
      <c r="J1374" s="1">
        <v>4</v>
      </c>
      <c r="K1374" s="1" t="s">
        <v>4</v>
      </c>
      <c r="L1374" s="1" t="s">
        <v>40</v>
      </c>
      <c r="M1374" s="1">
        <f>[1]!orders[[#This Row],[Ship Date]]-[1]!orders[[#This Row],[Order Date]]</f>
        <v>1</v>
      </c>
      <c r="N1374" s="1">
        <f>WEEKNUM([1]!orders[[#This Row],[Order Date]])</f>
        <v>8</v>
      </c>
      <c r="O1374" t="str" cm="1">
        <f t="array" ref="O1374">_xlfn.IFS([1]!orders[[#This Row],[Customer Gender]]="M","Male", [1]!orders[[#This Row],[Customer Gender]]="F","Female", [1]!orders[[#This Row],[Customer Gender]]="O","Other", TRUE,"Unknown")</f>
        <v>Other</v>
      </c>
    </row>
    <row r="1375" spans="1:15" x14ac:dyDescent="0.25">
      <c r="A1375" t="s">
        <v>1459</v>
      </c>
      <c r="B1375" t="s">
        <v>24</v>
      </c>
      <c r="C1375">
        <v>1</v>
      </c>
      <c r="D1375">
        <v>51.6</v>
      </c>
      <c r="E1375">
        <v>51.6</v>
      </c>
      <c r="F1375" s="3">
        <v>45709</v>
      </c>
      <c r="G1375" s="3">
        <v>45711</v>
      </c>
      <c r="H1375" t="s">
        <v>12</v>
      </c>
      <c r="I1375" t="s">
        <v>25</v>
      </c>
      <c r="J1375">
        <v>5</v>
      </c>
      <c r="K1375" t="s">
        <v>4</v>
      </c>
      <c r="L1375" t="s">
        <v>40</v>
      </c>
      <c r="M1375">
        <f>[1]!orders[[#This Row],[Ship Date]]-[1]!orders[[#This Row],[Order Date]]</f>
        <v>2</v>
      </c>
      <c r="N1375">
        <f>WEEKNUM([1]!orders[[#This Row],[Order Date]])</f>
        <v>8</v>
      </c>
      <c r="O1375" t="str" cm="1">
        <f t="array" ref="O1375">_xlfn.IFS([1]!orders[[#This Row],[Customer Gender]]="M","Male", [1]!orders[[#This Row],[Customer Gender]]="F","Female", [1]!orders[[#This Row],[Customer Gender]]="O","Other", TRUE,"Unknown")</f>
        <v>Female</v>
      </c>
    </row>
    <row r="1376" spans="1:15" x14ac:dyDescent="0.25">
      <c r="A1376" s="1" t="s">
        <v>1460</v>
      </c>
      <c r="B1376" s="1" t="s">
        <v>39</v>
      </c>
      <c r="C1376" s="1">
        <v>3</v>
      </c>
      <c r="D1376" s="1">
        <v>26.7</v>
      </c>
      <c r="E1376" s="1">
        <v>80.099999999999994</v>
      </c>
      <c r="F1376" s="2">
        <v>45709</v>
      </c>
      <c r="G1376" s="2">
        <v>45714</v>
      </c>
      <c r="H1376" s="1" t="s">
        <v>12</v>
      </c>
      <c r="I1376" s="1" t="s">
        <v>25</v>
      </c>
      <c r="J1376" s="1">
        <v>3</v>
      </c>
      <c r="K1376" s="1" t="s">
        <v>4</v>
      </c>
      <c r="L1376" s="1" t="s">
        <v>40</v>
      </c>
      <c r="M1376" s="1">
        <f>[1]!orders[[#This Row],[Ship Date]]-[1]!orders[[#This Row],[Order Date]]</f>
        <v>5</v>
      </c>
      <c r="N1376" s="1">
        <f>WEEKNUM([1]!orders[[#This Row],[Order Date]])</f>
        <v>8</v>
      </c>
      <c r="O1376" t="str" cm="1">
        <f t="array" ref="O1376">_xlfn.IFS([1]!orders[[#This Row],[Customer Gender]]="M","Male", [1]!orders[[#This Row],[Customer Gender]]="F","Female", [1]!orders[[#This Row],[Customer Gender]]="O","Other", TRUE,"Unknown")</f>
        <v>Female</v>
      </c>
    </row>
    <row r="1377" spans="1:15" x14ac:dyDescent="0.25">
      <c r="A1377" t="s">
        <v>1461</v>
      </c>
      <c r="B1377" t="s">
        <v>131</v>
      </c>
      <c r="C1377">
        <v>2</v>
      </c>
      <c r="D1377">
        <v>68.099999999999994</v>
      </c>
      <c r="E1377">
        <v>136.19999999999999</v>
      </c>
      <c r="F1377" s="3">
        <v>45709</v>
      </c>
      <c r="G1377" s="3">
        <v>45710</v>
      </c>
      <c r="H1377" t="s">
        <v>8</v>
      </c>
      <c r="I1377" t="s">
        <v>3</v>
      </c>
      <c r="J1377">
        <v>3</v>
      </c>
      <c r="K1377" t="s">
        <v>4</v>
      </c>
      <c r="L1377" t="s">
        <v>40</v>
      </c>
      <c r="M1377">
        <f>[1]!orders[[#This Row],[Ship Date]]-[1]!orders[[#This Row],[Order Date]]</f>
        <v>1</v>
      </c>
      <c r="N1377">
        <f>WEEKNUM([1]!orders[[#This Row],[Order Date]])</f>
        <v>8</v>
      </c>
      <c r="O1377" t="str" cm="1">
        <f t="array" ref="O1377">_xlfn.IFS([1]!orders[[#This Row],[Customer Gender]]="M","Male", [1]!orders[[#This Row],[Customer Gender]]="F","Female", [1]!orders[[#This Row],[Customer Gender]]="O","Other", TRUE,"Unknown")</f>
        <v>Male</v>
      </c>
    </row>
    <row r="1378" spans="1:15" x14ac:dyDescent="0.25">
      <c r="A1378" s="1" t="s">
        <v>1462</v>
      </c>
      <c r="B1378" s="1" t="s">
        <v>7</v>
      </c>
      <c r="C1378" s="1">
        <v>1</v>
      </c>
      <c r="D1378" s="1">
        <v>81.7</v>
      </c>
      <c r="E1378" s="1">
        <v>81.7</v>
      </c>
      <c r="F1378" s="2">
        <v>45709</v>
      </c>
      <c r="G1378" s="2">
        <v>45710</v>
      </c>
      <c r="H1378" s="1" t="s">
        <v>8</v>
      </c>
      <c r="I1378" s="1" t="s">
        <v>3</v>
      </c>
      <c r="J1378" s="1">
        <v>4</v>
      </c>
      <c r="K1378" s="1" t="s">
        <v>4</v>
      </c>
      <c r="L1378" s="1" t="s">
        <v>44</v>
      </c>
      <c r="M1378" s="1">
        <f>[1]!orders[[#This Row],[Ship Date]]-[1]!orders[[#This Row],[Order Date]]</f>
        <v>1</v>
      </c>
      <c r="N1378" s="1">
        <f>WEEKNUM([1]!orders[[#This Row],[Order Date]])</f>
        <v>8</v>
      </c>
      <c r="O1378" t="str" cm="1">
        <f t="array" ref="O1378">_xlfn.IFS([1]!orders[[#This Row],[Customer Gender]]="M","Male", [1]!orders[[#This Row],[Customer Gender]]="F","Female", [1]!orders[[#This Row],[Customer Gender]]="O","Other", TRUE,"Unknown")</f>
        <v>Male</v>
      </c>
    </row>
    <row r="1379" spans="1:15" x14ac:dyDescent="0.25">
      <c r="A1379" t="s">
        <v>1463</v>
      </c>
      <c r="B1379" t="s">
        <v>131</v>
      </c>
      <c r="C1379">
        <v>10</v>
      </c>
      <c r="D1379">
        <v>25.1</v>
      </c>
      <c r="E1379">
        <v>251</v>
      </c>
      <c r="F1379" s="3">
        <v>45709</v>
      </c>
      <c r="G1379" s="3">
        <v>45712</v>
      </c>
      <c r="H1379" t="s">
        <v>8</v>
      </c>
      <c r="I1379" t="s">
        <v>36</v>
      </c>
      <c r="J1379">
        <v>3</v>
      </c>
      <c r="K1379" t="s">
        <v>4</v>
      </c>
      <c r="L1379" t="s">
        <v>47</v>
      </c>
      <c r="M1379">
        <f>[1]!orders[[#This Row],[Ship Date]]-[1]!orders[[#This Row],[Order Date]]</f>
        <v>3</v>
      </c>
      <c r="N1379">
        <f>WEEKNUM([1]!orders[[#This Row],[Order Date]])</f>
        <v>8</v>
      </c>
      <c r="O1379" t="str" cm="1">
        <f t="array" ref="O1379">_xlfn.IFS([1]!orders[[#This Row],[Customer Gender]]="M","Male", [1]!orders[[#This Row],[Customer Gender]]="F","Female", [1]!orders[[#This Row],[Customer Gender]]="O","Other", TRUE,"Unknown")</f>
        <v>Male</v>
      </c>
    </row>
    <row r="1380" spans="1:15" x14ac:dyDescent="0.25">
      <c r="A1380" s="1" t="s">
        <v>1464</v>
      </c>
      <c r="B1380" s="1" t="s">
        <v>29</v>
      </c>
      <c r="C1380" s="1">
        <v>1</v>
      </c>
      <c r="D1380" s="1">
        <v>20.2</v>
      </c>
      <c r="E1380" s="1">
        <v>20.2</v>
      </c>
      <c r="F1380" s="2">
        <v>45709</v>
      </c>
      <c r="G1380" s="2">
        <v>45713</v>
      </c>
      <c r="H1380" s="1" t="s">
        <v>12</v>
      </c>
      <c r="I1380" s="1" t="s">
        <v>3</v>
      </c>
      <c r="J1380" s="1">
        <v>4</v>
      </c>
      <c r="K1380" s="1" t="s">
        <v>4</v>
      </c>
      <c r="L1380" s="1" t="s">
        <v>47</v>
      </c>
      <c r="M1380" s="1">
        <f>[1]!orders[[#This Row],[Ship Date]]-[1]!orders[[#This Row],[Order Date]]</f>
        <v>4</v>
      </c>
      <c r="N1380" s="1">
        <f>WEEKNUM([1]!orders[[#This Row],[Order Date]])</f>
        <v>8</v>
      </c>
      <c r="O1380" t="str" cm="1">
        <f t="array" ref="O1380">_xlfn.IFS([1]!orders[[#This Row],[Customer Gender]]="M","Male", [1]!orders[[#This Row],[Customer Gender]]="F","Female", [1]!orders[[#This Row],[Customer Gender]]="O","Other", TRUE,"Unknown")</f>
        <v>Female</v>
      </c>
    </row>
    <row r="1381" spans="1:15" x14ac:dyDescent="0.25">
      <c r="A1381" t="s">
        <v>1465</v>
      </c>
      <c r="B1381" t="s">
        <v>29</v>
      </c>
      <c r="C1381">
        <v>3</v>
      </c>
      <c r="D1381">
        <v>15.4</v>
      </c>
      <c r="E1381">
        <v>46.2</v>
      </c>
      <c r="F1381" s="3">
        <v>45709</v>
      </c>
      <c r="G1381" s="3">
        <v>45710</v>
      </c>
      <c r="H1381" t="s">
        <v>8</v>
      </c>
      <c r="I1381" t="s">
        <v>20</v>
      </c>
      <c r="J1381">
        <v>5</v>
      </c>
      <c r="K1381" t="s">
        <v>4</v>
      </c>
      <c r="L1381" t="s">
        <v>47</v>
      </c>
      <c r="M1381">
        <f>[1]!orders[[#This Row],[Ship Date]]-[1]!orders[[#This Row],[Order Date]]</f>
        <v>1</v>
      </c>
      <c r="N1381">
        <f>WEEKNUM([1]!orders[[#This Row],[Order Date]])</f>
        <v>8</v>
      </c>
      <c r="O1381" t="str" cm="1">
        <f t="array" ref="O1381">_xlfn.IFS([1]!orders[[#This Row],[Customer Gender]]="M","Male", [1]!orders[[#This Row],[Customer Gender]]="F","Female", [1]!orders[[#This Row],[Customer Gender]]="O","Other", TRUE,"Unknown")</f>
        <v>Male</v>
      </c>
    </row>
    <row r="1382" spans="1:15" x14ac:dyDescent="0.25">
      <c r="A1382" s="1" t="s">
        <v>1466</v>
      </c>
      <c r="B1382" s="1" t="s">
        <v>39</v>
      </c>
      <c r="C1382" s="1">
        <v>1</v>
      </c>
      <c r="D1382" s="1">
        <v>59.2</v>
      </c>
      <c r="E1382" s="1">
        <v>59.2</v>
      </c>
      <c r="F1382" s="2">
        <v>45709</v>
      </c>
      <c r="G1382" s="2">
        <v>45710</v>
      </c>
      <c r="H1382" s="1" t="s">
        <v>8</v>
      </c>
      <c r="I1382" s="1" t="s">
        <v>25</v>
      </c>
      <c r="J1382" s="1">
        <v>5</v>
      </c>
      <c r="K1382" s="1" t="s">
        <v>4</v>
      </c>
      <c r="L1382" s="1" t="s">
        <v>88</v>
      </c>
      <c r="M1382" s="1">
        <f>[1]!orders[[#This Row],[Ship Date]]-[1]!orders[[#This Row],[Order Date]]</f>
        <v>1</v>
      </c>
      <c r="N1382" s="1">
        <f>WEEKNUM([1]!orders[[#This Row],[Order Date]])</f>
        <v>8</v>
      </c>
      <c r="O1382" t="str" cm="1">
        <f t="array" ref="O1382">_xlfn.IFS([1]!orders[[#This Row],[Customer Gender]]="M","Male", [1]!orders[[#This Row],[Customer Gender]]="F","Female", [1]!orders[[#This Row],[Customer Gender]]="O","Other", TRUE,"Unknown")</f>
        <v>Male</v>
      </c>
    </row>
    <row r="1383" spans="1:15" x14ac:dyDescent="0.25">
      <c r="A1383" t="s">
        <v>1467</v>
      </c>
      <c r="B1383" t="s">
        <v>1</v>
      </c>
      <c r="C1383">
        <v>1</v>
      </c>
      <c r="D1383">
        <v>46.7</v>
      </c>
      <c r="E1383">
        <v>46.7</v>
      </c>
      <c r="F1383" s="3">
        <v>45709</v>
      </c>
      <c r="G1383" s="3">
        <v>45714</v>
      </c>
      <c r="H1383" t="s">
        <v>8</v>
      </c>
      <c r="I1383" t="s">
        <v>3</v>
      </c>
      <c r="J1383">
        <v>4</v>
      </c>
      <c r="K1383" t="s">
        <v>4</v>
      </c>
      <c r="L1383" t="s">
        <v>88</v>
      </c>
      <c r="M1383">
        <f>[1]!orders[[#This Row],[Ship Date]]-[1]!orders[[#This Row],[Order Date]]</f>
        <v>5</v>
      </c>
      <c r="N1383">
        <f>WEEKNUM([1]!orders[[#This Row],[Order Date]])</f>
        <v>8</v>
      </c>
      <c r="O1383" t="str" cm="1">
        <f t="array" ref="O1383">_xlfn.IFS([1]!orders[[#This Row],[Customer Gender]]="M","Male", [1]!orders[[#This Row],[Customer Gender]]="F","Female", [1]!orders[[#This Row],[Customer Gender]]="O","Other", TRUE,"Unknown")</f>
        <v>Male</v>
      </c>
    </row>
    <row r="1384" spans="1:15" x14ac:dyDescent="0.25">
      <c r="A1384" s="1" t="s">
        <v>1468</v>
      </c>
      <c r="B1384" s="1" t="s">
        <v>24</v>
      </c>
      <c r="C1384" s="1">
        <v>15</v>
      </c>
      <c r="D1384" s="1">
        <v>41.6</v>
      </c>
      <c r="E1384" s="1">
        <v>624</v>
      </c>
      <c r="F1384" s="2">
        <v>45709</v>
      </c>
      <c r="G1384" s="2">
        <v>45711</v>
      </c>
      <c r="H1384" s="1" t="s">
        <v>8</v>
      </c>
      <c r="I1384" s="1" t="s">
        <v>20</v>
      </c>
      <c r="J1384" s="1">
        <v>4</v>
      </c>
      <c r="K1384" s="1" t="s">
        <v>4</v>
      </c>
      <c r="L1384" s="1" t="s">
        <v>186</v>
      </c>
      <c r="M1384" s="1">
        <f>[1]!orders[[#This Row],[Ship Date]]-[1]!orders[[#This Row],[Order Date]]</f>
        <v>2</v>
      </c>
      <c r="N1384" s="1">
        <f>WEEKNUM([1]!orders[[#This Row],[Order Date]])</f>
        <v>8</v>
      </c>
      <c r="O1384" t="str" cm="1">
        <f t="array" ref="O1384">_xlfn.IFS([1]!orders[[#This Row],[Customer Gender]]="M","Male", [1]!orders[[#This Row],[Customer Gender]]="F","Female", [1]!orders[[#This Row],[Customer Gender]]="O","Other", TRUE,"Unknown")</f>
        <v>Male</v>
      </c>
    </row>
    <row r="1385" spans="1:15" x14ac:dyDescent="0.25">
      <c r="A1385" t="s">
        <v>1469</v>
      </c>
      <c r="B1385" t="s">
        <v>29</v>
      </c>
      <c r="C1385">
        <v>2</v>
      </c>
      <c r="D1385">
        <v>19.2</v>
      </c>
      <c r="E1385">
        <v>38.4</v>
      </c>
      <c r="F1385" s="3">
        <v>45709</v>
      </c>
      <c r="G1385" s="3">
        <v>45712</v>
      </c>
      <c r="H1385" t="s">
        <v>8</v>
      </c>
      <c r="I1385" t="s">
        <v>55</v>
      </c>
      <c r="J1385">
        <v>5</v>
      </c>
      <c r="K1385" t="s">
        <v>4</v>
      </c>
      <c r="L1385" t="s">
        <v>57</v>
      </c>
      <c r="M1385">
        <f>[1]!orders[[#This Row],[Ship Date]]-[1]!orders[[#This Row],[Order Date]]</f>
        <v>3</v>
      </c>
      <c r="N1385">
        <f>WEEKNUM([1]!orders[[#This Row],[Order Date]])</f>
        <v>8</v>
      </c>
      <c r="O1385" t="str" cm="1">
        <f t="array" ref="O1385">_xlfn.IFS([1]!orders[[#This Row],[Customer Gender]]="M","Male", [1]!orders[[#This Row],[Customer Gender]]="F","Female", [1]!orders[[#This Row],[Customer Gender]]="O","Other", TRUE,"Unknown")</f>
        <v>Male</v>
      </c>
    </row>
    <row r="1386" spans="1:15" x14ac:dyDescent="0.25">
      <c r="A1386" s="1" t="s">
        <v>1470</v>
      </c>
      <c r="B1386" s="1" t="s">
        <v>120</v>
      </c>
      <c r="C1386" s="1">
        <v>7</v>
      </c>
      <c r="D1386" s="1">
        <v>41.8</v>
      </c>
      <c r="E1386" s="1">
        <v>292.59999999999997</v>
      </c>
      <c r="F1386" s="2">
        <v>45709</v>
      </c>
      <c r="G1386" s="2">
        <v>45711</v>
      </c>
      <c r="H1386" s="1" t="s">
        <v>12</v>
      </c>
      <c r="I1386" s="1" t="s">
        <v>25</v>
      </c>
      <c r="J1386" s="1">
        <v>4</v>
      </c>
      <c r="K1386" s="1" t="s">
        <v>4</v>
      </c>
      <c r="L1386" s="1" t="s">
        <v>62</v>
      </c>
      <c r="M1386" s="1">
        <f>[1]!orders[[#This Row],[Ship Date]]-[1]!orders[[#This Row],[Order Date]]</f>
        <v>2</v>
      </c>
      <c r="N1386" s="1">
        <f>WEEKNUM([1]!orders[[#This Row],[Order Date]])</f>
        <v>8</v>
      </c>
      <c r="O1386" t="str" cm="1">
        <f t="array" ref="O1386">_xlfn.IFS([1]!orders[[#This Row],[Customer Gender]]="M","Male", [1]!orders[[#This Row],[Customer Gender]]="F","Female", [1]!orders[[#This Row],[Customer Gender]]="O","Other", TRUE,"Unknown")</f>
        <v>Female</v>
      </c>
    </row>
    <row r="1387" spans="1:15" x14ac:dyDescent="0.25">
      <c r="A1387" t="s">
        <v>1471</v>
      </c>
      <c r="B1387" t="s">
        <v>29</v>
      </c>
      <c r="C1387">
        <v>6</v>
      </c>
      <c r="D1387">
        <v>37.4</v>
      </c>
      <c r="E1387">
        <v>224.39999999999998</v>
      </c>
      <c r="F1387" s="3">
        <v>45709</v>
      </c>
      <c r="G1387" s="3">
        <v>45711</v>
      </c>
      <c r="H1387" t="s">
        <v>8</v>
      </c>
      <c r="I1387" t="s">
        <v>3</v>
      </c>
      <c r="J1387">
        <v>5</v>
      </c>
      <c r="K1387" t="s">
        <v>4</v>
      </c>
      <c r="L1387" t="s">
        <v>62</v>
      </c>
      <c r="M1387">
        <f>[1]!orders[[#This Row],[Ship Date]]-[1]!orders[[#This Row],[Order Date]]</f>
        <v>2</v>
      </c>
      <c r="N1387">
        <f>WEEKNUM([1]!orders[[#This Row],[Order Date]])</f>
        <v>8</v>
      </c>
      <c r="O1387" t="str" cm="1">
        <f t="array" ref="O1387">_xlfn.IFS([1]!orders[[#This Row],[Customer Gender]]="M","Male", [1]!orders[[#This Row],[Customer Gender]]="F","Female", [1]!orders[[#This Row],[Customer Gender]]="O","Other", TRUE,"Unknown")</f>
        <v>Male</v>
      </c>
    </row>
    <row r="1388" spans="1:15" x14ac:dyDescent="0.25">
      <c r="A1388" s="1" t="s">
        <v>1472</v>
      </c>
      <c r="B1388" s="1" t="s">
        <v>39</v>
      </c>
      <c r="C1388" s="1">
        <v>3</v>
      </c>
      <c r="D1388" s="1">
        <v>60.2</v>
      </c>
      <c r="E1388" s="1">
        <v>180.60000000000002</v>
      </c>
      <c r="F1388" s="2">
        <v>45709</v>
      </c>
      <c r="G1388" s="2">
        <v>45712</v>
      </c>
      <c r="H1388" s="1" t="s">
        <v>8</v>
      </c>
      <c r="I1388" s="1" t="s">
        <v>55</v>
      </c>
      <c r="J1388" s="1">
        <v>3</v>
      </c>
      <c r="K1388" s="1" t="s">
        <v>4</v>
      </c>
      <c r="L1388" s="1" t="s">
        <v>362</v>
      </c>
      <c r="M1388" s="1">
        <f>[1]!orders[[#This Row],[Ship Date]]-[1]!orders[[#This Row],[Order Date]]</f>
        <v>3</v>
      </c>
      <c r="N1388" s="1">
        <f>WEEKNUM([1]!orders[[#This Row],[Order Date]])</f>
        <v>8</v>
      </c>
      <c r="O1388" t="str" cm="1">
        <f t="array" ref="O1388">_xlfn.IFS([1]!orders[[#This Row],[Customer Gender]]="M","Male", [1]!orders[[#This Row],[Customer Gender]]="F","Female", [1]!orders[[#This Row],[Customer Gender]]="O","Other", TRUE,"Unknown")</f>
        <v>Male</v>
      </c>
    </row>
    <row r="1389" spans="1:15" x14ac:dyDescent="0.25">
      <c r="A1389" t="s">
        <v>1473</v>
      </c>
      <c r="B1389" t="s">
        <v>31</v>
      </c>
      <c r="C1389">
        <v>2</v>
      </c>
      <c r="D1389">
        <v>91.5</v>
      </c>
      <c r="E1389">
        <v>183</v>
      </c>
      <c r="F1389" s="3">
        <v>45710</v>
      </c>
      <c r="G1389" s="3">
        <v>45711</v>
      </c>
      <c r="H1389" t="s">
        <v>8</v>
      </c>
      <c r="I1389" t="s">
        <v>3</v>
      </c>
      <c r="J1389">
        <v>4</v>
      </c>
      <c r="K1389" t="s">
        <v>4</v>
      </c>
      <c r="L1389" t="s">
        <v>67</v>
      </c>
      <c r="M1389">
        <f>[1]!orders[[#This Row],[Ship Date]]-[1]!orders[[#This Row],[Order Date]]</f>
        <v>1</v>
      </c>
      <c r="N1389">
        <f>WEEKNUM([1]!orders[[#This Row],[Order Date]])</f>
        <v>8</v>
      </c>
      <c r="O1389" t="str" cm="1">
        <f t="array" ref="O1389">_xlfn.IFS([1]!orders[[#This Row],[Customer Gender]]="M","Male", [1]!orders[[#This Row],[Customer Gender]]="F","Female", [1]!orders[[#This Row],[Customer Gender]]="O","Other", TRUE,"Unknown")</f>
        <v>Male</v>
      </c>
    </row>
    <row r="1390" spans="1:15" x14ac:dyDescent="0.25">
      <c r="A1390" s="1" t="s">
        <v>1474</v>
      </c>
      <c r="B1390" s="1" t="s">
        <v>15</v>
      </c>
      <c r="C1390" s="1">
        <v>5</v>
      </c>
      <c r="D1390" s="1">
        <v>55.7</v>
      </c>
      <c r="E1390" s="1">
        <v>278.5</v>
      </c>
      <c r="F1390" s="2">
        <v>45710</v>
      </c>
      <c r="G1390" s="2">
        <v>45712</v>
      </c>
      <c r="H1390" s="1" t="s">
        <v>2</v>
      </c>
      <c r="I1390" s="1" t="s">
        <v>20</v>
      </c>
      <c r="J1390" s="1">
        <v>5</v>
      </c>
      <c r="K1390" s="1" t="s">
        <v>4</v>
      </c>
      <c r="L1390" s="1" t="s">
        <v>100</v>
      </c>
      <c r="M1390" s="1">
        <f>[1]!orders[[#This Row],[Ship Date]]-[1]!orders[[#This Row],[Order Date]]</f>
        <v>2</v>
      </c>
      <c r="N1390" s="1">
        <f>WEEKNUM([1]!orders[[#This Row],[Order Date]])</f>
        <v>8</v>
      </c>
      <c r="O1390" t="str" cm="1">
        <f t="array" ref="O1390">_xlfn.IFS([1]!orders[[#This Row],[Customer Gender]]="M","Male", [1]!orders[[#This Row],[Customer Gender]]="F","Female", [1]!orders[[#This Row],[Customer Gender]]="O","Other", TRUE,"Unknown")</f>
        <v>Unknown</v>
      </c>
    </row>
    <row r="1391" spans="1:15" x14ac:dyDescent="0.25">
      <c r="A1391" t="s">
        <v>1475</v>
      </c>
      <c r="B1391" t="s">
        <v>27</v>
      </c>
      <c r="C1391">
        <v>2</v>
      </c>
      <c r="D1391">
        <v>76.7</v>
      </c>
      <c r="E1391">
        <v>153.4</v>
      </c>
      <c r="F1391" s="3">
        <v>45710</v>
      </c>
      <c r="G1391" s="3">
        <v>45712</v>
      </c>
      <c r="H1391" t="s">
        <v>8</v>
      </c>
      <c r="I1391" t="s">
        <v>3</v>
      </c>
      <c r="J1391">
        <v>3</v>
      </c>
      <c r="K1391" t="s">
        <v>4</v>
      </c>
      <c r="L1391" t="s">
        <v>100</v>
      </c>
      <c r="M1391">
        <f>[1]!orders[[#This Row],[Ship Date]]-[1]!orders[[#This Row],[Order Date]]</f>
        <v>2</v>
      </c>
      <c r="N1391">
        <f>WEEKNUM([1]!orders[[#This Row],[Order Date]])</f>
        <v>8</v>
      </c>
      <c r="O1391" t="str" cm="1">
        <f t="array" ref="O1391">_xlfn.IFS([1]!orders[[#This Row],[Customer Gender]]="M","Male", [1]!orders[[#This Row],[Customer Gender]]="F","Female", [1]!orders[[#This Row],[Customer Gender]]="O","Other", TRUE,"Unknown")</f>
        <v>Male</v>
      </c>
    </row>
    <row r="1392" spans="1:15" x14ac:dyDescent="0.25">
      <c r="A1392" s="1" t="s">
        <v>1476</v>
      </c>
      <c r="B1392" s="1" t="s">
        <v>29</v>
      </c>
      <c r="C1392" s="1">
        <v>21</v>
      </c>
      <c r="D1392" s="1">
        <v>28.2</v>
      </c>
      <c r="E1392" s="1">
        <v>592.19999999999993</v>
      </c>
      <c r="F1392" s="2">
        <v>45710</v>
      </c>
      <c r="G1392" s="2">
        <v>45715</v>
      </c>
      <c r="H1392" s="1" t="s">
        <v>8</v>
      </c>
      <c r="I1392" s="1" t="s">
        <v>25</v>
      </c>
      <c r="J1392" s="1">
        <v>4</v>
      </c>
      <c r="K1392" s="1" t="s">
        <v>4</v>
      </c>
      <c r="L1392" s="1" t="s">
        <v>9</v>
      </c>
      <c r="M1392" s="1">
        <f>[1]!orders[[#This Row],[Ship Date]]-[1]!orders[[#This Row],[Order Date]]</f>
        <v>5</v>
      </c>
      <c r="N1392" s="1">
        <f>WEEKNUM([1]!orders[[#This Row],[Order Date]])</f>
        <v>8</v>
      </c>
      <c r="O1392" t="str" cm="1">
        <f t="array" ref="O1392">_xlfn.IFS([1]!orders[[#This Row],[Customer Gender]]="M","Male", [1]!orders[[#This Row],[Customer Gender]]="F","Female", [1]!orders[[#This Row],[Customer Gender]]="O","Other", TRUE,"Unknown")</f>
        <v>Male</v>
      </c>
    </row>
    <row r="1393" spans="1:15" x14ac:dyDescent="0.25">
      <c r="A1393" t="s">
        <v>1477</v>
      </c>
      <c r="B1393" t="s">
        <v>27</v>
      </c>
      <c r="C1393">
        <v>5</v>
      </c>
      <c r="D1393">
        <v>93.2</v>
      </c>
      <c r="E1393">
        <v>466</v>
      </c>
      <c r="F1393" s="3">
        <v>45710</v>
      </c>
      <c r="G1393" s="3">
        <v>45712</v>
      </c>
      <c r="H1393" t="s">
        <v>12</v>
      </c>
      <c r="I1393" t="s">
        <v>55</v>
      </c>
      <c r="J1393">
        <v>5</v>
      </c>
      <c r="K1393" t="s">
        <v>4</v>
      </c>
      <c r="L1393" t="s">
        <v>9</v>
      </c>
      <c r="M1393">
        <f>[1]!orders[[#This Row],[Ship Date]]-[1]!orders[[#This Row],[Order Date]]</f>
        <v>2</v>
      </c>
      <c r="N1393">
        <f>WEEKNUM([1]!orders[[#This Row],[Order Date]])</f>
        <v>8</v>
      </c>
      <c r="O1393" t="str" cm="1">
        <f t="array" ref="O1393">_xlfn.IFS([1]!orders[[#This Row],[Customer Gender]]="M","Male", [1]!orders[[#This Row],[Customer Gender]]="F","Female", [1]!orders[[#This Row],[Customer Gender]]="O","Other", TRUE,"Unknown")</f>
        <v>Female</v>
      </c>
    </row>
    <row r="1394" spans="1:15" x14ac:dyDescent="0.25">
      <c r="A1394" s="1" t="s">
        <v>1478</v>
      </c>
      <c r="B1394" s="1" t="s">
        <v>120</v>
      </c>
      <c r="C1394" s="1">
        <v>1</v>
      </c>
      <c r="D1394" s="1">
        <v>33.299999999999997</v>
      </c>
      <c r="E1394" s="1">
        <v>33.299999999999997</v>
      </c>
      <c r="F1394" s="2">
        <v>45710</v>
      </c>
      <c r="G1394" s="2">
        <v>45711</v>
      </c>
      <c r="H1394" s="1" t="s">
        <v>8</v>
      </c>
      <c r="I1394" s="1" t="s">
        <v>55</v>
      </c>
      <c r="J1394" s="1">
        <v>4</v>
      </c>
      <c r="K1394" s="1" t="s">
        <v>4</v>
      </c>
      <c r="L1394" s="1" t="s">
        <v>13</v>
      </c>
      <c r="M1394" s="1">
        <f>[1]!orders[[#This Row],[Ship Date]]-[1]!orders[[#This Row],[Order Date]]</f>
        <v>1</v>
      </c>
      <c r="N1394" s="1">
        <f>WEEKNUM([1]!orders[[#This Row],[Order Date]])</f>
        <v>8</v>
      </c>
      <c r="O1394" t="str" cm="1">
        <f t="array" ref="O1394">_xlfn.IFS([1]!orders[[#This Row],[Customer Gender]]="M","Male", [1]!orders[[#This Row],[Customer Gender]]="F","Female", [1]!orders[[#This Row],[Customer Gender]]="O","Other", TRUE,"Unknown")</f>
        <v>Male</v>
      </c>
    </row>
    <row r="1395" spans="1:15" x14ac:dyDescent="0.25">
      <c r="A1395" t="s">
        <v>1479</v>
      </c>
      <c r="B1395" t="s">
        <v>39</v>
      </c>
      <c r="C1395">
        <v>2</v>
      </c>
      <c r="D1395">
        <v>39.1</v>
      </c>
      <c r="E1395">
        <v>78.2</v>
      </c>
      <c r="F1395" s="3">
        <v>45710</v>
      </c>
      <c r="G1395" s="3">
        <v>45713</v>
      </c>
      <c r="H1395" t="s">
        <v>8</v>
      </c>
      <c r="I1395" t="s">
        <v>3</v>
      </c>
      <c r="J1395">
        <v>4</v>
      </c>
      <c r="K1395" t="s">
        <v>4</v>
      </c>
      <c r="L1395" t="s">
        <v>572</v>
      </c>
      <c r="M1395">
        <f>[1]!orders[[#This Row],[Ship Date]]-[1]!orders[[#This Row],[Order Date]]</f>
        <v>3</v>
      </c>
      <c r="N1395">
        <f>WEEKNUM([1]!orders[[#This Row],[Order Date]])</f>
        <v>8</v>
      </c>
      <c r="O1395" t="str" cm="1">
        <f t="array" ref="O1395">_xlfn.IFS([1]!orders[[#This Row],[Customer Gender]]="M","Male", [1]!orders[[#This Row],[Customer Gender]]="F","Female", [1]!orders[[#This Row],[Customer Gender]]="O","Other", TRUE,"Unknown")</f>
        <v>Male</v>
      </c>
    </row>
    <row r="1396" spans="1:15" x14ac:dyDescent="0.25">
      <c r="A1396" s="1" t="s">
        <v>1480</v>
      </c>
      <c r="B1396" s="1" t="s">
        <v>27</v>
      </c>
      <c r="C1396" s="1">
        <v>12</v>
      </c>
      <c r="D1396" s="1">
        <v>45.3</v>
      </c>
      <c r="E1396" s="1">
        <v>543.59999999999991</v>
      </c>
      <c r="F1396" s="2">
        <v>45710</v>
      </c>
      <c r="G1396" s="2">
        <v>45711</v>
      </c>
      <c r="H1396" s="1" t="s">
        <v>8</v>
      </c>
      <c r="I1396" s="1" t="s">
        <v>25</v>
      </c>
      <c r="J1396" s="1">
        <v>4</v>
      </c>
      <c r="K1396" s="1" t="s">
        <v>4</v>
      </c>
      <c r="L1396" s="1" t="s">
        <v>316</v>
      </c>
      <c r="M1396" s="1">
        <f>[1]!orders[[#This Row],[Ship Date]]-[1]!orders[[#This Row],[Order Date]]</f>
        <v>1</v>
      </c>
      <c r="N1396" s="1">
        <f>WEEKNUM([1]!orders[[#This Row],[Order Date]])</f>
        <v>8</v>
      </c>
      <c r="O1396" t="str" cm="1">
        <f t="array" ref="O1396">_xlfn.IFS([1]!orders[[#This Row],[Customer Gender]]="M","Male", [1]!orders[[#This Row],[Customer Gender]]="F","Female", [1]!orders[[#This Row],[Customer Gender]]="O","Other", TRUE,"Unknown")</f>
        <v>Male</v>
      </c>
    </row>
    <row r="1397" spans="1:15" x14ac:dyDescent="0.25">
      <c r="A1397" t="s">
        <v>1481</v>
      </c>
      <c r="B1397" t="s">
        <v>31</v>
      </c>
      <c r="C1397">
        <v>7</v>
      </c>
      <c r="D1397">
        <v>33.9</v>
      </c>
      <c r="E1397">
        <v>237.29999999999998</v>
      </c>
      <c r="F1397" s="3">
        <v>45710</v>
      </c>
      <c r="G1397" s="3">
        <v>45711</v>
      </c>
      <c r="H1397" t="s">
        <v>8</v>
      </c>
      <c r="I1397" t="s">
        <v>55</v>
      </c>
      <c r="J1397">
        <v>4</v>
      </c>
      <c r="K1397" t="s">
        <v>4</v>
      </c>
      <c r="L1397" t="s">
        <v>316</v>
      </c>
      <c r="M1397">
        <f>[1]!orders[[#This Row],[Ship Date]]-[1]!orders[[#This Row],[Order Date]]</f>
        <v>1</v>
      </c>
      <c r="N1397">
        <f>WEEKNUM([1]!orders[[#This Row],[Order Date]])</f>
        <v>8</v>
      </c>
      <c r="O1397" t="str" cm="1">
        <f t="array" ref="O1397">_xlfn.IFS([1]!orders[[#This Row],[Customer Gender]]="M","Male", [1]!orders[[#This Row],[Customer Gender]]="F","Female", [1]!orders[[#This Row],[Customer Gender]]="O","Other", TRUE,"Unknown")</f>
        <v>Male</v>
      </c>
    </row>
    <row r="1398" spans="1:15" x14ac:dyDescent="0.25">
      <c r="A1398" s="1" t="s">
        <v>1482</v>
      </c>
      <c r="B1398" s="1" t="s">
        <v>29</v>
      </c>
      <c r="C1398" s="1">
        <v>3</v>
      </c>
      <c r="D1398" s="1">
        <v>19</v>
      </c>
      <c r="E1398" s="1">
        <v>57</v>
      </c>
      <c r="F1398" s="2">
        <v>45710</v>
      </c>
      <c r="G1398" s="2">
        <v>45711</v>
      </c>
      <c r="H1398" s="1" t="s">
        <v>8</v>
      </c>
      <c r="I1398" s="1" t="s">
        <v>3</v>
      </c>
      <c r="J1398" s="1">
        <v>5</v>
      </c>
      <c r="K1398" s="1" t="s">
        <v>4</v>
      </c>
      <c r="L1398" s="1" t="s">
        <v>71</v>
      </c>
      <c r="M1398" s="1">
        <f>[1]!orders[[#This Row],[Ship Date]]-[1]!orders[[#This Row],[Order Date]]</f>
        <v>1</v>
      </c>
      <c r="N1398" s="1">
        <f>WEEKNUM([1]!orders[[#This Row],[Order Date]])</f>
        <v>8</v>
      </c>
      <c r="O1398" t="str" cm="1">
        <f t="array" ref="O1398">_xlfn.IFS([1]!orders[[#This Row],[Customer Gender]]="M","Male", [1]!orders[[#This Row],[Customer Gender]]="F","Female", [1]!orders[[#This Row],[Customer Gender]]="O","Other", TRUE,"Unknown")</f>
        <v>Male</v>
      </c>
    </row>
    <row r="1399" spans="1:15" x14ac:dyDescent="0.25">
      <c r="A1399" t="s">
        <v>1483</v>
      </c>
      <c r="B1399" t="s">
        <v>17</v>
      </c>
      <c r="C1399">
        <v>1</v>
      </c>
      <c r="D1399">
        <v>41.9</v>
      </c>
      <c r="E1399">
        <v>41.9</v>
      </c>
      <c r="F1399" s="3">
        <v>45710</v>
      </c>
      <c r="G1399" s="3">
        <v>45713</v>
      </c>
      <c r="H1399" t="s">
        <v>12</v>
      </c>
      <c r="I1399" t="s">
        <v>25</v>
      </c>
      <c r="J1399">
        <v>4</v>
      </c>
      <c r="K1399" t="s">
        <v>4</v>
      </c>
      <c r="L1399" t="s">
        <v>132</v>
      </c>
      <c r="M1399">
        <f>[1]!orders[[#This Row],[Ship Date]]-[1]!orders[[#This Row],[Order Date]]</f>
        <v>3</v>
      </c>
      <c r="N1399">
        <f>WEEKNUM([1]!orders[[#This Row],[Order Date]])</f>
        <v>8</v>
      </c>
      <c r="O1399" t="str" cm="1">
        <f t="array" ref="O1399">_xlfn.IFS([1]!orders[[#This Row],[Customer Gender]]="M","Male", [1]!orders[[#This Row],[Customer Gender]]="F","Female", [1]!orders[[#This Row],[Customer Gender]]="O","Other", TRUE,"Unknown")</f>
        <v>Female</v>
      </c>
    </row>
    <row r="1400" spans="1:15" x14ac:dyDescent="0.25">
      <c r="A1400" s="1" t="s">
        <v>1484</v>
      </c>
      <c r="B1400" s="1" t="s">
        <v>7</v>
      </c>
      <c r="C1400" s="1">
        <v>4</v>
      </c>
      <c r="D1400" s="1">
        <v>37.5</v>
      </c>
      <c r="E1400" s="1">
        <v>150</v>
      </c>
      <c r="F1400" s="2">
        <v>45710</v>
      </c>
      <c r="G1400" s="2">
        <v>45710</v>
      </c>
      <c r="H1400" s="1" t="s">
        <v>12</v>
      </c>
      <c r="I1400" s="1" t="s">
        <v>3</v>
      </c>
      <c r="J1400" s="1">
        <v>4</v>
      </c>
      <c r="K1400" s="1" t="s">
        <v>4</v>
      </c>
      <c r="L1400" s="1" t="s">
        <v>18</v>
      </c>
      <c r="M1400" s="1">
        <f>[1]!orders[[#This Row],[Ship Date]]-[1]!orders[[#This Row],[Order Date]]</f>
        <v>0</v>
      </c>
      <c r="N1400" s="1">
        <f>WEEKNUM([1]!orders[[#This Row],[Order Date]])</f>
        <v>8</v>
      </c>
      <c r="O1400" t="str" cm="1">
        <f t="array" ref="O1400">_xlfn.IFS([1]!orders[[#This Row],[Customer Gender]]="M","Male", [1]!orders[[#This Row],[Customer Gender]]="F","Female", [1]!orders[[#This Row],[Customer Gender]]="O","Other", TRUE,"Unknown")</f>
        <v>Female</v>
      </c>
    </row>
    <row r="1401" spans="1:15" x14ac:dyDescent="0.25">
      <c r="A1401" t="s">
        <v>1485</v>
      </c>
      <c r="B1401" t="s">
        <v>1</v>
      </c>
      <c r="C1401">
        <v>2</v>
      </c>
      <c r="D1401">
        <v>40.799999999999997</v>
      </c>
      <c r="E1401">
        <v>81.599999999999994</v>
      </c>
      <c r="F1401" s="3">
        <v>45710</v>
      </c>
      <c r="G1401" s="3">
        <v>45713</v>
      </c>
      <c r="H1401" t="s">
        <v>8</v>
      </c>
      <c r="I1401" t="s">
        <v>3</v>
      </c>
      <c r="J1401">
        <v>4</v>
      </c>
      <c r="K1401" t="s">
        <v>4</v>
      </c>
      <c r="L1401" t="s">
        <v>18</v>
      </c>
      <c r="M1401">
        <f>[1]!orders[[#This Row],[Ship Date]]-[1]!orders[[#This Row],[Order Date]]</f>
        <v>3</v>
      </c>
      <c r="N1401">
        <f>WEEKNUM([1]!orders[[#This Row],[Order Date]])</f>
        <v>8</v>
      </c>
      <c r="O1401" t="str" cm="1">
        <f t="array" ref="O1401">_xlfn.IFS([1]!orders[[#This Row],[Customer Gender]]="M","Male", [1]!orders[[#This Row],[Customer Gender]]="F","Female", [1]!orders[[#This Row],[Customer Gender]]="O","Other", TRUE,"Unknown")</f>
        <v>Male</v>
      </c>
    </row>
    <row r="1402" spans="1:15" x14ac:dyDescent="0.25">
      <c r="A1402" s="1" t="s">
        <v>1486</v>
      </c>
      <c r="B1402" s="1" t="s">
        <v>1</v>
      </c>
      <c r="C1402" s="1">
        <v>4</v>
      </c>
      <c r="D1402" s="1">
        <v>23.1</v>
      </c>
      <c r="E1402" s="1">
        <v>92.4</v>
      </c>
      <c r="F1402" s="2">
        <v>45710</v>
      </c>
      <c r="G1402" s="2">
        <v>45711</v>
      </c>
      <c r="H1402" s="1" t="s">
        <v>12</v>
      </c>
      <c r="I1402" s="1" t="s">
        <v>55</v>
      </c>
      <c r="J1402" s="1">
        <v>4</v>
      </c>
      <c r="K1402" s="1" t="s">
        <v>4</v>
      </c>
      <c r="L1402" s="1" t="s">
        <v>18</v>
      </c>
      <c r="M1402" s="1">
        <f>[1]!orders[[#This Row],[Ship Date]]-[1]!orders[[#This Row],[Order Date]]</f>
        <v>1</v>
      </c>
      <c r="N1402" s="1">
        <f>WEEKNUM([1]!orders[[#This Row],[Order Date]])</f>
        <v>8</v>
      </c>
      <c r="O1402" t="str" cm="1">
        <f t="array" ref="O1402">_xlfn.IFS([1]!orders[[#This Row],[Customer Gender]]="M","Male", [1]!orders[[#This Row],[Customer Gender]]="F","Female", [1]!orders[[#This Row],[Customer Gender]]="O","Other", TRUE,"Unknown")</f>
        <v>Female</v>
      </c>
    </row>
    <row r="1403" spans="1:15" x14ac:dyDescent="0.25">
      <c r="A1403" t="s">
        <v>1487</v>
      </c>
      <c r="B1403" t="s">
        <v>29</v>
      </c>
      <c r="C1403">
        <v>5</v>
      </c>
      <c r="D1403">
        <v>39.299999999999997</v>
      </c>
      <c r="E1403">
        <v>196.5</v>
      </c>
      <c r="F1403" s="3">
        <v>45710</v>
      </c>
      <c r="G1403" s="3">
        <v>45711</v>
      </c>
      <c r="H1403" t="s">
        <v>12</v>
      </c>
      <c r="I1403" t="s">
        <v>3</v>
      </c>
      <c r="J1403">
        <v>4</v>
      </c>
      <c r="K1403" t="s">
        <v>4</v>
      </c>
      <c r="L1403" t="s">
        <v>18</v>
      </c>
      <c r="M1403">
        <f>[1]!orders[[#This Row],[Ship Date]]-[1]!orders[[#This Row],[Order Date]]</f>
        <v>1</v>
      </c>
      <c r="N1403">
        <f>WEEKNUM([1]!orders[[#This Row],[Order Date]])</f>
        <v>8</v>
      </c>
      <c r="O1403" t="str" cm="1">
        <f t="array" ref="O1403">_xlfn.IFS([1]!orders[[#This Row],[Customer Gender]]="M","Male", [1]!orders[[#This Row],[Customer Gender]]="F","Female", [1]!orders[[#This Row],[Customer Gender]]="O","Other", TRUE,"Unknown")</f>
        <v>Female</v>
      </c>
    </row>
    <row r="1404" spans="1:15" x14ac:dyDescent="0.25">
      <c r="A1404" s="1" t="s">
        <v>1488</v>
      </c>
      <c r="B1404" s="1" t="s">
        <v>11</v>
      </c>
      <c r="C1404" s="1">
        <v>4</v>
      </c>
      <c r="D1404" s="1">
        <v>85.2</v>
      </c>
      <c r="E1404" s="1">
        <v>340.8</v>
      </c>
      <c r="F1404" s="2">
        <v>45710</v>
      </c>
      <c r="G1404" s="2">
        <v>45715</v>
      </c>
      <c r="H1404" s="1" t="s">
        <v>8</v>
      </c>
      <c r="I1404" s="1" t="s">
        <v>25</v>
      </c>
      <c r="J1404" s="1">
        <v>4</v>
      </c>
      <c r="K1404" s="1" t="s">
        <v>4</v>
      </c>
      <c r="L1404" s="1" t="s">
        <v>18</v>
      </c>
      <c r="M1404" s="1">
        <f>[1]!orders[[#This Row],[Ship Date]]-[1]!orders[[#This Row],[Order Date]]</f>
        <v>5</v>
      </c>
      <c r="N1404" s="1">
        <f>WEEKNUM([1]!orders[[#This Row],[Order Date]])</f>
        <v>8</v>
      </c>
      <c r="O1404" t="str" cm="1">
        <f t="array" ref="O1404">_xlfn.IFS([1]!orders[[#This Row],[Customer Gender]]="M","Male", [1]!orders[[#This Row],[Customer Gender]]="F","Female", [1]!orders[[#This Row],[Customer Gender]]="O","Other", TRUE,"Unknown")</f>
        <v>Male</v>
      </c>
    </row>
    <row r="1405" spans="1:15" x14ac:dyDescent="0.25">
      <c r="A1405" t="s">
        <v>1489</v>
      </c>
      <c r="B1405" t="s">
        <v>29</v>
      </c>
      <c r="C1405">
        <v>6</v>
      </c>
      <c r="D1405">
        <v>16</v>
      </c>
      <c r="E1405">
        <v>96</v>
      </c>
      <c r="F1405" s="3">
        <v>45710</v>
      </c>
      <c r="G1405" s="3">
        <v>45713</v>
      </c>
      <c r="H1405" t="s">
        <v>8</v>
      </c>
      <c r="I1405" t="s">
        <v>20</v>
      </c>
      <c r="J1405">
        <v>4</v>
      </c>
      <c r="K1405" t="s">
        <v>4</v>
      </c>
      <c r="L1405" t="s">
        <v>18</v>
      </c>
      <c r="M1405">
        <f>[1]!orders[[#This Row],[Ship Date]]-[1]!orders[[#This Row],[Order Date]]</f>
        <v>3</v>
      </c>
      <c r="N1405">
        <f>WEEKNUM([1]!orders[[#This Row],[Order Date]])</f>
        <v>8</v>
      </c>
      <c r="O1405" t="str" cm="1">
        <f t="array" ref="O1405">_xlfn.IFS([1]!orders[[#This Row],[Customer Gender]]="M","Male", [1]!orders[[#This Row],[Customer Gender]]="F","Female", [1]!orders[[#This Row],[Customer Gender]]="O","Other", TRUE,"Unknown")</f>
        <v>Male</v>
      </c>
    </row>
    <row r="1406" spans="1:15" x14ac:dyDescent="0.25">
      <c r="A1406" s="1" t="s">
        <v>1490</v>
      </c>
      <c r="B1406" s="1" t="s">
        <v>7</v>
      </c>
      <c r="C1406" s="1">
        <v>2</v>
      </c>
      <c r="D1406" s="1">
        <v>33.799999999999997</v>
      </c>
      <c r="E1406" s="1">
        <v>67.599999999999994</v>
      </c>
      <c r="F1406" s="2">
        <v>45710</v>
      </c>
      <c r="G1406" s="2">
        <v>45714</v>
      </c>
      <c r="H1406" s="1" t="s">
        <v>12</v>
      </c>
      <c r="I1406" s="1" t="s">
        <v>20</v>
      </c>
      <c r="J1406" s="1">
        <v>4</v>
      </c>
      <c r="K1406" s="1" t="s">
        <v>4</v>
      </c>
      <c r="L1406" s="1" t="s">
        <v>18</v>
      </c>
      <c r="M1406" s="1">
        <f>[1]!orders[[#This Row],[Ship Date]]-[1]!orders[[#This Row],[Order Date]]</f>
        <v>4</v>
      </c>
      <c r="N1406" s="1">
        <f>WEEKNUM([1]!orders[[#This Row],[Order Date]])</f>
        <v>8</v>
      </c>
      <c r="O1406" t="str" cm="1">
        <f t="array" ref="O1406">_xlfn.IFS([1]!orders[[#This Row],[Customer Gender]]="M","Male", [1]!orders[[#This Row],[Customer Gender]]="F","Female", [1]!orders[[#This Row],[Customer Gender]]="O","Other", TRUE,"Unknown")</f>
        <v>Female</v>
      </c>
    </row>
    <row r="1407" spans="1:15" x14ac:dyDescent="0.25">
      <c r="A1407" t="s">
        <v>1491</v>
      </c>
      <c r="B1407" t="s">
        <v>15</v>
      </c>
      <c r="C1407">
        <v>1</v>
      </c>
      <c r="D1407">
        <v>70</v>
      </c>
      <c r="E1407">
        <v>70</v>
      </c>
      <c r="F1407" s="3">
        <v>45710</v>
      </c>
      <c r="G1407" s="3">
        <v>45711</v>
      </c>
      <c r="H1407" t="s">
        <v>12</v>
      </c>
      <c r="I1407" t="s">
        <v>3</v>
      </c>
      <c r="J1407">
        <v>4</v>
      </c>
      <c r="K1407" t="s">
        <v>4</v>
      </c>
      <c r="L1407" t="s">
        <v>18</v>
      </c>
      <c r="M1407">
        <f>[1]!orders[[#This Row],[Ship Date]]-[1]!orders[[#This Row],[Order Date]]</f>
        <v>1</v>
      </c>
      <c r="N1407">
        <f>WEEKNUM([1]!orders[[#This Row],[Order Date]])</f>
        <v>8</v>
      </c>
      <c r="O1407" t="str" cm="1">
        <f t="array" ref="O1407">_xlfn.IFS([1]!orders[[#This Row],[Customer Gender]]="M","Male", [1]!orders[[#This Row],[Customer Gender]]="F","Female", [1]!orders[[#This Row],[Customer Gender]]="O","Other", TRUE,"Unknown")</f>
        <v>Female</v>
      </c>
    </row>
    <row r="1408" spans="1:15" x14ac:dyDescent="0.25">
      <c r="A1408" s="1" t="s">
        <v>1492</v>
      </c>
      <c r="B1408" s="1" t="s">
        <v>31</v>
      </c>
      <c r="C1408" s="1">
        <v>1</v>
      </c>
      <c r="D1408" s="1">
        <v>88</v>
      </c>
      <c r="E1408" s="1">
        <v>88</v>
      </c>
      <c r="F1408" s="2">
        <v>45710</v>
      </c>
      <c r="G1408" s="2">
        <v>45715</v>
      </c>
      <c r="H1408" s="1" t="s">
        <v>12</v>
      </c>
      <c r="I1408" s="1" t="s">
        <v>36</v>
      </c>
      <c r="J1408" s="1">
        <v>4</v>
      </c>
      <c r="K1408" s="1" t="s">
        <v>4</v>
      </c>
      <c r="L1408" s="1" t="s">
        <v>18</v>
      </c>
      <c r="M1408" s="1">
        <f>[1]!orders[[#This Row],[Ship Date]]-[1]!orders[[#This Row],[Order Date]]</f>
        <v>5</v>
      </c>
      <c r="N1408" s="1">
        <f>WEEKNUM([1]!orders[[#This Row],[Order Date]])</f>
        <v>8</v>
      </c>
      <c r="O1408" t="str" cm="1">
        <f t="array" ref="O1408">_xlfn.IFS([1]!orders[[#This Row],[Customer Gender]]="M","Male", [1]!orders[[#This Row],[Customer Gender]]="F","Female", [1]!orders[[#This Row],[Customer Gender]]="O","Other", TRUE,"Unknown")</f>
        <v>Female</v>
      </c>
    </row>
    <row r="1409" spans="1:15" x14ac:dyDescent="0.25">
      <c r="A1409" t="s">
        <v>1493</v>
      </c>
      <c r="B1409" t="s">
        <v>11</v>
      </c>
      <c r="C1409">
        <v>3</v>
      </c>
      <c r="D1409">
        <v>74.099999999999994</v>
      </c>
      <c r="E1409">
        <v>222.29999999999998</v>
      </c>
      <c r="F1409" s="3">
        <v>45710</v>
      </c>
      <c r="G1409" s="3">
        <v>45710</v>
      </c>
      <c r="H1409" t="s">
        <v>8</v>
      </c>
      <c r="I1409" t="s">
        <v>55</v>
      </c>
      <c r="J1409">
        <v>3</v>
      </c>
      <c r="K1409" t="s">
        <v>4</v>
      </c>
      <c r="L1409" t="s">
        <v>18</v>
      </c>
      <c r="M1409">
        <f>[1]!orders[[#This Row],[Ship Date]]-[1]!orders[[#This Row],[Order Date]]</f>
        <v>0</v>
      </c>
      <c r="N1409">
        <f>WEEKNUM([1]!orders[[#This Row],[Order Date]])</f>
        <v>8</v>
      </c>
      <c r="O1409" t="str" cm="1">
        <f t="array" ref="O1409">_xlfn.IFS([1]!orders[[#This Row],[Customer Gender]]="M","Male", [1]!orders[[#This Row],[Customer Gender]]="F","Female", [1]!orders[[#This Row],[Customer Gender]]="O","Other", TRUE,"Unknown")</f>
        <v>Male</v>
      </c>
    </row>
    <row r="1410" spans="1:15" x14ac:dyDescent="0.25">
      <c r="A1410" s="1" t="s">
        <v>1494</v>
      </c>
      <c r="B1410" s="1" t="s">
        <v>11</v>
      </c>
      <c r="C1410" s="1">
        <v>1</v>
      </c>
      <c r="D1410" s="1">
        <v>161.9</v>
      </c>
      <c r="E1410" s="1">
        <v>161.9</v>
      </c>
      <c r="F1410" s="2">
        <v>45710</v>
      </c>
      <c r="G1410" s="2">
        <v>45712</v>
      </c>
      <c r="H1410" s="1" t="s">
        <v>8</v>
      </c>
      <c r="I1410" s="1" t="s">
        <v>25</v>
      </c>
      <c r="J1410" s="1">
        <v>4</v>
      </c>
      <c r="K1410" s="1" t="s">
        <v>4</v>
      </c>
      <c r="L1410" s="1" t="s">
        <v>18</v>
      </c>
      <c r="M1410" s="1">
        <f>[1]!orders[[#This Row],[Ship Date]]-[1]!orders[[#This Row],[Order Date]]</f>
        <v>2</v>
      </c>
      <c r="N1410" s="1">
        <f>WEEKNUM([1]!orders[[#This Row],[Order Date]])</f>
        <v>8</v>
      </c>
      <c r="O1410" t="str" cm="1">
        <f t="array" ref="O1410">_xlfn.IFS([1]!orders[[#This Row],[Customer Gender]]="M","Male", [1]!orders[[#This Row],[Customer Gender]]="F","Female", [1]!orders[[#This Row],[Customer Gender]]="O","Other", TRUE,"Unknown")</f>
        <v>Male</v>
      </c>
    </row>
    <row r="1411" spans="1:15" x14ac:dyDescent="0.25">
      <c r="A1411" t="s">
        <v>1495</v>
      </c>
      <c r="B1411" t="s">
        <v>17</v>
      </c>
      <c r="C1411">
        <v>2</v>
      </c>
      <c r="D1411">
        <v>44</v>
      </c>
      <c r="E1411">
        <v>88</v>
      </c>
      <c r="F1411" s="3">
        <v>45710</v>
      </c>
      <c r="G1411" s="3">
        <v>45711</v>
      </c>
      <c r="H1411" t="s">
        <v>74</v>
      </c>
      <c r="I1411" t="s">
        <v>55</v>
      </c>
      <c r="J1411">
        <v>3</v>
      </c>
      <c r="K1411" t="s">
        <v>4</v>
      </c>
      <c r="L1411" t="s">
        <v>18</v>
      </c>
      <c r="M1411">
        <f>[1]!orders[[#This Row],[Ship Date]]-[1]!orders[[#This Row],[Order Date]]</f>
        <v>1</v>
      </c>
      <c r="N1411">
        <f>WEEKNUM([1]!orders[[#This Row],[Order Date]])</f>
        <v>8</v>
      </c>
      <c r="O1411" t="str" cm="1">
        <f t="array" ref="O1411">_xlfn.IFS([1]!orders[[#This Row],[Customer Gender]]="M","Male", [1]!orders[[#This Row],[Customer Gender]]="F","Female", [1]!orders[[#This Row],[Customer Gender]]="O","Other", TRUE,"Unknown")</f>
        <v>Other</v>
      </c>
    </row>
    <row r="1412" spans="1:15" x14ac:dyDescent="0.25">
      <c r="A1412" s="1" t="s">
        <v>1496</v>
      </c>
      <c r="B1412" s="1" t="s">
        <v>52</v>
      </c>
      <c r="C1412" s="1">
        <v>1</v>
      </c>
      <c r="D1412" s="1">
        <v>32.1</v>
      </c>
      <c r="E1412" s="1">
        <v>32.1</v>
      </c>
      <c r="F1412" s="2">
        <v>45710</v>
      </c>
      <c r="G1412" s="2">
        <v>45710</v>
      </c>
      <c r="H1412" s="1" t="s">
        <v>12</v>
      </c>
      <c r="I1412" s="1" t="s">
        <v>36</v>
      </c>
      <c r="J1412" s="1">
        <v>1</v>
      </c>
      <c r="K1412" s="1" t="s">
        <v>4</v>
      </c>
      <c r="L1412" s="1" t="s">
        <v>18</v>
      </c>
      <c r="M1412" s="1">
        <f>[1]!orders[[#This Row],[Ship Date]]-[1]!orders[[#This Row],[Order Date]]</f>
        <v>0</v>
      </c>
      <c r="N1412" s="1">
        <f>WEEKNUM([1]!orders[[#This Row],[Order Date]])</f>
        <v>8</v>
      </c>
      <c r="O1412" t="str" cm="1">
        <f t="array" ref="O1412">_xlfn.IFS([1]!orders[[#This Row],[Customer Gender]]="M","Male", [1]!orders[[#This Row],[Customer Gender]]="F","Female", [1]!orders[[#This Row],[Customer Gender]]="O","Other", TRUE,"Unknown")</f>
        <v>Female</v>
      </c>
    </row>
    <row r="1413" spans="1:15" x14ac:dyDescent="0.25">
      <c r="A1413" t="s">
        <v>1497</v>
      </c>
      <c r="B1413" t="s">
        <v>11</v>
      </c>
      <c r="C1413">
        <v>4</v>
      </c>
      <c r="D1413">
        <v>104.8</v>
      </c>
      <c r="E1413">
        <v>419.2</v>
      </c>
      <c r="F1413" s="3">
        <v>45711</v>
      </c>
      <c r="G1413" s="3">
        <v>45713</v>
      </c>
      <c r="H1413" t="s">
        <v>74</v>
      </c>
      <c r="I1413" t="s">
        <v>3</v>
      </c>
      <c r="J1413">
        <v>4</v>
      </c>
      <c r="K1413" t="s">
        <v>4</v>
      </c>
      <c r="L1413" t="s">
        <v>18</v>
      </c>
      <c r="M1413">
        <f>[1]!orders[[#This Row],[Ship Date]]-[1]!orders[[#This Row],[Order Date]]</f>
        <v>2</v>
      </c>
      <c r="N1413">
        <f>WEEKNUM([1]!orders[[#This Row],[Order Date]])</f>
        <v>9</v>
      </c>
      <c r="O1413" t="str" cm="1">
        <f t="array" ref="O1413">_xlfn.IFS([1]!orders[[#This Row],[Customer Gender]]="M","Male", [1]!orders[[#This Row],[Customer Gender]]="F","Female", [1]!orders[[#This Row],[Customer Gender]]="O","Other", TRUE,"Unknown")</f>
        <v>Other</v>
      </c>
    </row>
    <row r="1414" spans="1:15" x14ac:dyDescent="0.25">
      <c r="A1414" s="1" t="s">
        <v>1498</v>
      </c>
      <c r="B1414" s="1" t="s">
        <v>31</v>
      </c>
      <c r="C1414" s="1">
        <v>6</v>
      </c>
      <c r="D1414" s="1">
        <v>67.400000000000006</v>
      </c>
      <c r="E1414" s="1">
        <v>404.40000000000003</v>
      </c>
      <c r="F1414" s="2">
        <v>45711</v>
      </c>
      <c r="G1414" s="2">
        <v>45712</v>
      </c>
      <c r="H1414" s="1" t="s">
        <v>12</v>
      </c>
      <c r="I1414" s="1" t="s">
        <v>36</v>
      </c>
      <c r="J1414" s="1">
        <v>4</v>
      </c>
      <c r="K1414" s="1" t="s">
        <v>4</v>
      </c>
      <c r="L1414" s="1" t="s">
        <v>18</v>
      </c>
      <c r="M1414" s="1">
        <f>[1]!orders[[#This Row],[Ship Date]]-[1]!orders[[#This Row],[Order Date]]</f>
        <v>1</v>
      </c>
      <c r="N1414" s="1">
        <f>WEEKNUM([1]!orders[[#This Row],[Order Date]])</f>
        <v>9</v>
      </c>
      <c r="O1414" t="str" cm="1">
        <f t="array" ref="O1414">_xlfn.IFS([1]!orders[[#This Row],[Customer Gender]]="M","Male", [1]!orders[[#This Row],[Customer Gender]]="F","Female", [1]!orders[[#This Row],[Customer Gender]]="O","Other", TRUE,"Unknown")</f>
        <v>Female</v>
      </c>
    </row>
    <row r="1415" spans="1:15" x14ac:dyDescent="0.25">
      <c r="A1415" t="s">
        <v>1499</v>
      </c>
      <c r="B1415" t="s">
        <v>24</v>
      </c>
      <c r="C1415">
        <v>2</v>
      </c>
      <c r="D1415">
        <v>115.2</v>
      </c>
      <c r="E1415">
        <v>230.4</v>
      </c>
      <c r="F1415" s="3">
        <v>45711</v>
      </c>
      <c r="G1415" s="3">
        <v>45712</v>
      </c>
      <c r="H1415" t="s">
        <v>12</v>
      </c>
      <c r="I1415" t="s">
        <v>20</v>
      </c>
      <c r="J1415">
        <v>4</v>
      </c>
      <c r="K1415" t="s">
        <v>4</v>
      </c>
      <c r="L1415" t="s">
        <v>34</v>
      </c>
      <c r="M1415">
        <f>[1]!orders[[#This Row],[Ship Date]]-[1]!orders[[#This Row],[Order Date]]</f>
        <v>1</v>
      </c>
      <c r="N1415">
        <f>WEEKNUM([1]!orders[[#This Row],[Order Date]])</f>
        <v>9</v>
      </c>
      <c r="O1415" t="str" cm="1">
        <f t="array" ref="O1415">_xlfn.IFS([1]!orders[[#This Row],[Customer Gender]]="M","Male", [1]!orders[[#This Row],[Customer Gender]]="F","Female", [1]!orders[[#This Row],[Customer Gender]]="O","Other", TRUE,"Unknown")</f>
        <v>Female</v>
      </c>
    </row>
    <row r="1416" spans="1:15" x14ac:dyDescent="0.25">
      <c r="A1416" s="1" t="s">
        <v>1500</v>
      </c>
      <c r="B1416" s="1" t="s">
        <v>29</v>
      </c>
      <c r="C1416" s="1">
        <v>29</v>
      </c>
      <c r="D1416" s="1">
        <v>15.5</v>
      </c>
      <c r="E1416" s="1">
        <v>449.5</v>
      </c>
      <c r="F1416" s="2">
        <v>45711</v>
      </c>
      <c r="G1416" s="2">
        <v>45713</v>
      </c>
      <c r="H1416" s="1" t="s">
        <v>12</v>
      </c>
      <c r="I1416" s="1" t="s">
        <v>3</v>
      </c>
      <c r="J1416" s="1">
        <v>3</v>
      </c>
      <c r="K1416" s="1" t="s">
        <v>4</v>
      </c>
      <c r="L1416" s="1" t="s">
        <v>143</v>
      </c>
      <c r="M1416" s="1">
        <f>[1]!orders[[#This Row],[Ship Date]]-[1]!orders[[#This Row],[Order Date]]</f>
        <v>2</v>
      </c>
      <c r="N1416" s="1">
        <f>WEEKNUM([1]!orders[[#This Row],[Order Date]])</f>
        <v>9</v>
      </c>
      <c r="O1416" t="str" cm="1">
        <f t="array" ref="O1416">_xlfn.IFS([1]!orders[[#This Row],[Customer Gender]]="M","Male", [1]!orders[[#This Row],[Customer Gender]]="F","Female", [1]!orders[[#This Row],[Customer Gender]]="O","Other", TRUE,"Unknown")</f>
        <v>Female</v>
      </c>
    </row>
    <row r="1417" spans="1:15" x14ac:dyDescent="0.25">
      <c r="A1417" t="s">
        <v>1501</v>
      </c>
      <c r="B1417" t="s">
        <v>24</v>
      </c>
      <c r="C1417">
        <v>11</v>
      </c>
      <c r="D1417">
        <v>66.400000000000006</v>
      </c>
      <c r="E1417">
        <v>730.40000000000009</v>
      </c>
      <c r="F1417" s="3">
        <v>45711</v>
      </c>
      <c r="G1417" s="3">
        <v>45713</v>
      </c>
      <c r="H1417" t="s">
        <v>12</v>
      </c>
      <c r="I1417" t="s">
        <v>3</v>
      </c>
      <c r="J1417">
        <v>4</v>
      </c>
      <c r="K1417" t="s">
        <v>4</v>
      </c>
      <c r="L1417" t="s">
        <v>40</v>
      </c>
      <c r="M1417">
        <f>[1]!orders[[#This Row],[Ship Date]]-[1]!orders[[#This Row],[Order Date]]</f>
        <v>2</v>
      </c>
      <c r="N1417">
        <f>WEEKNUM([1]!orders[[#This Row],[Order Date]])</f>
        <v>9</v>
      </c>
      <c r="O1417" t="str" cm="1">
        <f t="array" ref="O1417">_xlfn.IFS([1]!orders[[#This Row],[Customer Gender]]="M","Male", [1]!orders[[#This Row],[Customer Gender]]="F","Female", [1]!orders[[#This Row],[Customer Gender]]="O","Other", TRUE,"Unknown")</f>
        <v>Female</v>
      </c>
    </row>
    <row r="1418" spans="1:15" x14ac:dyDescent="0.25">
      <c r="A1418" s="1" t="s">
        <v>1502</v>
      </c>
      <c r="B1418" s="1" t="s">
        <v>31</v>
      </c>
      <c r="C1418" s="1">
        <v>12</v>
      </c>
      <c r="D1418" s="1">
        <v>68.099999999999994</v>
      </c>
      <c r="E1418" s="1">
        <v>817.19999999999993</v>
      </c>
      <c r="F1418" s="2">
        <v>45711</v>
      </c>
      <c r="G1418" s="2">
        <v>45712</v>
      </c>
      <c r="H1418" s="1" t="s">
        <v>12</v>
      </c>
      <c r="I1418" s="1" t="s">
        <v>25</v>
      </c>
      <c r="J1418" s="1">
        <v>4</v>
      </c>
      <c r="K1418" s="1" t="s">
        <v>4</v>
      </c>
      <c r="L1418" s="1" t="s">
        <v>47</v>
      </c>
      <c r="M1418" s="1">
        <f>[1]!orders[[#This Row],[Ship Date]]-[1]!orders[[#This Row],[Order Date]]</f>
        <v>1</v>
      </c>
      <c r="N1418" s="1">
        <f>WEEKNUM([1]!orders[[#This Row],[Order Date]])</f>
        <v>9</v>
      </c>
      <c r="O1418" t="str" cm="1">
        <f t="array" ref="O1418">_xlfn.IFS([1]!orders[[#This Row],[Customer Gender]]="M","Male", [1]!orders[[#This Row],[Customer Gender]]="F","Female", [1]!orders[[#This Row],[Customer Gender]]="O","Other", TRUE,"Unknown")</f>
        <v>Female</v>
      </c>
    </row>
    <row r="1419" spans="1:15" x14ac:dyDescent="0.25">
      <c r="A1419" t="s">
        <v>1503</v>
      </c>
      <c r="B1419" t="s">
        <v>29</v>
      </c>
      <c r="C1419">
        <v>5</v>
      </c>
      <c r="D1419">
        <v>32.5</v>
      </c>
      <c r="E1419">
        <v>162.5</v>
      </c>
      <c r="F1419" s="3">
        <v>45711</v>
      </c>
      <c r="G1419" s="3">
        <v>45715</v>
      </c>
      <c r="H1419" t="s">
        <v>8</v>
      </c>
      <c r="I1419" t="s">
        <v>25</v>
      </c>
      <c r="J1419">
        <v>3</v>
      </c>
      <c r="K1419" t="s">
        <v>4</v>
      </c>
      <c r="L1419" t="s">
        <v>47</v>
      </c>
      <c r="M1419">
        <f>[1]!orders[[#This Row],[Ship Date]]-[1]!orders[[#This Row],[Order Date]]</f>
        <v>4</v>
      </c>
      <c r="N1419">
        <f>WEEKNUM([1]!orders[[#This Row],[Order Date]])</f>
        <v>9</v>
      </c>
      <c r="O1419" t="str" cm="1">
        <f t="array" ref="O1419">_xlfn.IFS([1]!orders[[#This Row],[Customer Gender]]="M","Male", [1]!orders[[#This Row],[Customer Gender]]="F","Female", [1]!orders[[#This Row],[Customer Gender]]="O","Other", TRUE,"Unknown")</f>
        <v>Male</v>
      </c>
    </row>
    <row r="1420" spans="1:15" x14ac:dyDescent="0.25">
      <c r="A1420" s="1" t="s">
        <v>1504</v>
      </c>
      <c r="B1420" s="1" t="s">
        <v>108</v>
      </c>
      <c r="C1420" s="1">
        <v>3</v>
      </c>
      <c r="D1420" s="1">
        <v>61.2</v>
      </c>
      <c r="E1420" s="1">
        <v>183.60000000000002</v>
      </c>
      <c r="F1420" s="2">
        <v>45711</v>
      </c>
      <c r="G1420" s="2">
        <v>45713</v>
      </c>
      <c r="H1420" s="1" t="s">
        <v>12</v>
      </c>
      <c r="I1420" s="1" t="s">
        <v>20</v>
      </c>
      <c r="J1420" s="1">
        <v>3</v>
      </c>
      <c r="K1420" s="1" t="s">
        <v>4</v>
      </c>
      <c r="L1420" s="1" t="s">
        <v>47</v>
      </c>
      <c r="M1420" s="1">
        <f>[1]!orders[[#This Row],[Ship Date]]-[1]!orders[[#This Row],[Order Date]]</f>
        <v>2</v>
      </c>
      <c r="N1420" s="1">
        <f>WEEKNUM([1]!orders[[#This Row],[Order Date]])</f>
        <v>9</v>
      </c>
      <c r="O1420" t="str" cm="1">
        <f t="array" ref="O1420">_xlfn.IFS([1]!orders[[#This Row],[Customer Gender]]="M","Male", [1]!orders[[#This Row],[Customer Gender]]="F","Female", [1]!orders[[#This Row],[Customer Gender]]="O","Other", TRUE,"Unknown")</f>
        <v>Female</v>
      </c>
    </row>
    <row r="1421" spans="1:15" x14ac:dyDescent="0.25">
      <c r="A1421" t="s">
        <v>1505</v>
      </c>
      <c r="B1421" t="s">
        <v>31</v>
      </c>
      <c r="C1421">
        <v>2</v>
      </c>
      <c r="D1421">
        <v>54.2</v>
      </c>
      <c r="E1421">
        <v>108.4</v>
      </c>
      <c r="F1421" s="3">
        <v>45711</v>
      </c>
      <c r="G1421" s="3">
        <v>45712</v>
      </c>
      <c r="H1421" t="s">
        <v>12</v>
      </c>
      <c r="I1421" t="s">
        <v>20</v>
      </c>
      <c r="J1421">
        <v>4</v>
      </c>
      <c r="K1421" t="s">
        <v>4</v>
      </c>
      <c r="L1421" t="s">
        <v>47</v>
      </c>
      <c r="M1421">
        <f>[1]!orders[[#This Row],[Ship Date]]-[1]!orders[[#This Row],[Order Date]]</f>
        <v>1</v>
      </c>
      <c r="N1421">
        <f>WEEKNUM([1]!orders[[#This Row],[Order Date]])</f>
        <v>9</v>
      </c>
      <c r="O1421" t="str" cm="1">
        <f t="array" ref="O1421">_xlfn.IFS([1]!orders[[#This Row],[Customer Gender]]="M","Male", [1]!orders[[#This Row],[Customer Gender]]="F","Female", [1]!orders[[#This Row],[Customer Gender]]="O","Other", TRUE,"Unknown")</f>
        <v>Female</v>
      </c>
    </row>
    <row r="1422" spans="1:15" x14ac:dyDescent="0.25">
      <c r="A1422" s="1" t="s">
        <v>1506</v>
      </c>
      <c r="B1422" s="1" t="s">
        <v>52</v>
      </c>
      <c r="C1422" s="1">
        <v>8</v>
      </c>
      <c r="D1422" s="1">
        <v>28.7</v>
      </c>
      <c r="E1422" s="1">
        <v>229.6</v>
      </c>
      <c r="F1422" s="2">
        <v>45711</v>
      </c>
      <c r="G1422" s="2">
        <v>45713</v>
      </c>
      <c r="H1422" s="1" t="s">
        <v>8</v>
      </c>
      <c r="I1422" s="1" t="s">
        <v>20</v>
      </c>
      <c r="J1422" s="1">
        <v>4</v>
      </c>
      <c r="K1422" s="1" t="s">
        <v>4</v>
      </c>
      <c r="L1422" s="1" t="s">
        <v>57</v>
      </c>
      <c r="M1422" s="1">
        <f>[1]!orders[[#This Row],[Ship Date]]-[1]!orders[[#This Row],[Order Date]]</f>
        <v>2</v>
      </c>
      <c r="N1422" s="1">
        <f>WEEKNUM([1]!orders[[#This Row],[Order Date]])</f>
        <v>9</v>
      </c>
      <c r="O1422" t="str" cm="1">
        <f t="array" ref="O1422">_xlfn.IFS([1]!orders[[#This Row],[Customer Gender]]="M","Male", [1]!orders[[#This Row],[Customer Gender]]="F","Female", [1]!orders[[#This Row],[Customer Gender]]="O","Other", TRUE,"Unknown")</f>
        <v>Male</v>
      </c>
    </row>
    <row r="1423" spans="1:15" x14ac:dyDescent="0.25">
      <c r="A1423" t="s">
        <v>1507</v>
      </c>
      <c r="B1423" t="s">
        <v>54</v>
      </c>
      <c r="C1423">
        <v>6</v>
      </c>
      <c r="D1423">
        <v>38.200000000000003</v>
      </c>
      <c r="E1423">
        <v>229.20000000000002</v>
      </c>
      <c r="F1423" s="3">
        <v>45711</v>
      </c>
      <c r="G1423" s="3">
        <v>45715</v>
      </c>
      <c r="H1423" t="s">
        <v>12</v>
      </c>
      <c r="I1423" t="s">
        <v>3</v>
      </c>
      <c r="J1423">
        <v>3</v>
      </c>
      <c r="K1423" t="s">
        <v>4</v>
      </c>
      <c r="L1423" t="s">
        <v>57</v>
      </c>
      <c r="M1423">
        <f>[1]!orders[[#This Row],[Ship Date]]-[1]!orders[[#This Row],[Order Date]]</f>
        <v>4</v>
      </c>
      <c r="N1423">
        <f>WEEKNUM([1]!orders[[#This Row],[Order Date]])</f>
        <v>9</v>
      </c>
      <c r="O1423" t="str" cm="1">
        <f t="array" ref="O1423">_xlfn.IFS([1]!orders[[#This Row],[Customer Gender]]="M","Male", [1]!orders[[#This Row],[Customer Gender]]="F","Female", [1]!orders[[#This Row],[Customer Gender]]="O","Other", TRUE,"Unknown")</f>
        <v>Female</v>
      </c>
    </row>
    <row r="1424" spans="1:15" x14ac:dyDescent="0.25">
      <c r="A1424" s="1" t="s">
        <v>1508</v>
      </c>
      <c r="B1424" s="1" t="s">
        <v>29</v>
      </c>
      <c r="C1424" s="1">
        <v>12</v>
      </c>
      <c r="D1424" s="1">
        <v>17.600000000000001</v>
      </c>
      <c r="E1424" s="1">
        <v>211.20000000000002</v>
      </c>
      <c r="F1424" s="2">
        <v>45711</v>
      </c>
      <c r="G1424" s="2">
        <v>45712</v>
      </c>
      <c r="H1424" s="1" t="s">
        <v>12</v>
      </c>
      <c r="I1424" s="1" t="s">
        <v>25</v>
      </c>
      <c r="J1424" s="1">
        <v>3</v>
      </c>
      <c r="K1424" s="1" t="s">
        <v>4</v>
      </c>
      <c r="L1424" s="1" t="s">
        <v>57</v>
      </c>
      <c r="M1424" s="1">
        <f>[1]!orders[[#This Row],[Ship Date]]-[1]!orders[[#This Row],[Order Date]]</f>
        <v>1</v>
      </c>
      <c r="N1424" s="1">
        <f>WEEKNUM([1]!orders[[#This Row],[Order Date]])</f>
        <v>9</v>
      </c>
      <c r="O1424" t="str" cm="1">
        <f t="array" ref="O1424">_xlfn.IFS([1]!orders[[#This Row],[Customer Gender]]="M","Male", [1]!orders[[#This Row],[Customer Gender]]="F","Female", [1]!orders[[#This Row],[Customer Gender]]="O","Other", TRUE,"Unknown")</f>
        <v>Female</v>
      </c>
    </row>
    <row r="1425" spans="1:15" x14ac:dyDescent="0.25">
      <c r="A1425" t="s">
        <v>1509</v>
      </c>
      <c r="B1425" t="s">
        <v>39</v>
      </c>
      <c r="C1425">
        <v>3</v>
      </c>
      <c r="D1425">
        <v>74.599999999999994</v>
      </c>
      <c r="E1425">
        <v>223.79999999999998</v>
      </c>
      <c r="F1425" s="3">
        <v>45711</v>
      </c>
      <c r="G1425" s="3">
        <v>45711</v>
      </c>
      <c r="H1425" t="s">
        <v>12</v>
      </c>
      <c r="I1425" t="s">
        <v>25</v>
      </c>
      <c r="J1425">
        <v>4</v>
      </c>
      <c r="K1425" t="s">
        <v>4</v>
      </c>
      <c r="L1425" t="s">
        <v>62</v>
      </c>
      <c r="M1425">
        <f>[1]!orders[[#This Row],[Ship Date]]-[1]!orders[[#This Row],[Order Date]]</f>
        <v>0</v>
      </c>
      <c r="N1425">
        <f>WEEKNUM([1]!orders[[#This Row],[Order Date]])</f>
        <v>9</v>
      </c>
      <c r="O1425" t="str" cm="1">
        <f t="array" ref="O1425">_xlfn.IFS([1]!orders[[#This Row],[Customer Gender]]="M","Male", [1]!orders[[#This Row],[Customer Gender]]="F","Female", [1]!orders[[#This Row],[Customer Gender]]="O","Other", TRUE,"Unknown")</f>
        <v>Female</v>
      </c>
    </row>
    <row r="1426" spans="1:15" x14ac:dyDescent="0.25">
      <c r="A1426" s="1" t="s">
        <v>1510</v>
      </c>
      <c r="B1426" s="1" t="s">
        <v>113</v>
      </c>
      <c r="C1426" s="1">
        <v>15</v>
      </c>
      <c r="D1426" s="1">
        <v>72.599999999999994</v>
      </c>
      <c r="E1426" s="1">
        <v>1089</v>
      </c>
      <c r="F1426" s="2">
        <v>45711</v>
      </c>
      <c r="G1426" s="2">
        <v>45711</v>
      </c>
      <c r="H1426" s="1" t="s">
        <v>2</v>
      </c>
      <c r="I1426" s="1" t="s">
        <v>20</v>
      </c>
      <c r="J1426" s="1">
        <v>3</v>
      </c>
      <c r="K1426" s="1" t="s">
        <v>4</v>
      </c>
      <c r="L1426" s="1" t="s">
        <v>62</v>
      </c>
      <c r="M1426" s="1">
        <f>[1]!orders[[#This Row],[Ship Date]]-[1]!orders[[#This Row],[Order Date]]</f>
        <v>0</v>
      </c>
      <c r="N1426" s="1">
        <f>WEEKNUM([1]!orders[[#This Row],[Order Date]])</f>
        <v>9</v>
      </c>
      <c r="O1426" t="str" cm="1">
        <f t="array" ref="O1426">_xlfn.IFS([1]!orders[[#This Row],[Customer Gender]]="M","Male", [1]!orders[[#This Row],[Customer Gender]]="F","Female", [1]!orders[[#This Row],[Customer Gender]]="O","Other", TRUE,"Unknown")</f>
        <v>Unknown</v>
      </c>
    </row>
    <row r="1427" spans="1:15" x14ac:dyDescent="0.25">
      <c r="A1427" t="s">
        <v>1511</v>
      </c>
      <c r="B1427" t="s">
        <v>27</v>
      </c>
      <c r="C1427">
        <v>1</v>
      </c>
      <c r="D1427">
        <v>62.3</v>
      </c>
      <c r="E1427">
        <v>62.3</v>
      </c>
      <c r="F1427" s="3">
        <v>45711</v>
      </c>
      <c r="G1427" s="3">
        <v>45712</v>
      </c>
      <c r="H1427" t="s">
        <v>12</v>
      </c>
      <c r="I1427" t="s">
        <v>20</v>
      </c>
      <c r="J1427">
        <v>4</v>
      </c>
      <c r="K1427" t="s">
        <v>4</v>
      </c>
      <c r="L1427" t="s">
        <v>62</v>
      </c>
      <c r="M1427">
        <f>[1]!orders[[#This Row],[Ship Date]]-[1]!orders[[#This Row],[Order Date]]</f>
        <v>1</v>
      </c>
      <c r="N1427">
        <f>WEEKNUM([1]!orders[[#This Row],[Order Date]])</f>
        <v>9</v>
      </c>
      <c r="O1427" t="str" cm="1">
        <f t="array" ref="O1427">_xlfn.IFS([1]!orders[[#This Row],[Customer Gender]]="M","Male", [1]!orders[[#This Row],[Customer Gender]]="F","Female", [1]!orders[[#This Row],[Customer Gender]]="O","Other", TRUE,"Unknown")</f>
        <v>Female</v>
      </c>
    </row>
    <row r="1428" spans="1:15" x14ac:dyDescent="0.25">
      <c r="A1428" s="1" t="s">
        <v>1512</v>
      </c>
      <c r="B1428" s="1" t="s">
        <v>15</v>
      </c>
      <c r="C1428" s="1">
        <v>3</v>
      </c>
      <c r="D1428" s="1">
        <v>33.799999999999997</v>
      </c>
      <c r="E1428" s="1">
        <v>101.39999999999999</v>
      </c>
      <c r="F1428" s="2">
        <v>45711</v>
      </c>
      <c r="G1428" s="2">
        <v>45713</v>
      </c>
      <c r="H1428" s="1" t="s">
        <v>8</v>
      </c>
      <c r="I1428" s="1" t="s">
        <v>3</v>
      </c>
      <c r="J1428" s="1">
        <v>5</v>
      </c>
      <c r="K1428" s="1" t="s">
        <v>4</v>
      </c>
      <c r="L1428" s="1" t="s">
        <v>98</v>
      </c>
      <c r="M1428" s="1">
        <f>[1]!orders[[#This Row],[Ship Date]]-[1]!orders[[#This Row],[Order Date]]</f>
        <v>2</v>
      </c>
      <c r="N1428" s="1">
        <f>WEEKNUM([1]!orders[[#This Row],[Order Date]])</f>
        <v>9</v>
      </c>
      <c r="O1428" t="str" cm="1">
        <f t="array" ref="O1428">_xlfn.IFS([1]!orders[[#This Row],[Customer Gender]]="M","Male", [1]!orders[[#This Row],[Customer Gender]]="F","Female", [1]!orders[[#This Row],[Customer Gender]]="O","Other", TRUE,"Unknown")</f>
        <v>Male</v>
      </c>
    </row>
    <row r="1429" spans="1:15" x14ac:dyDescent="0.25">
      <c r="A1429" t="s">
        <v>1513</v>
      </c>
      <c r="B1429" t="s">
        <v>31</v>
      </c>
      <c r="C1429">
        <v>1</v>
      </c>
      <c r="D1429">
        <v>85.7</v>
      </c>
      <c r="E1429">
        <v>85.7</v>
      </c>
      <c r="F1429" s="3">
        <v>45711</v>
      </c>
      <c r="G1429" s="3">
        <v>45714</v>
      </c>
      <c r="H1429" t="s">
        <v>8</v>
      </c>
      <c r="I1429" t="s">
        <v>36</v>
      </c>
      <c r="J1429">
        <v>3</v>
      </c>
      <c r="K1429" t="s">
        <v>4</v>
      </c>
      <c r="L1429" t="s">
        <v>100</v>
      </c>
      <c r="M1429">
        <f>[1]!orders[[#This Row],[Ship Date]]-[1]!orders[[#This Row],[Order Date]]</f>
        <v>3</v>
      </c>
      <c r="N1429">
        <f>WEEKNUM([1]!orders[[#This Row],[Order Date]])</f>
        <v>9</v>
      </c>
      <c r="O1429" t="str" cm="1">
        <f t="array" ref="O1429">_xlfn.IFS([1]!orders[[#This Row],[Customer Gender]]="M","Male", [1]!orders[[#This Row],[Customer Gender]]="F","Female", [1]!orders[[#This Row],[Customer Gender]]="O","Other", TRUE,"Unknown")</f>
        <v>Male</v>
      </c>
    </row>
    <row r="1430" spans="1:15" x14ac:dyDescent="0.25">
      <c r="A1430" s="1" t="s">
        <v>1514</v>
      </c>
      <c r="B1430" s="1" t="s">
        <v>24</v>
      </c>
      <c r="C1430" s="1">
        <v>2</v>
      </c>
      <c r="D1430" s="1">
        <v>92.1</v>
      </c>
      <c r="E1430" s="1">
        <v>184.2</v>
      </c>
      <c r="F1430" s="2">
        <v>45711</v>
      </c>
      <c r="G1430" s="2">
        <v>45713</v>
      </c>
      <c r="H1430" s="1" t="s">
        <v>8</v>
      </c>
      <c r="I1430" s="1" t="s">
        <v>20</v>
      </c>
      <c r="J1430" s="1">
        <v>4</v>
      </c>
      <c r="K1430" s="1" t="s">
        <v>4</v>
      </c>
      <c r="L1430" s="1" t="s">
        <v>100</v>
      </c>
      <c r="M1430" s="1">
        <f>[1]!orders[[#This Row],[Ship Date]]-[1]!orders[[#This Row],[Order Date]]</f>
        <v>2</v>
      </c>
      <c r="N1430" s="1">
        <f>WEEKNUM([1]!orders[[#This Row],[Order Date]])</f>
        <v>9</v>
      </c>
      <c r="O1430" t="str" cm="1">
        <f t="array" ref="O1430">_xlfn.IFS([1]!orders[[#This Row],[Customer Gender]]="M","Male", [1]!orders[[#This Row],[Customer Gender]]="F","Female", [1]!orders[[#This Row],[Customer Gender]]="O","Other", TRUE,"Unknown")</f>
        <v>Male</v>
      </c>
    </row>
    <row r="1431" spans="1:15" x14ac:dyDescent="0.25">
      <c r="A1431" t="s">
        <v>1515</v>
      </c>
      <c r="B1431" t="s">
        <v>113</v>
      </c>
      <c r="C1431">
        <v>3</v>
      </c>
      <c r="D1431">
        <v>65.099999999999994</v>
      </c>
      <c r="E1431">
        <v>195.29999999999998</v>
      </c>
      <c r="F1431" s="3">
        <v>45711</v>
      </c>
      <c r="G1431" s="3">
        <v>45714</v>
      </c>
      <c r="H1431" t="s">
        <v>8</v>
      </c>
      <c r="I1431" t="s">
        <v>3</v>
      </c>
      <c r="J1431">
        <v>4</v>
      </c>
      <c r="K1431" t="s">
        <v>4</v>
      </c>
      <c r="L1431" t="s">
        <v>9</v>
      </c>
      <c r="M1431">
        <f>[1]!orders[[#This Row],[Ship Date]]-[1]!orders[[#This Row],[Order Date]]</f>
        <v>3</v>
      </c>
      <c r="N1431">
        <f>WEEKNUM([1]!orders[[#This Row],[Order Date]])</f>
        <v>9</v>
      </c>
      <c r="O1431" t="str" cm="1">
        <f t="array" ref="O1431">_xlfn.IFS([1]!orders[[#This Row],[Customer Gender]]="M","Male", [1]!orders[[#This Row],[Customer Gender]]="F","Female", [1]!orders[[#This Row],[Customer Gender]]="O","Other", TRUE,"Unknown")</f>
        <v>Male</v>
      </c>
    </row>
    <row r="1432" spans="1:15" x14ac:dyDescent="0.25">
      <c r="A1432" s="1" t="s">
        <v>1516</v>
      </c>
      <c r="B1432" s="1" t="s">
        <v>31</v>
      </c>
      <c r="C1432" s="1">
        <v>7</v>
      </c>
      <c r="D1432" s="1">
        <v>20.3</v>
      </c>
      <c r="E1432" s="1">
        <v>142.1</v>
      </c>
      <c r="F1432" s="2">
        <v>45711</v>
      </c>
      <c r="G1432" s="2">
        <v>45712</v>
      </c>
      <c r="H1432" s="1" t="s">
        <v>12</v>
      </c>
      <c r="I1432" s="1" t="s">
        <v>25</v>
      </c>
      <c r="J1432" s="1">
        <v>5</v>
      </c>
      <c r="K1432" s="1" t="s">
        <v>4</v>
      </c>
      <c r="L1432" s="1" t="s">
        <v>13</v>
      </c>
      <c r="M1432" s="1">
        <f>[1]!orders[[#This Row],[Ship Date]]-[1]!orders[[#This Row],[Order Date]]</f>
        <v>1</v>
      </c>
      <c r="N1432" s="1">
        <f>WEEKNUM([1]!orders[[#This Row],[Order Date]])</f>
        <v>9</v>
      </c>
      <c r="O1432" t="str" cm="1">
        <f t="array" ref="O1432">_xlfn.IFS([1]!orders[[#This Row],[Customer Gender]]="M","Male", [1]!orders[[#This Row],[Customer Gender]]="F","Female", [1]!orders[[#This Row],[Customer Gender]]="O","Other", TRUE,"Unknown")</f>
        <v>Female</v>
      </c>
    </row>
    <row r="1433" spans="1:15" x14ac:dyDescent="0.25">
      <c r="A1433" t="s">
        <v>1517</v>
      </c>
      <c r="B1433" t="s">
        <v>156</v>
      </c>
      <c r="C1433">
        <v>2</v>
      </c>
      <c r="D1433">
        <v>29.8</v>
      </c>
      <c r="E1433">
        <v>59.6</v>
      </c>
      <c r="F1433" s="3">
        <v>45711</v>
      </c>
      <c r="G1433" s="3">
        <v>45713</v>
      </c>
      <c r="H1433" t="s">
        <v>12</v>
      </c>
      <c r="I1433" t="s">
        <v>20</v>
      </c>
      <c r="J1433">
        <v>5</v>
      </c>
      <c r="K1433" t="s">
        <v>4</v>
      </c>
      <c r="L1433" t="s">
        <v>319</v>
      </c>
      <c r="M1433">
        <f>[1]!orders[[#This Row],[Ship Date]]-[1]!orders[[#This Row],[Order Date]]</f>
        <v>2</v>
      </c>
      <c r="N1433">
        <f>WEEKNUM([1]!orders[[#This Row],[Order Date]])</f>
        <v>9</v>
      </c>
      <c r="O1433" t="str" cm="1">
        <f t="array" ref="O1433">_xlfn.IFS([1]!orders[[#This Row],[Customer Gender]]="M","Male", [1]!orders[[#This Row],[Customer Gender]]="F","Female", [1]!orders[[#This Row],[Customer Gender]]="O","Other", TRUE,"Unknown")</f>
        <v>Female</v>
      </c>
    </row>
    <row r="1434" spans="1:15" x14ac:dyDescent="0.25">
      <c r="A1434" s="1" t="s">
        <v>1518</v>
      </c>
      <c r="B1434" s="1" t="s">
        <v>1</v>
      </c>
      <c r="C1434" s="1">
        <v>2</v>
      </c>
      <c r="D1434" s="1">
        <v>24.2</v>
      </c>
      <c r="E1434" s="1">
        <v>48.4</v>
      </c>
      <c r="F1434" s="2">
        <v>45711</v>
      </c>
      <c r="G1434" s="2">
        <v>45713</v>
      </c>
      <c r="H1434" s="1" t="s">
        <v>12</v>
      </c>
      <c r="I1434" s="1" t="s">
        <v>36</v>
      </c>
      <c r="J1434" s="1">
        <v>5</v>
      </c>
      <c r="K1434" s="1" t="s">
        <v>4</v>
      </c>
      <c r="L1434" s="1" t="s">
        <v>18</v>
      </c>
      <c r="M1434" s="1">
        <f>[1]!orders[[#This Row],[Ship Date]]-[1]!orders[[#This Row],[Order Date]]</f>
        <v>2</v>
      </c>
      <c r="N1434" s="1">
        <f>WEEKNUM([1]!orders[[#This Row],[Order Date]])</f>
        <v>9</v>
      </c>
      <c r="O1434" t="str" cm="1">
        <f t="array" ref="O1434">_xlfn.IFS([1]!orders[[#This Row],[Customer Gender]]="M","Male", [1]!orders[[#This Row],[Customer Gender]]="F","Female", [1]!orders[[#This Row],[Customer Gender]]="O","Other", TRUE,"Unknown")</f>
        <v>Female</v>
      </c>
    </row>
    <row r="1435" spans="1:15" x14ac:dyDescent="0.25">
      <c r="A1435" t="s">
        <v>1519</v>
      </c>
      <c r="B1435" t="s">
        <v>15</v>
      </c>
      <c r="C1435">
        <v>1</v>
      </c>
      <c r="D1435">
        <v>57.3</v>
      </c>
      <c r="E1435">
        <v>57.3</v>
      </c>
      <c r="F1435" s="3">
        <v>45711</v>
      </c>
      <c r="G1435" s="3">
        <v>45713</v>
      </c>
      <c r="H1435" t="s">
        <v>8</v>
      </c>
      <c r="I1435" t="s">
        <v>3</v>
      </c>
      <c r="J1435">
        <v>4</v>
      </c>
      <c r="K1435" t="s">
        <v>4</v>
      </c>
      <c r="L1435" t="s">
        <v>18</v>
      </c>
      <c r="M1435">
        <f>[1]!orders[[#This Row],[Ship Date]]-[1]!orders[[#This Row],[Order Date]]</f>
        <v>2</v>
      </c>
      <c r="N1435">
        <f>WEEKNUM([1]!orders[[#This Row],[Order Date]])</f>
        <v>9</v>
      </c>
      <c r="O1435" t="str" cm="1">
        <f t="array" ref="O1435">_xlfn.IFS([1]!orders[[#This Row],[Customer Gender]]="M","Male", [1]!orders[[#This Row],[Customer Gender]]="F","Female", [1]!orders[[#This Row],[Customer Gender]]="O","Other", TRUE,"Unknown")</f>
        <v>Male</v>
      </c>
    </row>
    <row r="1436" spans="1:15" x14ac:dyDescent="0.25">
      <c r="A1436" s="1" t="s">
        <v>1520</v>
      </c>
      <c r="B1436" s="1" t="s">
        <v>11</v>
      </c>
      <c r="C1436" s="1">
        <v>1</v>
      </c>
      <c r="D1436" s="1">
        <v>108.9</v>
      </c>
      <c r="E1436" s="1">
        <v>108.9</v>
      </c>
      <c r="F1436" s="2">
        <v>45711</v>
      </c>
      <c r="G1436" s="2">
        <v>45713</v>
      </c>
      <c r="H1436" s="1" t="s">
        <v>12</v>
      </c>
      <c r="I1436" s="1" t="s">
        <v>20</v>
      </c>
      <c r="J1436" s="1">
        <v>4</v>
      </c>
      <c r="K1436" s="1" t="s">
        <v>4</v>
      </c>
      <c r="L1436" s="1" t="s">
        <v>18</v>
      </c>
      <c r="M1436" s="1">
        <f>[1]!orders[[#This Row],[Ship Date]]-[1]!orders[[#This Row],[Order Date]]</f>
        <v>2</v>
      </c>
      <c r="N1436" s="1">
        <f>WEEKNUM([1]!orders[[#This Row],[Order Date]])</f>
        <v>9</v>
      </c>
      <c r="O1436" t="str" cm="1">
        <f t="array" ref="O1436">_xlfn.IFS([1]!orders[[#This Row],[Customer Gender]]="M","Male", [1]!orders[[#This Row],[Customer Gender]]="F","Female", [1]!orders[[#This Row],[Customer Gender]]="O","Other", TRUE,"Unknown")</f>
        <v>Female</v>
      </c>
    </row>
    <row r="1437" spans="1:15" x14ac:dyDescent="0.25">
      <c r="A1437" t="s">
        <v>1521</v>
      </c>
      <c r="B1437" t="s">
        <v>27</v>
      </c>
      <c r="C1437">
        <v>5</v>
      </c>
      <c r="D1437">
        <v>50.7</v>
      </c>
      <c r="E1437">
        <v>253.5</v>
      </c>
      <c r="F1437" s="3">
        <v>45711</v>
      </c>
      <c r="G1437" s="3">
        <v>45712</v>
      </c>
      <c r="H1437" t="s">
        <v>12</v>
      </c>
      <c r="I1437" t="s">
        <v>3</v>
      </c>
      <c r="J1437">
        <v>4</v>
      </c>
      <c r="K1437" t="s">
        <v>4</v>
      </c>
      <c r="L1437" t="s">
        <v>18</v>
      </c>
      <c r="M1437">
        <f>[1]!orders[[#This Row],[Ship Date]]-[1]!orders[[#This Row],[Order Date]]</f>
        <v>1</v>
      </c>
      <c r="N1437">
        <f>WEEKNUM([1]!orders[[#This Row],[Order Date]])</f>
        <v>9</v>
      </c>
      <c r="O1437" t="str" cm="1">
        <f t="array" ref="O1437">_xlfn.IFS([1]!orders[[#This Row],[Customer Gender]]="M","Male", [1]!orders[[#This Row],[Customer Gender]]="F","Female", [1]!orders[[#This Row],[Customer Gender]]="O","Other", TRUE,"Unknown")</f>
        <v>Female</v>
      </c>
    </row>
    <row r="1438" spans="1:15" x14ac:dyDescent="0.25">
      <c r="A1438" s="1" t="s">
        <v>1522</v>
      </c>
      <c r="B1438" s="1" t="s">
        <v>27</v>
      </c>
      <c r="C1438" s="1">
        <v>9</v>
      </c>
      <c r="D1438" s="1">
        <v>66.099999999999994</v>
      </c>
      <c r="E1438" s="1">
        <v>594.9</v>
      </c>
      <c r="F1438" s="2">
        <v>45711</v>
      </c>
      <c r="G1438" s="2">
        <v>45725</v>
      </c>
      <c r="H1438" s="1" t="s">
        <v>12</v>
      </c>
      <c r="I1438" s="1" t="s">
        <v>20</v>
      </c>
      <c r="J1438" s="1">
        <v>4</v>
      </c>
      <c r="K1438" s="1" t="s">
        <v>4</v>
      </c>
      <c r="L1438" s="1" t="s">
        <v>18</v>
      </c>
      <c r="M1438" s="1">
        <f>[1]!orders[[#This Row],[Ship Date]]-[1]!orders[[#This Row],[Order Date]]</f>
        <v>14</v>
      </c>
      <c r="N1438" s="1">
        <f>WEEKNUM([1]!orders[[#This Row],[Order Date]])</f>
        <v>9</v>
      </c>
      <c r="O1438" t="str" cm="1">
        <f t="array" ref="O1438">_xlfn.IFS([1]!orders[[#This Row],[Customer Gender]]="M","Male", [1]!orders[[#This Row],[Customer Gender]]="F","Female", [1]!orders[[#This Row],[Customer Gender]]="O","Other", TRUE,"Unknown")</f>
        <v>Female</v>
      </c>
    </row>
    <row r="1439" spans="1:15" x14ac:dyDescent="0.25">
      <c r="A1439" t="s">
        <v>1523</v>
      </c>
      <c r="B1439" t="s">
        <v>54</v>
      </c>
      <c r="C1439">
        <v>5</v>
      </c>
      <c r="D1439">
        <v>36.700000000000003</v>
      </c>
      <c r="E1439">
        <v>183.5</v>
      </c>
      <c r="F1439" s="3">
        <v>45711</v>
      </c>
      <c r="G1439" s="3">
        <v>45715</v>
      </c>
      <c r="H1439" t="s">
        <v>12</v>
      </c>
      <c r="I1439" t="s">
        <v>55</v>
      </c>
      <c r="J1439">
        <v>4</v>
      </c>
      <c r="K1439" t="s">
        <v>4</v>
      </c>
      <c r="L1439" t="s">
        <v>18</v>
      </c>
      <c r="M1439">
        <f>[1]!orders[[#This Row],[Ship Date]]-[1]!orders[[#This Row],[Order Date]]</f>
        <v>4</v>
      </c>
      <c r="N1439">
        <f>WEEKNUM([1]!orders[[#This Row],[Order Date]])</f>
        <v>9</v>
      </c>
      <c r="O1439" t="str" cm="1">
        <f t="array" ref="O1439">_xlfn.IFS([1]!orders[[#This Row],[Customer Gender]]="M","Male", [1]!orders[[#This Row],[Customer Gender]]="F","Female", [1]!orders[[#This Row],[Customer Gender]]="O","Other", TRUE,"Unknown")</f>
        <v>Female</v>
      </c>
    </row>
    <row r="1440" spans="1:15" x14ac:dyDescent="0.25">
      <c r="A1440" s="1" t="s">
        <v>1524</v>
      </c>
      <c r="B1440" s="1" t="s">
        <v>29</v>
      </c>
      <c r="C1440" s="1">
        <v>17</v>
      </c>
      <c r="D1440" s="1">
        <v>19.3</v>
      </c>
      <c r="E1440" s="1">
        <v>328.1</v>
      </c>
      <c r="F1440" s="2">
        <v>45711</v>
      </c>
      <c r="G1440" s="2">
        <v>45713</v>
      </c>
      <c r="H1440" s="1" t="s">
        <v>8</v>
      </c>
      <c r="I1440" s="1" t="s">
        <v>3</v>
      </c>
      <c r="J1440" s="1">
        <v>4</v>
      </c>
      <c r="K1440" s="1" t="s">
        <v>4</v>
      </c>
      <c r="L1440" s="1" t="s">
        <v>530</v>
      </c>
      <c r="M1440" s="1">
        <f>[1]!orders[[#This Row],[Ship Date]]-[1]!orders[[#This Row],[Order Date]]</f>
        <v>2</v>
      </c>
      <c r="N1440" s="1">
        <f>WEEKNUM([1]!orders[[#This Row],[Order Date]])</f>
        <v>9</v>
      </c>
      <c r="O1440" t="str" cm="1">
        <f t="array" ref="O1440">_xlfn.IFS([1]!orders[[#This Row],[Customer Gender]]="M","Male", [1]!orders[[#This Row],[Customer Gender]]="F","Female", [1]!orders[[#This Row],[Customer Gender]]="O","Other", TRUE,"Unknown")</f>
        <v>Male</v>
      </c>
    </row>
    <row r="1441" spans="1:15" x14ac:dyDescent="0.25">
      <c r="A1441" t="s">
        <v>1525</v>
      </c>
      <c r="B1441" t="s">
        <v>29</v>
      </c>
      <c r="C1441">
        <v>4</v>
      </c>
      <c r="D1441">
        <v>20.7</v>
      </c>
      <c r="E1441">
        <v>82.8</v>
      </c>
      <c r="F1441" s="3">
        <v>45711</v>
      </c>
      <c r="G1441" s="3">
        <v>45712</v>
      </c>
      <c r="H1441" t="s">
        <v>8</v>
      </c>
      <c r="I1441" t="s">
        <v>20</v>
      </c>
      <c r="J1441">
        <v>5</v>
      </c>
      <c r="K1441" t="s">
        <v>4</v>
      </c>
      <c r="L1441" t="s">
        <v>40</v>
      </c>
      <c r="M1441">
        <f>[1]!orders[[#This Row],[Ship Date]]-[1]!orders[[#This Row],[Order Date]]</f>
        <v>1</v>
      </c>
      <c r="N1441">
        <f>WEEKNUM([1]!orders[[#This Row],[Order Date]])</f>
        <v>9</v>
      </c>
      <c r="O1441" t="str" cm="1">
        <f t="array" ref="O1441">_xlfn.IFS([1]!orders[[#This Row],[Customer Gender]]="M","Male", [1]!orders[[#This Row],[Customer Gender]]="F","Female", [1]!orders[[#This Row],[Customer Gender]]="O","Other", TRUE,"Unknown")</f>
        <v>Male</v>
      </c>
    </row>
    <row r="1442" spans="1:15" x14ac:dyDescent="0.25">
      <c r="A1442" s="1" t="s">
        <v>1526</v>
      </c>
      <c r="B1442" s="1" t="s">
        <v>22</v>
      </c>
      <c r="C1442" s="1">
        <v>3</v>
      </c>
      <c r="D1442" s="1">
        <v>54.7</v>
      </c>
      <c r="E1442" s="1">
        <v>164.10000000000002</v>
      </c>
      <c r="F1442" s="2">
        <v>45711</v>
      </c>
      <c r="G1442" s="2">
        <v>45711</v>
      </c>
      <c r="H1442" s="1" t="s">
        <v>74</v>
      </c>
      <c r="I1442" s="1" t="s">
        <v>20</v>
      </c>
      <c r="J1442" s="1">
        <v>2</v>
      </c>
      <c r="K1442" s="1" t="s">
        <v>4</v>
      </c>
      <c r="L1442" s="1" t="s">
        <v>40</v>
      </c>
      <c r="M1442" s="1">
        <f>[1]!orders[[#This Row],[Ship Date]]-[1]!orders[[#This Row],[Order Date]]</f>
        <v>0</v>
      </c>
      <c r="N1442" s="1">
        <f>WEEKNUM([1]!orders[[#This Row],[Order Date]])</f>
        <v>9</v>
      </c>
      <c r="O1442" t="str" cm="1">
        <f t="array" ref="O1442">_xlfn.IFS([1]!orders[[#This Row],[Customer Gender]]="M","Male", [1]!orders[[#This Row],[Customer Gender]]="F","Female", [1]!orders[[#This Row],[Customer Gender]]="O","Other", TRUE,"Unknown")</f>
        <v>Other</v>
      </c>
    </row>
    <row r="1443" spans="1:15" x14ac:dyDescent="0.25">
      <c r="A1443" t="s">
        <v>1527</v>
      </c>
      <c r="B1443" t="s">
        <v>17</v>
      </c>
      <c r="C1443">
        <v>2</v>
      </c>
      <c r="D1443">
        <v>19.8</v>
      </c>
      <c r="E1443">
        <v>39.6</v>
      </c>
      <c r="F1443" s="3">
        <v>45711</v>
      </c>
      <c r="G1443" s="3">
        <v>45715</v>
      </c>
      <c r="H1443" t="s">
        <v>12</v>
      </c>
      <c r="I1443" t="s">
        <v>55</v>
      </c>
      <c r="J1443">
        <v>3</v>
      </c>
      <c r="K1443" t="s">
        <v>4</v>
      </c>
      <c r="L1443" t="s">
        <v>47</v>
      </c>
      <c r="M1443">
        <f>[1]!orders[[#This Row],[Ship Date]]-[1]!orders[[#This Row],[Order Date]]</f>
        <v>4</v>
      </c>
      <c r="N1443">
        <f>WEEKNUM([1]!orders[[#This Row],[Order Date]])</f>
        <v>9</v>
      </c>
      <c r="O1443" t="str" cm="1">
        <f t="array" ref="O1443">_xlfn.IFS([1]!orders[[#This Row],[Customer Gender]]="M","Male", [1]!orders[[#This Row],[Customer Gender]]="F","Female", [1]!orders[[#This Row],[Customer Gender]]="O","Other", TRUE,"Unknown")</f>
        <v>Female</v>
      </c>
    </row>
    <row r="1444" spans="1:15" x14ac:dyDescent="0.25">
      <c r="A1444" s="1" t="s">
        <v>1528</v>
      </c>
      <c r="B1444" s="1" t="s">
        <v>27</v>
      </c>
      <c r="C1444" s="1">
        <v>1</v>
      </c>
      <c r="D1444" s="1">
        <v>41.1</v>
      </c>
      <c r="E1444" s="1">
        <v>41.1</v>
      </c>
      <c r="F1444" s="2">
        <v>45711</v>
      </c>
      <c r="G1444" s="2">
        <v>45713</v>
      </c>
      <c r="H1444" s="1" t="s">
        <v>12</v>
      </c>
      <c r="I1444" s="1" t="s">
        <v>3</v>
      </c>
      <c r="J1444" s="1">
        <v>5</v>
      </c>
      <c r="K1444" s="1" t="s">
        <v>4</v>
      </c>
      <c r="L1444" s="1" t="s">
        <v>47</v>
      </c>
      <c r="M1444" s="1">
        <f>[1]!orders[[#This Row],[Ship Date]]-[1]!orders[[#This Row],[Order Date]]</f>
        <v>2</v>
      </c>
      <c r="N1444" s="1">
        <f>WEEKNUM([1]!orders[[#This Row],[Order Date]])</f>
        <v>9</v>
      </c>
      <c r="O1444" t="str" cm="1">
        <f t="array" ref="O1444">_xlfn.IFS([1]!orders[[#This Row],[Customer Gender]]="M","Male", [1]!orders[[#This Row],[Customer Gender]]="F","Female", [1]!orders[[#This Row],[Customer Gender]]="O","Other", TRUE,"Unknown")</f>
        <v>Female</v>
      </c>
    </row>
    <row r="1445" spans="1:15" x14ac:dyDescent="0.25">
      <c r="A1445" t="s">
        <v>1529</v>
      </c>
      <c r="B1445" t="s">
        <v>52</v>
      </c>
      <c r="C1445">
        <v>8</v>
      </c>
      <c r="D1445">
        <v>43.5</v>
      </c>
      <c r="E1445">
        <v>348</v>
      </c>
      <c r="F1445" s="3">
        <v>45711</v>
      </c>
      <c r="G1445" s="3">
        <v>45715</v>
      </c>
      <c r="H1445" t="s">
        <v>12</v>
      </c>
      <c r="I1445" t="s">
        <v>36</v>
      </c>
      <c r="J1445">
        <v>4</v>
      </c>
      <c r="K1445" t="s">
        <v>4</v>
      </c>
      <c r="L1445" t="s">
        <v>47</v>
      </c>
      <c r="M1445">
        <f>[1]!orders[[#This Row],[Ship Date]]-[1]!orders[[#This Row],[Order Date]]</f>
        <v>4</v>
      </c>
      <c r="N1445">
        <f>WEEKNUM([1]!orders[[#This Row],[Order Date]])</f>
        <v>9</v>
      </c>
      <c r="O1445" t="str" cm="1">
        <f t="array" ref="O1445">_xlfn.IFS([1]!orders[[#This Row],[Customer Gender]]="M","Male", [1]!orders[[#This Row],[Customer Gender]]="F","Female", [1]!orders[[#This Row],[Customer Gender]]="O","Other", TRUE,"Unknown")</f>
        <v>Female</v>
      </c>
    </row>
    <row r="1446" spans="1:15" x14ac:dyDescent="0.25">
      <c r="A1446" s="1" t="s">
        <v>1530</v>
      </c>
      <c r="B1446" s="1" t="s">
        <v>29</v>
      </c>
      <c r="C1446" s="1">
        <v>14</v>
      </c>
      <c r="D1446" s="1">
        <v>19</v>
      </c>
      <c r="E1446" s="1">
        <v>266</v>
      </c>
      <c r="F1446" s="2">
        <v>45711</v>
      </c>
      <c r="G1446" s="2">
        <v>45712</v>
      </c>
      <c r="H1446" s="1" t="s">
        <v>8</v>
      </c>
      <c r="I1446" s="1" t="s">
        <v>3</v>
      </c>
      <c r="J1446" s="1">
        <v>4</v>
      </c>
      <c r="K1446" s="1" t="s">
        <v>4</v>
      </c>
      <c r="L1446" s="1" t="s">
        <v>186</v>
      </c>
      <c r="M1446" s="1">
        <f>[1]!orders[[#This Row],[Ship Date]]-[1]!orders[[#This Row],[Order Date]]</f>
        <v>1</v>
      </c>
      <c r="N1446" s="1">
        <f>WEEKNUM([1]!orders[[#This Row],[Order Date]])</f>
        <v>9</v>
      </c>
      <c r="O1446" t="str" cm="1">
        <f t="array" ref="O1446">_xlfn.IFS([1]!orders[[#This Row],[Customer Gender]]="M","Male", [1]!orders[[#This Row],[Customer Gender]]="F","Female", [1]!orders[[#This Row],[Customer Gender]]="O","Other", TRUE,"Unknown")</f>
        <v>Male</v>
      </c>
    </row>
    <row r="1447" spans="1:15" x14ac:dyDescent="0.25">
      <c r="A1447" t="s">
        <v>1531</v>
      </c>
      <c r="B1447" t="s">
        <v>11</v>
      </c>
      <c r="C1447">
        <v>4</v>
      </c>
      <c r="D1447">
        <v>51.4</v>
      </c>
      <c r="E1447">
        <v>205.6</v>
      </c>
      <c r="F1447" s="3">
        <v>45711</v>
      </c>
      <c r="G1447" s="3">
        <v>45711</v>
      </c>
      <c r="H1447" t="s">
        <v>12</v>
      </c>
      <c r="I1447" t="s">
        <v>3</v>
      </c>
      <c r="J1447">
        <v>4</v>
      </c>
      <c r="K1447" t="s">
        <v>4</v>
      </c>
      <c r="L1447" t="s">
        <v>186</v>
      </c>
      <c r="M1447">
        <f>[1]!orders[[#This Row],[Ship Date]]-[1]!orders[[#This Row],[Order Date]]</f>
        <v>0</v>
      </c>
      <c r="N1447">
        <f>WEEKNUM([1]!orders[[#This Row],[Order Date]])</f>
        <v>9</v>
      </c>
      <c r="O1447" t="str" cm="1">
        <f t="array" ref="O1447">_xlfn.IFS([1]!orders[[#This Row],[Customer Gender]]="M","Male", [1]!orders[[#This Row],[Customer Gender]]="F","Female", [1]!orders[[#This Row],[Customer Gender]]="O","Other", TRUE,"Unknown")</f>
        <v>Female</v>
      </c>
    </row>
    <row r="1448" spans="1:15" x14ac:dyDescent="0.25">
      <c r="A1448" s="1" t="s">
        <v>1532</v>
      </c>
      <c r="B1448" s="1" t="s">
        <v>39</v>
      </c>
      <c r="C1448" s="1">
        <v>2</v>
      </c>
      <c r="D1448" s="1">
        <v>39.799999999999997</v>
      </c>
      <c r="E1448" s="1">
        <v>79.599999999999994</v>
      </c>
      <c r="F1448" s="2">
        <v>45711</v>
      </c>
      <c r="G1448" s="2">
        <v>45714</v>
      </c>
      <c r="H1448" s="1" t="s">
        <v>8</v>
      </c>
      <c r="I1448" s="1" t="s">
        <v>36</v>
      </c>
      <c r="J1448" s="1">
        <v>3</v>
      </c>
      <c r="K1448" s="1" t="s">
        <v>4</v>
      </c>
      <c r="L1448" s="1" t="s">
        <v>67</v>
      </c>
      <c r="M1448" s="1">
        <f>[1]!orders[[#This Row],[Ship Date]]-[1]!orders[[#This Row],[Order Date]]</f>
        <v>3</v>
      </c>
      <c r="N1448" s="1">
        <f>WEEKNUM([1]!orders[[#This Row],[Order Date]])</f>
        <v>9</v>
      </c>
      <c r="O1448" t="str" cm="1">
        <f t="array" ref="O1448">_xlfn.IFS([1]!orders[[#This Row],[Customer Gender]]="M","Male", [1]!orders[[#This Row],[Customer Gender]]="F","Female", [1]!orders[[#This Row],[Customer Gender]]="O","Other", TRUE,"Unknown")</f>
        <v>Male</v>
      </c>
    </row>
    <row r="1449" spans="1:15" x14ac:dyDescent="0.25">
      <c r="A1449" t="s">
        <v>1533</v>
      </c>
      <c r="B1449" t="s">
        <v>24</v>
      </c>
      <c r="C1449">
        <v>5</v>
      </c>
      <c r="D1449">
        <v>61</v>
      </c>
      <c r="E1449">
        <v>305</v>
      </c>
      <c r="F1449" s="3">
        <v>45711</v>
      </c>
      <c r="G1449" s="3">
        <v>45712</v>
      </c>
      <c r="H1449" t="s">
        <v>2</v>
      </c>
      <c r="I1449" t="s">
        <v>3</v>
      </c>
      <c r="J1449">
        <v>5</v>
      </c>
      <c r="K1449" t="s">
        <v>4</v>
      </c>
      <c r="L1449" t="s">
        <v>100</v>
      </c>
      <c r="M1449">
        <f>[1]!orders[[#This Row],[Ship Date]]-[1]!orders[[#This Row],[Order Date]]</f>
        <v>1</v>
      </c>
      <c r="N1449">
        <f>WEEKNUM([1]!orders[[#This Row],[Order Date]])</f>
        <v>9</v>
      </c>
      <c r="O1449" t="str" cm="1">
        <f t="array" ref="O1449">_xlfn.IFS([1]!orders[[#This Row],[Customer Gender]]="M","Male", [1]!orders[[#This Row],[Customer Gender]]="F","Female", [1]!orders[[#This Row],[Customer Gender]]="O","Other", TRUE,"Unknown")</f>
        <v>Unknown</v>
      </c>
    </row>
    <row r="1450" spans="1:15" x14ac:dyDescent="0.25">
      <c r="A1450" s="1" t="s">
        <v>1534</v>
      </c>
      <c r="B1450" s="1" t="s">
        <v>29</v>
      </c>
      <c r="C1450" s="1">
        <v>11</v>
      </c>
      <c r="D1450" s="1">
        <v>15.1</v>
      </c>
      <c r="E1450" s="1">
        <v>166.1</v>
      </c>
      <c r="F1450" s="2">
        <v>45712</v>
      </c>
      <c r="G1450" s="2">
        <v>45717</v>
      </c>
      <c r="H1450" s="1" t="s">
        <v>8</v>
      </c>
      <c r="I1450" s="1" t="s">
        <v>36</v>
      </c>
      <c r="J1450" s="1">
        <v>5</v>
      </c>
      <c r="K1450" s="1" t="s">
        <v>4</v>
      </c>
      <c r="L1450" s="1" t="s">
        <v>13</v>
      </c>
      <c r="M1450" s="1">
        <f>[1]!orders[[#This Row],[Ship Date]]-[1]!orders[[#This Row],[Order Date]]</f>
        <v>5</v>
      </c>
      <c r="N1450" s="1">
        <f>WEEKNUM([1]!orders[[#This Row],[Order Date]])</f>
        <v>9</v>
      </c>
      <c r="O1450" t="str" cm="1">
        <f t="array" ref="O1450">_xlfn.IFS([1]!orders[[#This Row],[Customer Gender]]="M","Male", [1]!orders[[#This Row],[Customer Gender]]="F","Female", [1]!orders[[#This Row],[Customer Gender]]="O","Other", TRUE,"Unknown")</f>
        <v>Male</v>
      </c>
    </row>
    <row r="1451" spans="1:15" x14ac:dyDescent="0.25">
      <c r="A1451" t="s">
        <v>1535</v>
      </c>
      <c r="B1451" t="s">
        <v>7</v>
      </c>
      <c r="C1451">
        <v>7</v>
      </c>
      <c r="D1451">
        <v>71.3</v>
      </c>
      <c r="E1451">
        <v>499.09999999999997</v>
      </c>
      <c r="F1451" s="3">
        <v>45712</v>
      </c>
      <c r="G1451" s="3">
        <v>45713</v>
      </c>
      <c r="H1451" t="s">
        <v>8</v>
      </c>
      <c r="I1451" t="s">
        <v>55</v>
      </c>
      <c r="J1451">
        <v>4</v>
      </c>
      <c r="K1451" t="s">
        <v>4</v>
      </c>
      <c r="L1451" t="s">
        <v>18</v>
      </c>
      <c r="M1451">
        <f>[1]!orders[[#This Row],[Ship Date]]-[1]!orders[[#This Row],[Order Date]]</f>
        <v>1</v>
      </c>
      <c r="N1451">
        <f>WEEKNUM([1]!orders[[#This Row],[Order Date]])</f>
        <v>9</v>
      </c>
      <c r="O1451" t="str" cm="1">
        <f t="array" ref="O1451">_xlfn.IFS([1]!orders[[#This Row],[Customer Gender]]="M","Male", [1]!orders[[#This Row],[Customer Gender]]="F","Female", [1]!orders[[#This Row],[Customer Gender]]="O","Other", TRUE,"Unknown")</f>
        <v>Male</v>
      </c>
    </row>
    <row r="1452" spans="1:15" x14ac:dyDescent="0.25">
      <c r="A1452" s="1" t="s">
        <v>1536</v>
      </c>
      <c r="B1452" s="1" t="s">
        <v>39</v>
      </c>
      <c r="C1452" s="1">
        <v>1</v>
      </c>
      <c r="D1452" s="1">
        <v>25.8</v>
      </c>
      <c r="E1452" s="1">
        <v>25.8</v>
      </c>
      <c r="F1452" s="2">
        <v>45712</v>
      </c>
      <c r="G1452" s="2">
        <v>45714</v>
      </c>
      <c r="H1452" s="1" t="s">
        <v>12</v>
      </c>
      <c r="I1452" s="1" t="s">
        <v>3</v>
      </c>
      <c r="J1452" s="1">
        <v>5</v>
      </c>
      <c r="K1452" s="1" t="s">
        <v>4</v>
      </c>
      <c r="L1452" s="1" t="s">
        <v>18</v>
      </c>
      <c r="M1452" s="1">
        <f>[1]!orders[[#This Row],[Ship Date]]-[1]!orders[[#This Row],[Order Date]]</f>
        <v>2</v>
      </c>
      <c r="N1452" s="1">
        <f>WEEKNUM([1]!orders[[#This Row],[Order Date]])</f>
        <v>9</v>
      </c>
      <c r="O1452" t="str" cm="1">
        <f t="array" ref="O1452">_xlfn.IFS([1]!orders[[#This Row],[Customer Gender]]="M","Male", [1]!orders[[#This Row],[Customer Gender]]="F","Female", [1]!orders[[#This Row],[Customer Gender]]="O","Other", TRUE,"Unknown")</f>
        <v>Female</v>
      </c>
    </row>
    <row r="1453" spans="1:15" x14ac:dyDescent="0.25">
      <c r="A1453" t="s">
        <v>1537</v>
      </c>
      <c r="B1453" t="s">
        <v>29</v>
      </c>
      <c r="C1453">
        <v>5</v>
      </c>
      <c r="D1453">
        <v>39.6</v>
      </c>
      <c r="E1453">
        <v>198</v>
      </c>
      <c r="F1453" s="3">
        <v>45712</v>
      </c>
      <c r="G1453" s="3">
        <v>45714</v>
      </c>
      <c r="H1453" t="s">
        <v>8</v>
      </c>
      <c r="I1453" t="s">
        <v>20</v>
      </c>
      <c r="J1453">
        <v>5</v>
      </c>
      <c r="K1453" t="s">
        <v>4</v>
      </c>
      <c r="L1453" t="s">
        <v>18</v>
      </c>
      <c r="M1453">
        <f>[1]!orders[[#This Row],[Ship Date]]-[1]!orders[[#This Row],[Order Date]]</f>
        <v>2</v>
      </c>
      <c r="N1453">
        <f>WEEKNUM([1]!orders[[#This Row],[Order Date]])</f>
        <v>9</v>
      </c>
      <c r="O1453" t="str" cm="1">
        <f t="array" ref="O1453">_xlfn.IFS([1]!orders[[#This Row],[Customer Gender]]="M","Male", [1]!orders[[#This Row],[Customer Gender]]="F","Female", [1]!orders[[#This Row],[Customer Gender]]="O","Other", TRUE,"Unknown")</f>
        <v>Male</v>
      </c>
    </row>
    <row r="1454" spans="1:15" x14ac:dyDescent="0.25">
      <c r="A1454" s="1" t="s">
        <v>1538</v>
      </c>
      <c r="B1454" s="1" t="s">
        <v>22</v>
      </c>
      <c r="C1454" s="1">
        <v>2</v>
      </c>
      <c r="D1454" s="1">
        <v>64</v>
      </c>
      <c r="E1454" s="1">
        <v>128</v>
      </c>
      <c r="F1454" s="2">
        <v>45712</v>
      </c>
      <c r="G1454" s="2">
        <v>45712</v>
      </c>
      <c r="H1454" s="1" t="s">
        <v>8</v>
      </c>
      <c r="I1454" s="1" t="s">
        <v>20</v>
      </c>
      <c r="J1454" s="1">
        <v>3</v>
      </c>
      <c r="K1454" s="1" t="s">
        <v>4</v>
      </c>
      <c r="L1454" s="1" t="s">
        <v>18</v>
      </c>
      <c r="M1454" s="1">
        <f>[1]!orders[[#This Row],[Ship Date]]-[1]!orders[[#This Row],[Order Date]]</f>
        <v>0</v>
      </c>
      <c r="N1454" s="1">
        <f>WEEKNUM([1]!orders[[#This Row],[Order Date]])</f>
        <v>9</v>
      </c>
      <c r="O1454" t="str" cm="1">
        <f t="array" ref="O1454">_xlfn.IFS([1]!orders[[#This Row],[Customer Gender]]="M","Male", [1]!orders[[#This Row],[Customer Gender]]="F","Female", [1]!orders[[#This Row],[Customer Gender]]="O","Other", TRUE,"Unknown")</f>
        <v>Male</v>
      </c>
    </row>
    <row r="1455" spans="1:15" x14ac:dyDescent="0.25">
      <c r="A1455" t="s">
        <v>1539</v>
      </c>
      <c r="B1455" t="s">
        <v>29</v>
      </c>
      <c r="C1455">
        <v>2</v>
      </c>
      <c r="D1455">
        <v>30.6</v>
      </c>
      <c r="E1455">
        <v>61.2</v>
      </c>
      <c r="F1455" s="3">
        <v>45712</v>
      </c>
      <c r="G1455" s="3">
        <v>45715</v>
      </c>
      <c r="H1455" t="s">
        <v>8</v>
      </c>
      <c r="I1455" t="s">
        <v>3</v>
      </c>
      <c r="J1455">
        <v>5</v>
      </c>
      <c r="K1455" t="s">
        <v>4</v>
      </c>
      <c r="L1455" t="s">
        <v>18</v>
      </c>
      <c r="M1455">
        <f>[1]!orders[[#This Row],[Ship Date]]-[1]!orders[[#This Row],[Order Date]]</f>
        <v>3</v>
      </c>
      <c r="N1455">
        <f>WEEKNUM([1]!orders[[#This Row],[Order Date]])</f>
        <v>9</v>
      </c>
      <c r="O1455" t="str" cm="1">
        <f t="array" ref="O1455">_xlfn.IFS([1]!orders[[#This Row],[Customer Gender]]="M","Male", [1]!orders[[#This Row],[Customer Gender]]="F","Female", [1]!orders[[#This Row],[Customer Gender]]="O","Other", TRUE,"Unknown")</f>
        <v>Male</v>
      </c>
    </row>
    <row r="1456" spans="1:15" x14ac:dyDescent="0.25">
      <c r="A1456" s="1" t="s">
        <v>1540</v>
      </c>
      <c r="B1456" s="1" t="s">
        <v>29</v>
      </c>
      <c r="C1456" s="1">
        <v>2</v>
      </c>
      <c r="D1456" s="1">
        <v>21.3</v>
      </c>
      <c r="E1456" s="1">
        <v>42.6</v>
      </c>
      <c r="F1456" s="2">
        <v>45712</v>
      </c>
      <c r="G1456" s="2">
        <v>45713</v>
      </c>
      <c r="H1456" s="1" t="s">
        <v>8</v>
      </c>
      <c r="I1456" s="1" t="s">
        <v>3</v>
      </c>
      <c r="J1456" s="1">
        <v>3</v>
      </c>
      <c r="K1456" s="1" t="s">
        <v>4</v>
      </c>
      <c r="L1456" s="1" t="s">
        <v>18</v>
      </c>
      <c r="M1456" s="1">
        <f>[1]!orders[[#This Row],[Ship Date]]-[1]!orders[[#This Row],[Order Date]]</f>
        <v>1</v>
      </c>
      <c r="N1456" s="1">
        <f>WEEKNUM([1]!orders[[#This Row],[Order Date]])</f>
        <v>9</v>
      </c>
      <c r="O1456" t="str" cm="1">
        <f t="array" ref="O1456">_xlfn.IFS([1]!orders[[#This Row],[Customer Gender]]="M","Male", [1]!orders[[#This Row],[Customer Gender]]="F","Female", [1]!orders[[#This Row],[Customer Gender]]="O","Other", TRUE,"Unknown")</f>
        <v>Male</v>
      </c>
    </row>
    <row r="1457" spans="1:15" x14ac:dyDescent="0.25">
      <c r="A1457" t="s">
        <v>1541</v>
      </c>
      <c r="B1457" t="s">
        <v>27</v>
      </c>
      <c r="C1457">
        <v>1</v>
      </c>
      <c r="D1457">
        <v>40.799999999999997</v>
      </c>
      <c r="E1457">
        <v>40.799999999999997</v>
      </c>
      <c r="F1457" s="3">
        <v>45712</v>
      </c>
      <c r="G1457" s="3">
        <v>45714</v>
      </c>
      <c r="H1457" t="s">
        <v>12</v>
      </c>
      <c r="I1457" t="s">
        <v>55</v>
      </c>
      <c r="J1457">
        <v>4</v>
      </c>
      <c r="K1457" t="s">
        <v>4</v>
      </c>
      <c r="L1457" t="s">
        <v>18</v>
      </c>
      <c r="M1457">
        <f>[1]!orders[[#This Row],[Ship Date]]-[1]!orders[[#This Row],[Order Date]]</f>
        <v>2</v>
      </c>
      <c r="N1457">
        <f>WEEKNUM([1]!orders[[#This Row],[Order Date]])</f>
        <v>9</v>
      </c>
      <c r="O1457" t="str" cm="1">
        <f t="array" ref="O1457">_xlfn.IFS([1]!orders[[#This Row],[Customer Gender]]="M","Male", [1]!orders[[#This Row],[Customer Gender]]="F","Female", [1]!orders[[#This Row],[Customer Gender]]="O","Other", TRUE,"Unknown")</f>
        <v>Female</v>
      </c>
    </row>
    <row r="1458" spans="1:15" x14ac:dyDescent="0.25">
      <c r="A1458" s="1" t="s">
        <v>1542</v>
      </c>
      <c r="B1458" s="1" t="s">
        <v>31</v>
      </c>
      <c r="C1458" s="1">
        <v>4</v>
      </c>
      <c r="D1458" s="1">
        <v>27.7</v>
      </c>
      <c r="E1458" s="1">
        <v>110.8</v>
      </c>
      <c r="F1458" s="2">
        <v>45712</v>
      </c>
      <c r="G1458" s="2">
        <v>45713</v>
      </c>
      <c r="H1458" s="1" t="s">
        <v>12</v>
      </c>
      <c r="I1458" s="1" t="s">
        <v>3</v>
      </c>
      <c r="J1458" s="1">
        <v>3</v>
      </c>
      <c r="K1458" s="1" t="s">
        <v>4</v>
      </c>
      <c r="L1458" s="1" t="s">
        <v>18</v>
      </c>
      <c r="M1458" s="1">
        <f>[1]!orders[[#This Row],[Ship Date]]-[1]!orders[[#This Row],[Order Date]]</f>
        <v>1</v>
      </c>
      <c r="N1458" s="1">
        <f>WEEKNUM([1]!orders[[#This Row],[Order Date]])</f>
        <v>9</v>
      </c>
      <c r="O1458" t="str" cm="1">
        <f t="array" ref="O1458">_xlfn.IFS([1]!orders[[#This Row],[Customer Gender]]="M","Male", [1]!orders[[#This Row],[Customer Gender]]="F","Female", [1]!orders[[#This Row],[Customer Gender]]="O","Other", TRUE,"Unknown")</f>
        <v>Female</v>
      </c>
    </row>
    <row r="1459" spans="1:15" x14ac:dyDescent="0.25">
      <c r="A1459" t="s">
        <v>1543</v>
      </c>
      <c r="B1459" t="s">
        <v>24</v>
      </c>
      <c r="C1459">
        <v>2</v>
      </c>
      <c r="D1459">
        <v>64.599999999999994</v>
      </c>
      <c r="E1459">
        <v>129.19999999999999</v>
      </c>
      <c r="F1459" s="3">
        <v>45712</v>
      </c>
      <c r="G1459" s="3">
        <v>45713</v>
      </c>
      <c r="H1459" t="s">
        <v>8</v>
      </c>
      <c r="I1459" t="s">
        <v>3</v>
      </c>
      <c r="J1459">
        <v>3</v>
      </c>
      <c r="K1459" t="s">
        <v>4</v>
      </c>
      <c r="L1459" t="s">
        <v>18</v>
      </c>
      <c r="M1459">
        <f>[1]!orders[[#This Row],[Ship Date]]-[1]!orders[[#This Row],[Order Date]]</f>
        <v>1</v>
      </c>
      <c r="N1459">
        <f>WEEKNUM([1]!orders[[#This Row],[Order Date]])</f>
        <v>9</v>
      </c>
      <c r="O1459" t="str" cm="1">
        <f t="array" ref="O1459">_xlfn.IFS([1]!orders[[#This Row],[Customer Gender]]="M","Male", [1]!orders[[#This Row],[Customer Gender]]="F","Female", [1]!orders[[#This Row],[Customer Gender]]="O","Other", TRUE,"Unknown")</f>
        <v>Male</v>
      </c>
    </row>
    <row r="1460" spans="1:15" x14ac:dyDescent="0.25">
      <c r="A1460" s="1" t="s">
        <v>1544</v>
      </c>
      <c r="B1460" s="1" t="s">
        <v>24</v>
      </c>
      <c r="C1460" s="1">
        <v>16</v>
      </c>
      <c r="D1460" s="1">
        <v>91.1</v>
      </c>
      <c r="E1460" s="1">
        <v>1457.6</v>
      </c>
      <c r="F1460" s="2">
        <v>45712</v>
      </c>
      <c r="G1460" s="2">
        <v>45713</v>
      </c>
      <c r="H1460" s="1" t="s">
        <v>12</v>
      </c>
      <c r="I1460" s="1" t="s">
        <v>20</v>
      </c>
      <c r="J1460" s="1">
        <v>5</v>
      </c>
      <c r="K1460" s="1" t="s">
        <v>4</v>
      </c>
      <c r="L1460" s="1" t="s">
        <v>18</v>
      </c>
      <c r="M1460" s="1">
        <f>[1]!orders[[#This Row],[Ship Date]]-[1]!orders[[#This Row],[Order Date]]</f>
        <v>1</v>
      </c>
      <c r="N1460" s="1">
        <f>WEEKNUM([1]!orders[[#This Row],[Order Date]])</f>
        <v>9</v>
      </c>
      <c r="O1460" t="str" cm="1">
        <f t="array" ref="O1460">_xlfn.IFS([1]!orders[[#This Row],[Customer Gender]]="M","Male", [1]!orders[[#This Row],[Customer Gender]]="F","Female", [1]!orders[[#This Row],[Customer Gender]]="O","Other", TRUE,"Unknown")</f>
        <v>Female</v>
      </c>
    </row>
    <row r="1461" spans="1:15" x14ac:dyDescent="0.25">
      <c r="A1461" t="s">
        <v>1545</v>
      </c>
      <c r="B1461" t="s">
        <v>7</v>
      </c>
      <c r="C1461">
        <v>1</v>
      </c>
      <c r="D1461">
        <v>39.5</v>
      </c>
      <c r="E1461">
        <v>39.5</v>
      </c>
      <c r="F1461" s="3">
        <v>45712</v>
      </c>
      <c r="G1461" s="3">
        <v>45720</v>
      </c>
      <c r="H1461" t="s">
        <v>12</v>
      </c>
      <c r="I1461" t="s">
        <v>3</v>
      </c>
      <c r="J1461">
        <v>4</v>
      </c>
      <c r="K1461" t="s">
        <v>4</v>
      </c>
      <c r="L1461" t="s">
        <v>18</v>
      </c>
      <c r="M1461">
        <f>[1]!orders[[#This Row],[Ship Date]]-[1]!orders[[#This Row],[Order Date]]</f>
        <v>8</v>
      </c>
      <c r="N1461">
        <f>WEEKNUM([1]!orders[[#This Row],[Order Date]])</f>
        <v>9</v>
      </c>
      <c r="O1461" t="str" cm="1">
        <f t="array" ref="O1461">_xlfn.IFS([1]!orders[[#This Row],[Customer Gender]]="M","Male", [1]!orders[[#This Row],[Customer Gender]]="F","Female", [1]!orders[[#This Row],[Customer Gender]]="O","Other", TRUE,"Unknown")</f>
        <v>Female</v>
      </c>
    </row>
    <row r="1462" spans="1:15" x14ac:dyDescent="0.25">
      <c r="A1462" s="1" t="s">
        <v>1546</v>
      </c>
      <c r="B1462" s="1" t="s">
        <v>31</v>
      </c>
      <c r="C1462" s="1">
        <v>2</v>
      </c>
      <c r="D1462" s="1">
        <v>21.8</v>
      </c>
      <c r="E1462" s="1">
        <v>43.6</v>
      </c>
      <c r="F1462" s="2">
        <v>45712</v>
      </c>
      <c r="G1462" s="2">
        <v>45716</v>
      </c>
      <c r="H1462" s="1" t="s">
        <v>8</v>
      </c>
      <c r="I1462" s="1" t="s">
        <v>55</v>
      </c>
      <c r="J1462" s="1">
        <v>5</v>
      </c>
      <c r="K1462" s="1" t="s">
        <v>4</v>
      </c>
      <c r="L1462" s="1" t="s">
        <v>18</v>
      </c>
      <c r="M1462" s="1">
        <f>[1]!orders[[#This Row],[Ship Date]]-[1]!orders[[#This Row],[Order Date]]</f>
        <v>4</v>
      </c>
      <c r="N1462" s="1">
        <f>WEEKNUM([1]!orders[[#This Row],[Order Date]])</f>
        <v>9</v>
      </c>
      <c r="O1462" t="str" cm="1">
        <f t="array" ref="O1462">_xlfn.IFS([1]!orders[[#This Row],[Customer Gender]]="M","Male", [1]!orders[[#This Row],[Customer Gender]]="F","Female", [1]!orders[[#This Row],[Customer Gender]]="O","Other", TRUE,"Unknown")</f>
        <v>Male</v>
      </c>
    </row>
    <row r="1463" spans="1:15" x14ac:dyDescent="0.25">
      <c r="A1463" t="s">
        <v>1547</v>
      </c>
      <c r="B1463" t="s">
        <v>29</v>
      </c>
      <c r="C1463">
        <v>2</v>
      </c>
      <c r="D1463">
        <v>51</v>
      </c>
      <c r="E1463">
        <v>102</v>
      </c>
      <c r="F1463" s="3">
        <v>45712</v>
      </c>
      <c r="G1463" s="3">
        <v>45715</v>
      </c>
      <c r="H1463" t="s">
        <v>8</v>
      </c>
      <c r="I1463" t="s">
        <v>36</v>
      </c>
      <c r="J1463">
        <v>5</v>
      </c>
      <c r="K1463" t="s">
        <v>4</v>
      </c>
      <c r="L1463" t="s">
        <v>18</v>
      </c>
      <c r="M1463">
        <f>[1]!orders[[#This Row],[Ship Date]]-[1]!orders[[#This Row],[Order Date]]</f>
        <v>3</v>
      </c>
      <c r="N1463">
        <f>WEEKNUM([1]!orders[[#This Row],[Order Date]])</f>
        <v>9</v>
      </c>
      <c r="O1463" t="str" cm="1">
        <f t="array" ref="O1463">_xlfn.IFS([1]!orders[[#This Row],[Customer Gender]]="M","Male", [1]!orders[[#This Row],[Customer Gender]]="F","Female", [1]!orders[[#This Row],[Customer Gender]]="O","Other", TRUE,"Unknown")</f>
        <v>Male</v>
      </c>
    </row>
    <row r="1464" spans="1:15" x14ac:dyDescent="0.25">
      <c r="A1464" s="1" t="s">
        <v>1548</v>
      </c>
      <c r="B1464" s="1" t="s">
        <v>11</v>
      </c>
      <c r="C1464" s="1">
        <v>1</v>
      </c>
      <c r="D1464" s="1">
        <v>92.6</v>
      </c>
      <c r="E1464" s="1">
        <v>92.6</v>
      </c>
      <c r="F1464" s="2">
        <v>45712</v>
      </c>
      <c r="G1464" s="2">
        <v>45715</v>
      </c>
      <c r="H1464" s="1" t="s">
        <v>12</v>
      </c>
      <c r="I1464" s="1" t="s">
        <v>3</v>
      </c>
      <c r="J1464" s="1">
        <v>5</v>
      </c>
      <c r="K1464" s="1" t="s">
        <v>4</v>
      </c>
      <c r="L1464" s="1" t="s">
        <v>323</v>
      </c>
      <c r="M1464" s="1">
        <f>[1]!orders[[#This Row],[Ship Date]]-[1]!orders[[#This Row],[Order Date]]</f>
        <v>3</v>
      </c>
      <c r="N1464" s="1">
        <f>WEEKNUM([1]!orders[[#This Row],[Order Date]])</f>
        <v>9</v>
      </c>
      <c r="O1464" t="str" cm="1">
        <f t="array" ref="O1464">_xlfn.IFS([1]!orders[[#This Row],[Customer Gender]]="M","Male", [1]!orders[[#This Row],[Customer Gender]]="F","Female", [1]!orders[[#This Row],[Customer Gender]]="O","Other", TRUE,"Unknown")</f>
        <v>Female</v>
      </c>
    </row>
    <row r="1465" spans="1:15" x14ac:dyDescent="0.25">
      <c r="A1465" t="s">
        <v>1549</v>
      </c>
      <c r="B1465" t="s">
        <v>31</v>
      </c>
      <c r="C1465">
        <v>2</v>
      </c>
      <c r="D1465">
        <v>31.1</v>
      </c>
      <c r="E1465">
        <v>62.2</v>
      </c>
      <c r="F1465" s="3">
        <v>45712</v>
      </c>
      <c r="G1465" s="3">
        <v>45717</v>
      </c>
      <c r="H1465" t="s">
        <v>2</v>
      </c>
      <c r="I1465" t="s">
        <v>20</v>
      </c>
      <c r="J1465">
        <v>1</v>
      </c>
      <c r="K1465" t="s">
        <v>4</v>
      </c>
      <c r="L1465" t="s">
        <v>143</v>
      </c>
      <c r="M1465">
        <f>[1]!orders[[#This Row],[Ship Date]]-[1]!orders[[#This Row],[Order Date]]</f>
        <v>5</v>
      </c>
      <c r="N1465">
        <f>WEEKNUM([1]!orders[[#This Row],[Order Date]])</f>
        <v>9</v>
      </c>
      <c r="O1465" t="str" cm="1">
        <f t="array" ref="O1465">_xlfn.IFS([1]!orders[[#This Row],[Customer Gender]]="M","Male", [1]!orders[[#This Row],[Customer Gender]]="F","Female", [1]!orders[[#This Row],[Customer Gender]]="O","Other", TRUE,"Unknown")</f>
        <v>Unknown</v>
      </c>
    </row>
    <row r="1466" spans="1:15" x14ac:dyDescent="0.25">
      <c r="A1466" s="1" t="s">
        <v>1550</v>
      </c>
      <c r="B1466" s="1" t="s">
        <v>22</v>
      </c>
      <c r="C1466" s="1">
        <v>3</v>
      </c>
      <c r="D1466" s="1">
        <v>56.4</v>
      </c>
      <c r="E1466" s="1">
        <v>169.2</v>
      </c>
      <c r="F1466" s="2">
        <v>45712</v>
      </c>
      <c r="G1466" s="2">
        <v>45713</v>
      </c>
      <c r="H1466" s="1" t="s">
        <v>2</v>
      </c>
      <c r="I1466" s="1" t="s">
        <v>20</v>
      </c>
      <c r="J1466" s="1">
        <v>4</v>
      </c>
      <c r="K1466" s="1" t="s">
        <v>4</v>
      </c>
      <c r="L1466" s="1" t="s">
        <v>40</v>
      </c>
      <c r="M1466" s="1">
        <f>[1]!orders[[#This Row],[Ship Date]]-[1]!orders[[#This Row],[Order Date]]</f>
        <v>1</v>
      </c>
      <c r="N1466" s="1">
        <f>WEEKNUM([1]!orders[[#This Row],[Order Date]])</f>
        <v>9</v>
      </c>
      <c r="O1466" t="str" cm="1">
        <f t="array" ref="O1466">_xlfn.IFS([1]!orders[[#This Row],[Customer Gender]]="M","Male", [1]!orders[[#This Row],[Customer Gender]]="F","Female", [1]!orders[[#This Row],[Customer Gender]]="O","Other", TRUE,"Unknown")</f>
        <v>Unknown</v>
      </c>
    </row>
    <row r="1467" spans="1:15" x14ac:dyDescent="0.25">
      <c r="A1467" t="s">
        <v>1551</v>
      </c>
      <c r="B1467" t="s">
        <v>31</v>
      </c>
      <c r="C1467">
        <v>1</v>
      </c>
      <c r="D1467">
        <v>41.9</v>
      </c>
      <c r="E1467">
        <v>41.9</v>
      </c>
      <c r="F1467" s="3">
        <v>45712</v>
      </c>
      <c r="G1467" s="3">
        <v>45712</v>
      </c>
      <c r="H1467" t="s">
        <v>8</v>
      </c>
      <c r="I1467" t="s">
        <v>20</v>
      </c>
      <c r="J1467">
        <v>4</v>
      </c>
      <c r="K1467" t="s">
        <v>4</v>
      </c>
      <c r="L1467" t="s">
        <v>40</v>
      </c>
      <c r="M1467">
        <f>[1]!orders[[#This Row],[Ship Date]]-[1]!orders[[#This Row],[Order Date]]</f>
        <v>0</v>
      </c>
      <c r="N1467">
        <f>WEEKNUM([1]!orders[[#This Row],[Order Date]])</f>
        <v>9</v>
      </c>
      <c r="O1467" t="str" cm="1">
        <f t="array" ref="O1467">_xlfn.IFS([1]!orders[[#This Row],[Customer Gender]]="M","Male", [1]!orders[[#This Row],[Customer Gender]]="F","Female", [1]!orders[[#This Row],[Customer Gender]]="O","Other", TRUE,"Unknown")</f>
        <v>Male</v>
      </c>
    </row>
    <row r="1468" spans="1:15" x14ac:dyDescent="0.25">
      <c r="A1468" s="1" t="s">
        <v>1552</v>
      </c>
      <c r="B1468" s="1" t="s">
        <v>39</v>
      </c>
      <c r="C1468" s="1">
        <v>7</v>
      </c>
      <c r="D1468" s="1">
        <v>45.9</v>
      </c>
      <c r="E1468" s="1">
        <v>321.3</v>
      </c>
      <c r="F1468" s="2">
        <v>45712</v>
      </c>
      <c r="G1468" s="2">
        <v>45713</v>
      </c>
      <c r="H1468" s="1" t="s">
        <v>8</v>
      </c>
      <c r="I1468" s="1" t="s">
        <v>36</v>
      </c>
      <c r="J1468" s="1">
        <v>5</v>
      </c>
      <c r="K1468" s="1" t="s">
        <v>4</v>
      </c>
      <c r="L1468" s="1" t="s">
        <v>47</v>
      </c>
      <c r="M1468" s="1">
        <f>[1]!orders[[#This Row],[Ship Date]]-[1]!orders[[#This Row],[Order Date]]</f>
        <v>1</v>
      </c>
      <c r="N1468" s="1">
        <f>WEEKNUM([1]!orders[[#This Row],[Order Date]])</f>
        <v>9</v>
      </c>
      <c r="O1468" t="str" cm="1">
        <f t="array" ref="O1468">_xlfn.IFS([1]!orders[[#This Row],[Customer Gender]]="M","Male", [1]!orders[[#This Row],[Customer Gender]]="F","Female", [1]!orders[[#This Row],[Customer Gender]]="O","Other", TRUE,"Unknown")</f>
        <v>Male</v>
      </c>
    </row>
    <row r="1469" spans="1:15" x14ac:dyDescent="0.25">
      <c r="A1469" t="s">
        <v>1553</v>
      </c>
      <c r="B1469" t="s">
        <v>66</v>
      </c>
      <c r="C1469">
        <v>9</v>
      </c>
      <c r="D1469">
        <v>24.4</v>
      </c>
      <c r="E1469">
        <v>219.6</v>
      </c>
      <c r="F1469" s="3">
        <v>45712</v>
      </c>
      <c r="G1469" s="3">
        <v>45716</v>
      </c>
      <c r="H1469" t="s">
        <v>8</v>
      </c>
      <c r="I1469" t="s">
        <v>36</v>
      </c>
      <c r="J1469">
        <v>5</v>
      </c>
      <c r="K1469" t="s">
        <v>4</v>
      </c>
      <c r="L1469" t="s">
        <v>47</v>
      </c>
      <c r="M1469">
        <f>[1]!orders[[#This Row],[Ship Date]]-[1]!orders[[#This Row],[Order Date]]</f>
        <v>4</v>
      </c>
      <c r="N1469">
        <f>WEEKNUM([1]!orders[[#This Row],[Order Date]])</f>
        <v>9</v>
      </c>
      <c r="O1469" t="str" cm="1">
        <f t="array" ref="O1469">_xlfn.IFS([1]!orders[[#This Row],[Customer Gender]]="M","Male", [1]!orders[[#This Row],[Customer Gender]]="F","Female", [1]!orders[[#This Row],[Customer Gender]]="O","Other", TRUE,"Unknown")</f>
        <v>Male</v>
      </c>
    </row>
    <row r="1470" spans="1:15" x14ac:dyDescent="0.25">
      <c r="A1470" s="1" t="s">
        <v>1554</v>
      </c>
      <c r="B1470" s="1" t="s">
        <v>29</v>
      </c>
      <c r="C1470" s="1">
        <v>1</v>
      </c>
      <c r="D1470" s="1">
        <v>18.2</v>
      </c>
      <c r="E1470" s="1">
        <v>18.2</v>
      </c>
      <c r="F1470" s="2">
        <v>45712</v>
      </c>
      <c r="G1470" s="2">
        <v>45713</v>
      </c>
      <c r="H1470" s="1" t="s">
        <v>12</v>
      </c>
      <c r="I1470" s="1" t="s">
        <v>25</v>
      </c>
      <c r="J1470" s="1">
        <v>5</v>
      </c>
      <c r="K1470" s="1" t="s">
        <v>4</v>
      </c>
      <c r="L1470" s="1" t="s">
        <v>47</v>
      </c>
      <c r="M1470" s="1">
        <f>[1]!orders[[#This Row],[Ship Date]]-[1]!orders[[#This Row],[Order Date]]</f>
        <v>1</v>
      </c>
      <c r="N1470" s="1">
        <f>WEEKNUM([1]!orders[[#This Row],[Order Date]])</f>
        <v>9</v>
      </c>
      <c r="O1470" t="str" cm="1">
        <f t="array" ref="O1470">_xlfn.IFS([1]!orders[[#This Row],[Customer Gender]]="M","Male", [1]!orders[[#This Row],[Customer Gender]]="F","Female", [1]!orders[[#This Row],[Customer Gender]]="O","Other", TRUE,"Unknown")</f>
        <v>Female</v>
      </c>
    </row>
    <row r="1471" spans="1:15" x14ac:dyDescent="0.25">
      <c r="A1471" t="s">
        <v>1555</v>
      </c>
      <c r="B1471" t="s">
        <v>29</v>
      </c>
      <c r="C1471">
        <v>4</v>
      </c>
      <c r="D1471">
        <v>51.2</v>
      </c>
      <c r="E1471">
        <v>204.8</v>
      </c>
      <c r="F1471" s="3">
        <v>45712</v>
      </c>
      <c r="G1471" s="3">
        <v>45713</v>
      </c>
      <c r="H1471" t="s">
        <v>12</v>
      </c>
      <c r="I1471" t="s">
        <v>3</v>
      </c>
      <c r="J1471">
        <v>4</v>
      </c>
      <c r="K1471" t="s">
        <v>4</v>
      </c>
      <c r="L1471" t="s">
        <v>47</v>
      </c>
      <c r="M1471">
        <f>[1]!orders[[#This Row],[Ship Date]]-[1]!orders[[#This Row],[Order Date]]</f>
        <v>1</v>
      </c>
      <c r="N1471">
        <f>WEEKNUM([1]!orders[[#This Row],[Order Date]])</f>
        <v>9</v>
      </c>
      <c r="O1471" t="str" cm="1">
        <f t="array" ref="O1471">_xlfn.IFS([1]!orders[[#This Row],[Customer Gender]]="M","Male", [1]!orders[[#This Row],[Customer Gender]]="F","Female", [1]!orders[[#This Row],[Customer Gender]]="O","Other", TRUE,"Unknown")</f>
        <v>Female</v>
      </c>
    </row>
    <row r="1472" spans="1:15" x14ac:dyDescent="0.25">
      <c r="A1472" s="1" t="s">
        <v>1556</v>
      </c>
      <c r="B1472" s="1" t="s">
        <v>24</v>
      </c>
      <c r="C1472" s="1">
        <v>1</v>
      </c>
      <c r="D1472" s="1">
        <v>59.7</v>
      </c>
      <c r="E1472" s="1">
        <v>59.7</v>
      </c>
      <c r="F1472" s="2">
        <v>45712</v>
      </c>
      <c r="G1472" s="2">
        <v>45715</v>
      </c>
      <c r="H1472" s="1" t="s">
        <v>8</v>
      </c>
      <c r="I1472" s="1" t="s">
        <v>3</v>
      </c>
      <c r="J1472" s="1">
        <v>5</v>
      </c>
      <c r="K1472" s="1" t="s">
        <v>4</v>
      </c>
      <c r="L1472" s="1" t="s">
        <v>47</v>
      </c>
      <c r="M1472" s="1">
        <f>[1]!orders[[#This Row],[Ship Date]]-[1]!orders[[#This Row],[Order Date]]</f>
        <v>3</v>
      </c>
      <c r="N1472" s="1">
        <f>WEEKNUM([1]!orders[[#This Row],[Order Date]])</f>
        <v>9</v>
      </c>
      <c r="O1472" t="str" cm="1">
        <f t="array" ref="O1472">_xlfn.IFS([1]!orders[[#This Row],[Customer Gender]]="M","Male", [1]!orders[[#This Row],[Customer Gender]]="F","Female", [1]!orders[[#This Row],[Customer Gender]]="O","Other", TRUE,"Unknown")</f>
        <v>Male</v>
      </c>
    </row>
    <row r="1473" spans="1:15" x14ac:dyDescent="0.25">
      <c r="A1473" t="s">
        <v>1557</v>
      </c>
      <c r="B1473" t="s">
        <v>17</v>
      </c>
      <c r="C1473">
        <v>2</v>
      </c>
      <c r="D1473">
        <v>33.6</v>
      </c>
      <c r="E1473">
        <v>67.2</v>
      </c>
      <c r="F1473" s="3">
        <v>45712</v>
      </c>
      <c r="G1473" s="3">
        <v>45714</v>
      </c>
      <c r="H1473" t="s">
        <v>12</v>
      </c>
      <c r="I1473" t="s">
        <v>3</v>
      </c>
      <c r="J1473">
        <v>4</v>
      </c>
      <c r="K1473" t="s">
        <v>4</v>
      </c>
      <c r="L1473" t="s">
        <v>88</v>
      </c>
      <c r="M1473">
        <f>[1]!orders[[#This Row],[Ship Date]]-[1]!orders[[#This Row],[Order Date]]</f>
        <v>2</v>
      </c>
      <c r="N1473">
        <f>WEEKNUM([1]!orders[[#This Row],[Order Date]])</f>
        <v>9</v>
      </c>
      <c r="O1473" t="str" cm="1">
        <f t="array" ref="O1473">_xlfn.IFS([1]!orders[[#This Row],[Customer Gender]]="M","Male", [1]!orders[[#This Row],[Customer Gender]]="F","Female", [1]!orders[[#This Row],[Customer Gender]]="O","Other", TRUE,"Unknown")</f>
        <v>Female</v>
      </c>
    </row>
    <row r="1474" spans="1:15" x14ac:dyDescent="0.25">
      <c r="A1474" s="1" t="s">
        <v>1558</v>
      </c>
      <c r="B1474" s="1" t="s">
        <v>54</v>
      </c>
      <c r="C1474" s="1">
        <v>1</v>
      </c>
      <c r="D1474" s="1">
        <v>90.4</v>
      </c>
      <c r="E1474" s="1">
        <v>90.4</v>
      </c>
      <c r="F1474" s="2">
        <v>45712</v>
      </c>
      <c r="G1474" s="2">
        <v>45716</v>
      </c>
      <c r="H1474" s="1" t="s">
        <v>8</v>
      </c>
      <c r="I1474" s="1" t="s">
        <v>20</v>
      </c>
      <c r="J1474" s="1">
        <v>5</v>
      </c>
      <c r="K1474" s="1" t="s">
        <v>4</v>
      </c>
      <c r="L1474" s="1" t="s">
        <v>59</v>
      </c>
      <c r="M1474" s="1">
        <f>[1]!orders[[#This Row],[Ship Date]]-[1]!orders[[#This Row],[Order Date]]</f>
        <v>4</v>
      </c>
      <c r="N1474" s="1">
        <f>WEEKNUM([1]!orders[[#This Row],[Order Date]])</f>
        <v>9</v>
      </c>
      <c r="O1474" t="str" cm="1">
        <f t="array" ref="O1474">_xlfn.IFS([1]!orders[[#This Row],[Customer Gender]]="M","Male", [1]!orders[[#This Row],[Customer Gender]]="F","Female", [1]!orders[[#This Row],[Customer Gender]]="O","Other", TRUE,"Unknown")</f>
        <v>Male</v>
      </c>
    </row>
    <row r="1475" spans="1:15" x14ac:dyDescent="0.25">
      <c r="A1475" t="s">
        <v>1559</v>
      </c>
      <c r="B1475" t="s">
        <v>52</v>
      </c>
      <c r="C1475">
        <v>3</v>
      </c>
      <c r="D1475">
        <v>70.3</v>
      </c>
      <c r="E1475">
        <v>210.89999999999998</v>
      </c>
      <c r="F1475" s="3">
        <v>45712</v>
      </c>
      <c r="G1475" s="3">
        <v>45712</v>
      </c>
      <c r="H1475" t="s">
        <v>8</v>
      </c>
      <c r="I1475" t="s">
        <v>20</v>
      </c>
      <c r="J1475">
        <v>5</v>
      </c>
      <c r="K1475" t="s">
        <v>4</v>
      </c>
      <c r="L1475" t="s">
        <v>62</v>
      </c>
      <c r="M1475">
        <f>[1]!orders[[#This Row],[Ship Date]]-[1]!orders[[#This Row],[Order Date]]</f>
        <v>0</v>
      </c>
      <c r="N1475">
        <f>WEEKNUM([1]!orders[[#This Row],[Order Date]])</f>
        <v>9</v>
      </c>
      <c r="O1475" t="str" cm="1">
        <f t="array" ref="O1475">_xlfn.IFS([1]!orders[[#This Row],[Customer Gender]]="M","Male", [1]!orders[[#This Row],[Customer Gender]]="F","Female", [1]!orders[[#This Row],[Customer Gender]]="O","Other", TRUE,"Unknown")</f>
        <v>Male</v>
      </c>
    </row>
    <row r="1476" spans="1:15" x14ac:dyDescent="0.25">
      <c r="A1476" s="1" t="s">
        <v>1560</v>
      </c>
      <c r="B1476" s="1" t="s">
        <v>17</v>
      </c>
      <c r="C1476" s="1">
        <v>2</v>
      </c>
      <c r="D1476" s="1">
        <v>20.5</v>
      </c>
      <c r="E1476" s="1">
        <v>41</v>
      </c>
      <c r="F1476" s="2">
        <v>45712</v>
      </c>
      <c r="G1476" s="2">
        <v>45715</v>
      </c>
      <c r="H1476" s="1" t="s">
        <v>12</v>
      </c>
      <c r="I1476" s="1" t="s">
        <v>3</v>
      </c>
      <c r="J1476" s="1">
        <v>3</v>
      </c>
      <c r="K1476" s="1" t="s">
        <v>4</v>
      </c>
      <c r="L1476" s="1" t="s">
        <v>62</v>
      </c>
      <c r="M1476" s="1">
        <f>[1]!orders[[#This Row],[Ship Date]]-[1]!orders[[#This Row],[Order Date]]</f>
        <v>3</v>
      </c>
      <c r="N1476" s="1">
        <f>WEEKNUM([1]!orders[[#This Row],[Order Date]])</f>
        <v>9</v>
      </c>
      <c r="O1476" t="str" cm="1">
        <f t="array" ref="O1476">_xlfn.IFS([1]!orders[[#This Row],[Customer Gender]]="M","Male", [1]!orders[[#This Row],[Customer Gender]]="F","Female", [1]!orders[[#This Row],[Customer Gender]]="O","Other", TRUE,"Unknown")</f>
        <v>Female</v>
      </c>
    </row>
    <row r="1477" spans="1:15" x14ac:dyDescent="0.25">
      <c r="A1477" t="s">
        <v>1561</v>
      </c>
      <c r="B1477" t="s">
        <v>22</v>
      </c>
      <c r="C1477">
        <v>11</v>
      </c>
      <c r="D1477">
        <v>37.6</v>
      </c>
      <c r="E1477">
        <v>413.6</v>
      </c>
      <c r="F1477" s="3">
        <v>45712</v>
      </c>
      <c r="G1477" s="3">
        <v>45713</v>
      </c>
      <c r="H1477" t="s">
        <v>8</v>
      </c>
      <c r="I1477" t="s">
        <v>3</v>
      </c>
      <c r="J1477">
        <v>4</v>
      </c>
      <c r="K1477" t="s">
        <v>4</v>
      </c>
      <c r="L1477" t="s">
        <v>362</v>
      </c>
      <c r="M1477">
        <f>[1]!orders[[#This Row],[Ship Date]]-[1]!orders[[#This Row],[Order Date]]</f>
        <v>1</v>
      </c>
      <c r="N1477">
        <f>WEEKNUM([1]!orders[[#This Row],[Order Date]])</f>
        <v>9</v>
      </c>
      <c r="O1477" t="str" cm="1">
        <f t="array" ref="O1477">_xlfn.IFS([1]!orders[[#This Row],[Customer Gender]]="M","Male", [1]!orders[[#This Row],[Customer Gender]]="F","Female", [1]!orders[[#This Row],[Customer Gender]]="O","Other", TRUE,"Unknown")</f>
        <v>Male</v>
      </c>
    </row>
    <row r="1478" spans="1:15" x14ac:dyDescent="0.25">
      <c r="A1478" s="1" t="s">
        <v>1562</v>
      </c>
      <c r="B1478" s="1" t="s">
        <v>22</v>
      </c>
      <c r="C1478" s="1">
        <v>4</v>
      </c>
      <c r="D1478" s="1">
        <v>61.5</v>
      </c>
      <c r="E1478" s="1">
        <v>246</v>
      </c>
      <c r="F1478" s="2">
        <v>45712</v>
      </c>
      <c r="G1478" s="2">
        <v>45719</v>
      </c>
      <c r="H1478" s="1" t="s">
        <v>12</v>
      </c>
      <c r="I1478" s="1" t="s">
        <v>20</v>
      </c>
      <c r="J1478" s="1">
        <v>2</v>
      </c>
      <c r="K1478" s="1" t="s">
        <v>4</v>
      </c>
      <c r="L1478" s="1" t="s">
        <v>67</v>
      </c>
      <c r="M1478" s="1">
        <f>[1]!orders[[#This Row],[Ship Date]]-[1]!orders[[#This Row],[Order Date]]</f>
        <v>7</v>
      </c>
      <c r="N1478" s="1">
        <f>WEEKNUM([1]!orders[[#This Row],[Order Date]])</f>
        <v>9</v>
      </c>
      <c r="O1478" t="str" cm="1">
        <f t="array" ref="O1478">_xlfn.IFS([1]!orders[[#This Row],[Customer Gender]]="M","Male", [1]!orders[[#This Row],[Customer Gender]]="F","Female", [1]!orders[[#This Row],[Customer Gender]]="O","Other", TRUE,"Unknown")</f>
        <v>Female</v>
      </c>
    </row>
    <row r="1479" spans="1:15" x14ac:dyDescent="0.25">
      <c r="A1479" t="s">
        <v>1563</v>
      </c>
      <c r="B1479" t="s">
        <v>31</v>
      </c>
      <c r="C1479">
        <v>1</v>
      </c>
      <c r="D1479">
        <v>33.5</v>
      </c>
      <c r="E1479">
        <v>33.5</v>
      </c>
      <c r="F1479" s="3">
        <v>45713</v>
      </c>
      <c r="G1479" s="3">
        <v>45717</v>
      </c>
      <c r="H1479" t="s">
        <v>8</v>
      </c>
      <c r="I1479" t="s">
        <v>55</v>
      </c>
      <c r="J1479">
        <v>3</v>
      </c>
      <c r="K1479" t="s">
        <v>4</v>
      </c>
      <c r="L1479" t="s">
        <v>100</v>
      </c>
      <c r="M1479">
        <f>[1]!orders[[#This Row],[Ship Date]]-[1]!orders[[#This Row],[Order Date]]</f>
        <v>4</v>
      </c>
      <c r="N1479">
        <f>WEEKNUM([1]!orders[[#This Row],[Order Date]])</f>
        <v>9</v>
      </c>
      <c r="O1479" t="str" cm="1">
        <f t="array" ref="O1479">_xlfn.IFS([1]!orders[[#This Row],[Customer Gender]]="M","Male", [1]!orders[[#This Row],[Customer Gender]]="F","Female", [1]!orders[[#This Row],[Customer Gender]]="O","Other", TRUE,"Unknown")</f>
        <v>Male</v>
      </c>
    </row>
    <row r="1480" spans="1:15" x14ac:dyDescent="0.25">
      <c r="A1480" s="1" t="s">
        <v>1564</v>
      </c>
      <c r="B1480" s="1" t="s">
        <v>17</v>
      </c>
      <c r="C1480" s="1">
        <v>3</v>
      </c>
      <c r="D1480" s="1">
        <v>29.3</v>
      </c>
      <c r="E1480" s="1">
        <v>87.9</v>
      </c>
      <c r="F1480" s="2">
        <v>45713</v>
      </c>
      <c r="G1480" s="2">
        <v>45715</v>
      </c>
      <c r="H1480" s="1" t="s">
        <v>12</v>
      </c>
      <c r="I1480" s="1" t="s">
        <v>20</v>
      </c>
      <c r="J1480" s="1">
        <v>5</v>
      </c>
      <c r="K1480" s="1" t="s">
        <v>4</v>
      </c>
      <c r="L1480" s="1" t="s">
        <v>9</v>
      </c>
      <c r="M1480" s="1">
        <f>[1]!orders[[#This Row],[Ship Date]]-[1]!orders[[#This Row],[Order Date]]</f>
        <v>2</v>
      </c>
      <c r="N1480" s="1">
        <f>WEEKNUM([1]!orders[[#This Row],[Order Date]])</f>
        <v>9</v>
      </c>
      <c r="O1480" t="str" cm="1">
        <f t="array" ref="O1480">_xlfn.IFS([1]!orders[[#This Row],[Customer Gender]]="M","Male", [1]!orders[[#This Row],[Customer Gender]]="F","Female", [1]!orders[[#This Row],[Customer Gender]]="O","Other", TRUE,"Unknown")</f>
        <v>Female</v>
      </c>
    </row>
    <row r="1481" spans="1:15" x14ac:dyDescent="0.25">
      <c r="A1481" t="s">
        <v>1565</v>
      </c>
      <c r="B1481" t="s">
        <v>11</v>
      </c>
      <c r="C1481">
        <v>2</v>
      </c>
      <c r="D1481">
        <v>125.9</v>
      </c>
      <c r="E1481">
        <v>251.8</v>
      </c>
      <c r="F1481" s="3">
        <v>45713</v>
      </c>
      <c r="G1481" s="3">
        <v>45718</v>
      </c>
      <c r="H1481" t="s">
        <v>12</v>
      </c>
      <c r="I1481" t="s">
        <v>55</v>
      </c>
      <c r="J1481">
        <v>3</v>
      </c>
      <c r="K1481" t="s">
        <v>4</v>
      </c>
      <c r="L1481" t="s">
        <v>9</v>
      </c>
      <c r="M1481">
        <f>[1]!orders[[#This Row],[Ship Date]]-[1]!orders[[#This Row],[Order Date]]</f>
        <v>5</v>
      </c>
      <c r="N1481">
        <f>WEEKNUM([1]!orders[[#This Row],[Order Date]])</f>
        <v>9</v>
      </c>
      <c r="O1481" t="str" cm="1">
        <f t="array" ref="O1481">_xlfn.IFS([1]!orders[[#This Row],[Customer Gender]]="M","Male", [1]!orders[[#This Row],[Customer Gender]]="F","Female", [1]!orders[[#This Row],[Customer Gender]]="O","Other", TRUE,"Unknown")</f>
        <v>Female</v>
      </c>
    </row>
    <row r="1482" spans="1:15" x14ac:dyDescent="0.25">
      <c r="A1482" s="1" t="s">
        <v>1566</v>
      </c>
      <c r="B1482" s="1" t="s">
        <v>22</v>
      </c>
      <c r="C1482" s="1">
        <v>5</v>
      </c>
      <c r="D1482" s="1">
        <v>29.3</v>
      </c>
      <c r="E1482" s="1">
        <v>146.5</v>
      </c>
      <c r="F1482" s="2">
        <v>45713</v>
      </c>
      <c r="G1482" s="2">
        <v>45713</v>
      </c>
      <c r="H1482" s="1" t="s">
        <v>8</v>
      </c>
      <c r="I1482" s="1" t="s">
        <v>25</v>
      </c>
      <c r="J1482" s="1">
        <v>4</v>
      </c>
      <c r="K1482" s="1" t="s">
        <v>4</v>
      </c>
      <c r="L1482" s="1" t="s">
        <v>572</v>
      </c>
      <c r="M1482" s="1">
        <f>[1]!orders[[#This Row],[Ship Date]]-[1]!orders[[#This Row],[Order Date]]</f>
        <v>0</v>
      </c>
      <c r="N1482" s="1">
        <f>WEEKNUM([1]!orders[[#This Row],[Order Date]])</f>
        <v>9</v>
      </c>
      <c r="O1482" t="str" cm="1">
        <f t="array" ref="O1482">_xlfn.IFS([1]!orders[[#This Row],[Customer Gender]]="M","Male", [1]!orders[[#This Row],[Customer Gender]]="F","Female", [1]!orders[[#This Row],[Customer Gender]]="O","Other", TRUE,"Unknown")</f>
        <v>Male</v>
      </c>
    </row>
    <row r="1483" spans="1:15" x14ac:dyDescent="0.25">
      <c r="A1483" t="s">
        <v>1567</v>
      </c>
      <c r="B1483" t="s">
        <v>31</v>
      </c>
      <c r="C1483">
        <v>1</v>
      </c>
      <c r="D1483">
        <v>37.799999999999997</v>
      </c>
      <c r="E1483">
        <v>37.799999999999997</v>
      </c>
      <c r="F1483" s="3">
        <v>45713</v>
      </c>
      <c r="G1483" s="3">
        <v>45716</v>
      </c>
      <c r="H1483" t="s">
        <v>12</v>
      </c>
      <c r="I1483" t="s">
        <v>3</v>
      </c>
      <c r="J1483">
        <v>5</v>
      </c>
      <c r="K1483" t="s">
        <v>4</v>
      </c>
      <c r="L1483" t="s">
        <v>18</v>
      </c>
      <c r="M1483">
        <f>[1]!orders[[#This Row],[Ship Date]]-[1]!orders[[#This Row],[Order Date]]</f>
        <v>3</v>
      </c>
      <c r="N1483">
        <f>WEEKNUM([1]!orders[[#This Row],[Order Date]])</f>
        <v>9</v>
      </c>
      <c r="O1483" t="str" cm="1">
        <f t="array" ref="O1483">_xlfn.IFS([1]!orders[[#This Row],[Customer Gender]]="M","Male", [1]!orders[[#This Row],[Customer Gender]]="F","Female", [1]!orders[[#This Row],[Customer Gender]]="O","Other", TRUE,"Unknown")</f>
        <v>Female</v>
      </c>
    </row>
    <row r="1484" spans="1:15" x14ac:dyDescent="0.25">
      <c r="A1484" s="1" t="s">
        <v>1568</v>
      </c>
      <c r="B1484" s="1" t="s">
        <v>1</v>
      </c>
      <c r="C1484" s="1">
        <v>4</v>
      </c>
      <c r="D1484" s="1">
        <v>31.7</v>
      </c>
      <c r="E1484" s="1">
        <v>126.8</v>
      </c>
      <c r="F1484" s="2">
        <v>45713</v>
      </c>
      <c r="G1484" s="2">
        <v>45714</v>
      </c>
      <c r="H1484" s="1" t="s">
        <v>8</v>
      </c>
      <c r="I1484" s="1" t="s">
        <v>25</v>
      </c>
      <c r="J1484" s="1">
        <v>5</v>
      </c>
      <c r="K1484" s="1" t="s">
        <v>4</v>
      </c>
      <c r="L1484" s="1" t="s">
        <v>18</v>
      </c>
      <c r="M1484" s="1">
        <f>[1]!orders[[#This Row],[Ship Date]]-[1]!orders[[#This Row],[Order Date]]</f>
        <v>1</v>
      </c>
      <c r="N1484" s="1">
        <f>WEEKNUM([1]!orders[[#This Row],[Order Date]])</f>
        <v>9</v>
      </c>
      <c r="O1484" t="str" cm="1">
        <f t="array" ref="O1484">_xlfn.IFS([1]!orders[[#This Row],[Customer Gender]]="M","Male", [1]!orders[[#This Row],[Customer Gender]]="F","Female", [1]!orders[[#This Row],[Customer Gender]]="O","Other", TRUE,"Unknown")</f>
        <v>Male</v>
      </c>
    </row>
    <row r="1485" spans="1:15" x14ac:dyDescent="0.25">
      <c r="A1485" t="s">
        <v>1569</v>
      </c>
      <c r="B1485" t="s">
        <v>29</v>
      </c>
      <c r="C1485">
        <v>5</v>
      </c>
      <c r="D1485">
        <v>26.3</v>
      </c>
      <c r="E1485">
        <v>131.5</v>
      </c>
      <c r="F1485" s="3">
        <v>45713</v>
      </c>
      <c r="G1485" s="3">
        <v>45714</v>
      </c>
      <c r="H1485" t="s">
        <v>12</v>
      </c>
      <c r="I1485" t="s">
        <v>36</v>
      </c>
      <c r="J1485">
        <v>5</v>
      </c>
      <c r="K1485" t="s">
        <v>4</v>
      </c>
      <c r="L1485" t="s">
        <v>18</v>
      </c>
      <c r="M1485">
        <f>[1]!orders[[#This Row],[Ship Date]]-[1]!orders[[#This Row],[Order Date]]</f>
        <v>1</v>
      </c>
      <c r="N1485">
        <f>WEEKNUM([1]!orders[[#This Row],[Order Date]])</f>
        <v>9</v>
      </c>
      <c r="O1485" t="str" cm="1">
        <f t="array" ref="O1485">_xlfn.IFS([1]!orders[[#This Row],[Customer Gender]]="M","Male", [1]!orders[[#This Row],[Customer Gender]]="F","Female", [1]!orders[[#This Row],[Customer Gender]]="O","Other", TRUE,"Unknown")</f>
        <v>Female</v>
      </c>
    </row>
    <row r="1486" spans="1:15" x14ac:dyDescent="0.25">
      <c r="A1486" s="1" t="s">
        <v>1570</v>
      </c>
      <c r="B1486" s="1" t="s">
        <v>29</v>
      </c>
      <c r="C1486" s="1">
        <v>3</v>
      </c>
      <c r="D1486" s="1">
        <v>23.1</v>
      </c>
      <c r="E1486" s="1">
        <v>69.300000000000011</v>
      </c>
      <c r="F1486" s="2">
        <v>45713</v>
      </c>
      <c r="G1486" s="2">
        <v>45714</v>
      </c>
      <c r="H1486" s="1" t="s">
        <v>74</v>
      </c>
      <c r="I1486" s="1" t="s">
        <v>25</v>
      </c>
      <c r="J1486" s="1">
        <v>3</v>
      </c>
      <c r="K1486" s="1" t="s">
        <v>4</v>
      </c>
      <c r="L1486" s="1" t="s">
        <v>18</v>
      </c>
      <c r="M1486" s="1">
        <f>[1]!orders[[#This Row],[Ship Date]]-[1]!orders[[#This Row],[Order Date]]</f>
        <v>1</v>
      </c>
      <c r="N1486" s="1">
        <f>WEEKNUM([1]!orders[[#This Row],[Order Date]])</f>
        <v>9</v>
      </c>
      <c r="O1486" t="str" cm="1">
        <f t="array" ref="O1486">_xlfn.IFS([1]!orders[[#This Row],[Customer Gender]]="M","Male", [1]!orders[[#This Row],[Customer Gender]]="F","Female", [1]!orders[[#This Row],[Customer Gender]]="O","Other", TRUE,"Unknown")</f>
        <v>Other</v>
      </c>
    </row>
    <row r="1487" spans="1:15" x14ac:dyDescent="0.25">
      <c r="A1487" t="s">
        <v>1571</v>
      </c>
      <c r="B1487" t="s">
        <v>17</v>
      </c>
      <c r="C1487">
        <v>1</v>
      </c>
      <c r="D1487">
        <v>22.3</v>
      </c>
      <c r="E1487">
        <v>22.3</v>
      </c>
      <c r="F1487" s="3">
        <v>45713</v>
      </c>
      <c r="G1487" s="3">
        <v>45715</v>
      </c>
      <c r="H1487" t="s">
        <v>12</v>
      </c>
      <c r="I1487" t="s">
        <v>25</v>
      </c>
      <c r="J1487">
        <v>4</v>
      </c>
      <c r="K1487" t="s">
        <v>4</v>
      </c>
      <c r="L1487" t="s">
        <v>18</v>
      </c>
      <c r="M1487">
        <f>[1]!orders[[#This Row],[Ship Date]]-[1]!orders[[#This Row],[Order Date]]</f>
        <v>2</v>
      </c>
      <c r="N1487">
        <f>WEEKNUM([1]!orders[[#This Row],[Order Date]])</f>
        <v>9</v>
      </c>
      <c r="O1487" t="str" cm="1">
        <f t="array" ref="O1487">_xlfn.IFS([1]!orders[[#This Row],[Customer Gender]]="M","Male", [1]!orders[[#This Row],[Customer Gender]]="F","Female", [1]!orders[[#This Row],[Customer Gender]]="O","Other", TRUE,"Unknown")</f>
        <v>Female</v>
      </c>
    </row>
    <row r="1488" spans="1:15" x14ac:dyDescent="0.25">
      <c r="A1488" s="1" t="s">
        <v>1572</v>
      </c>
      <c r="B1488" s="1" t="s">
        <v>54</v>
      </c>
      <c r="C1488" s="1">
        <v>2</v>
      </c>
      <c r="D1488" s="1">
        <v>99.5</v>
      </c>
      <c r="E1488" s="1">
        <v>199</v>
      </c>
      <c r="F1488" s="2">
        <v>45713</v>
      </c>
      <c r="G1488" s="2">
        <v>45715</v>
      </c>
      <c r="H1488" s="1" t="s">
        <v>12</v>
      </c>
      <c r="I1488" s="1" t="s">
        <v>25</v>
      </c>
      <c r="J1488" s="1">
        <v>4</v>
      </c>
      <c r="K1488" s="1" t="s">
        <v>4</v>
      </c>
      <c r="L1488" s="1" t="s">
        <v>18</v>
      </c>
      <c r="M1488" s="1">
        <f>[1]!orders[[#This Row],[Ship Date]]-[1]!orders[[#This Row],[Order Date]]</f>
        <v>2</v>
      </c>
      <c r="N1488" s="1">
        <f>WEEKNUM([1]!orders[[#This Row],[Order Date]])</f>
        <v>9</v>
      </c>
      <c r="O1488" t="str" cm="1">
        <f t="array" ref="O1488">_xlfn.IFS([1]!orders[[#This Row],[Customer Gender]]="M","Male", [1]!orders[[#This Row],[Customer Gender]]="F","Female", [1]!orders[[#This Row],[Customer Gender]]="O","Other", TRUE,"Unknown")</f>
        <v>Female</v>
      </c>
    </row>
    <row r="1489" spans="1:15" x14ac:dyDescent="0.25">
      <c r="A1489" t="s">
        <v>1573</v>
      </c>
      <c r="B1489" t="s">
        <v>54</v>
      </c>
      <c r="C1489">
        <v>4</v>
      </c>
      <c r="D1489">
        <v>47.4</v>
      </c>
      <c r="E1489">
        <v>189.6</v>
      </c>
      <c r="F1489" s="3">
        <v>45713</v>
      </c>
      <c r="G1489" s="3">
        <v>45716</v>
      </c>
      <c r="H1489" t="s">
        <v>12</v>
      </c>
      <c r="I1489" t="s">
        <v>20</v>
      </c>
      <c r="J1489">
        <v>4</v>
      </c>
      <c r="K1489" t="s">
        <v>4</v>
      </c>
      <c r="L1489" t="s">
        <v>18</v>
      </c>
      <c r="M1489">
        <f>[1]!orders[[#This Row],[Ship Date]]-[1]!orders[[#This Row],[Order Date]]</f>
        <v>3</v>
      </c>
      <c r="N1489">
        <f>WEEKNUM([1]!orders[[#This Row],[Order Date]])</f>
        <v>9</v>
      </c>
      <c r="O1489" t="str" cm="1">
        <f t="array" ref="O1489">_xlfn.IFS([1]!orders[[#This Row],[Customer Gender]]="M","Male", [1]!orders[[#This Row],[Customer Gender]]="F","Female", [1]!orders[[#This Row],[Customer Gender]]="O","Other", TRUE,"Unknown")</f>
        <v>Female</v>
      </c>
    </row>
    <row r="1490" spans="1:15" x14ac:dyDescent="0.25">
      <c r="A1490" s="1" t="s">
        <v>1574</v>
      </c>
      <c r="B1490" s="1" t="s">
        <v>1</v>
      </c>
      <c r="C1490" s="1">
        <v>11</v>
      </c>
      <c r="D1490" s="1">
        <v>37.5</v>
      </c>
      <c r="E1490" s="1">
        <v>412.5</v>
      </c>
      <c r="F1490" s="2">
        <v>45713</v>
      </c>
      <c r="G1490" s="2">
        <v>45715</v>
      </c>
      <c r="H1490" s="1" t="s">
        <v>12</v>
      </c>
      <c r="I1490" s="1" t="s">
        <v>3</v>
      </c>
      <c r="J1490" s="1">
        <v>1</v>
      </c>
      <c r="K1490" s="1" t="s">
        <v>4</v>
      </c>
      <c r="L1490" s="1" t="s">
        <v>18</v>
      </c>
      <c r="M1490" s="1">
        <f>[1]!orders[[#This Row],[Ship Date]]-[1]!orders[[#This Row],[Order Date]]</f>
        <v>2</v>
      </c>
      <c r="N1490" s="1">
        <f>WEEKNUM([1]!orders[[#This Row],[Order Date]])</f>
        <v>9</v>
      </c>
      <c r="O1490" t="str" cm="1">
        <f t="array" ref="O1490">_xlfn.IFS([1]!orders[[#This Row],[Customer Gender]]="M","Male", [1]!orders[[#This Row],[Customer Gender]]="F","Female", [1]!orders[[#This Row],[Customer Gender]]="O","Other", TRUE,"Unknown")</f>
        <v>Female</v>
      </c>
    </row>
    <row r="1491" spans="1:15" x14ac:dyDescent="0.25">
      <c r="A1491" t="s">
        <v>1575</v>
      </c>
      <c r="B1491" t="s">
        <v>39</v>
      </c>
      <c r="C1491">
        <v>1</v>
      </c>
      <c r="D1491">
        <v>45.1</v>
      </c>
      <c r="E1491">
        <v>45.1</v>
      </c>
      <c r="F1491" s="3">
        <v>45713</v>
      </c>
      <c r="G1491" s="3">
        <v>45718</v>
      </c>
      <c r="H1491" t="s">
        <v>8</v>
      </c>
      <c r="I1491" t="s">
        <v>36</v>
      </c>
      <c r="J1491">
        <v>5</v>
      </c>
      <c r="K1491" t="s">
        <v>4</v>
      </c>
      <c r="L1491" t="s">
        <v>171</v>
      </c>
      <c r="M1491">
        <f>[1]!orders[[#This Row],[Ship Date]]-[1]!orders[[#This Row],[Order Date]]</f>
        <v>5</v>
      </c>
      <c r="N1491">
        <f>WEEKNUM([1]!orders[[#This Row],[Order Date]])</f>
        <v>9</v>
      </c>
      <c r="O1491" t="str" cm="1">
        <f t="array" ref="O1491">_xlfn.IFS([1]!orders[[#This Row],[Customer Gender]]="M","Male", [1]!orders[[#This Row],[Customer Gender]]="F","Female", [1]!orders[[#This Row],[Customer Gender]]="O","Other", TRUE,"Unknown")</f>
        <v>Male</v>
      </c>
    </row>
    <row r="1492" spans="1:15" x14ac:dyDescent="0.25">
      <c r="A1492" s="1" t="s">
        <v>1576</v>
      </c>
      <c r="B1492" s="1" t="s">
        <v>22</v>
      </c>
      <c r="C1492" s="1">
        <v>10</v>
      </c>
      <c r="D1492" s="1">
        <v>34.4</v>
      </c>
      <c r="E1492" s="1">
        <v>344</v>
      </c>
      <c r="F1492" s="2">
        <v>45713</v>
      </c>
      <c r="G1492" s="2">
        <v>45716</v>
      </c>
      <c r="H1492" s="1" t="s">
        <v>8</v>
      </c>
      <c r="I1492" s="1" t="s">
        <v>25</v>
      </c>
      <c r="J1492" s="1">
        <v>4</v>
      </c>
      <c r="K1492" s="1" t="s">
        <v>4</v>
      </c>
      <c r="L1492" s="1" t="s">
        <v>83</v>
      </c>
      <c r="M1492" s="1">
        <f>[1]!orders[[#This Row],[Ship Date]]-[1]!orders[[#This Row],[Order Date]]</f>
        <v>3</v>
      </c>
      <c r="N1492" s="1">
        <f>WEEKNUM([1]!orders[[#This Row],[Order Date]])</f>
        <v>9</v>
      </c>
      <c r="O1492" t="str" cm="1">
        <f t="array" ref="O1492">_xlfn.IFS([1]!orders[[#This Row],[Customer Gender]]="M","Male", [1]!orders[[#This Row],[Customer Gender]]="F","Female", [1]!orders[[#This Row],[Customer Gender]]="O","Other", TRUE,"Unknown")</f>
        <v>Male</v>
      </c>
    </row>
    <row r="1493" spans="1:15" x14ac:dyDescent="0.25">
      <c r="A1493" t="s">
        <v>1577</v>
      </c>
      <c r="B1493" t="s">
        <v>17</v>
      </c>
      <c r="C1493">
        <v>2</v>
      </c>
      <c r="D1493">
        <v>38</v>
      </c>
      <c r="E1493">
        <v>76</v>
      </c>
      <c r="F1493" s="3">
        <v>45713</v>
      </c>
      <c r="G1493" s="3">
        <v>45715</v>
      </c>
      <c r="H1493" t="s">
        <v>12</v>
      </c>
      <c r="I1493" t="s">
        <v>20</v>
      </c>
      <c r="J1493">
        <v>4</v>
      </c>
      <c r="K1493" t="s">
        <v>4</v>
      </c>
      <c r="L1493" t="s">
        <v>37</v>
      </c>
      <c r="M1493">
        <f>[1]!orders[[#This Row],[Ship Date]]-[1]!orders[[#This Row],[Order Date]]</f>
        <v>2</v>
      </c>
      <c r="N1493">
        <f>WEEKNUM([1]!orders[[#This Row],[Order Date]])</f>
        <v>9</v>
      </c>
      <c r="O1493" t="str" cm="1">
        <f t="array" ref="O1493">_xlfn.IFS([1]!orders[[#This Row],[Customer Gender]]="M","Male", [1]!orders[[#This Row],[Customer Gender]]="F","Female", [1]!orders[[#This Row],[Customer Gender]]="O","Other", TRUE,"Unknown")</f>
        <v>Female</v>
      </c>
    </row>
    <row r="1494" spans="1:15" x14ac:dyDescent="0.25">
      <c r="A1494" s="1" t="s">
        <v>1578</v>
      </c>
      <c r="B1494" s="1" t="s">
        <v>15</v>
      </c>
      <c r="C1494" s="1">
        <v>14</v>
      </c>
      <c r="D1494" s="1">
        <v>32.4</v>
      </c>
      <c r="E1494" s="1">
        <v>453.59999999999997</v>
      </c>
      <c r="F1494" s="2">
        <v>45713</v>
      </c>
      <c r="G1494" s="2">
        <v>45716</v>
      </c>
      <c r="H1494" s="1" t="s">
        <v>8</v>
      </c>
      <c r="I1494" s="1" t="s">
        <v>55</v>
      </c>
      <c r="J1494" s="1">
        <v>4</v>
      </c>
      <c r="K1494" s="1" t="s">
        <v>4</v>
      </c>
      <c r="L1494" s="1" t="s">
        <v>40</v>
      </c>
      <c r="M1494" s="1">
        <f>[1]!orders[[#This Row],[Ship Date]]-[1]!orders[[#This Row],[Order Date]]</f>
        <v>3</v>
      </c>
      <c r="N1494" s="1">
        <f>WEEKNUM([1]!orders[[#This Row],[Order Date]])</f>
        <v>9</v>
      </c>
      <c r="O1494" t="str" cm="1">
        <f t="array" ref="O1494">_xlfn.IFS([1]!orders[[#This Row],[Customer Gender]]="M","Male", [1]!orders[[#This Row],[Customer Gender]]="F","Female", [1]!orders[[#This Row],[Customer Gender]]="O","Other", TRUE,"Unknown")</f>
        <v>Male</v>
      </c>
    </row>
    <row r="1495" spans="1:15" x14ac:dyDescent="0.25">
      <c r="A1495" t="s">
        <v>1579</v>
      </c>
      <c r="B1495" t="s">
        <v>24</v>
      </c>
      <c r="C1495">
        <v>3</v>
      </c>
      <c r="D1495">
        <v>40.9</v>
      </c>
      <c r="E1495">
        <v>122.69999999999999</v>
      </c>
      <c r="F1495" s="3">
        <v>45713</v>
      </c>
      <c r="G1495" s="3">
        <v>45713</v>
      </c>
      <c r="H1495" t="s">
        <v>2</v>
      </c>
      <c r="I1495" t="s">
        <v>20</v>
      </c>
      <c r="J1495">
        <v>4</v>
      </c>
      <c r="K1495" t="s">
        <v>4</v>
      </c>
      <c r="L1495" t="s">
        <v>47</v>
      </c>
      <c r="M1495">
        <f>[1]!orders[[#This Row],[Ship Date]]-[1]!orders[[#This Row],[Order Date]]</f>
        <v>0</v>
      </c>
      <c r="N1495">
        <f>WEEKNUM([1]!orders[[#This Row],[Order Date]])</f>
        <v>9</v>
      </c>
      <c r="O1495" t="str" cm="1">
        <f t="array" ref="O1495">_xlfn.IFS([1]!orders[[#This Row],[Customer Gender]]="M","Male", [1]!orders[[#This Row],[Customer Gender]]="F","Female", [1]!orders[[#This Row],[Customer Gender]]="O","Other", TRUE,"Unknown")</f>
        <v>Unknown</v>
      </c>
    </row>
    <row r="1496" spans="1:15" x14ac:dyDescent="0.25">
      <c r="A1496" s="1" t="s">
        <v>1580</v>
      </c>
      <c r="B1496" s="1" t="s">
        <v>27</v>
      </c>
      <c r="C1496" s="1">
        <v>7</v>
      </c>
      <c r="D1496" s="1">
        <v>76.2</v>
      </c>
      <c r="E1496" s="1">
        <v>533.4</v>
      </c>
      <c r="F1496" s="2">
        <v>45713</v>
      </c>
      <c r="G1496" s="2">
        <v>45715</v>
      </c>
      <c r="H1496" s="1" t="s">
        <v>12</v>
      </c>
      <c r="I1496" s="1" t="s">
        <v>25</v>
      </c>
      <c r="J1496" s="1">
        <v>3</v>
      </c>
      <c r="K1496" s="1" t="s">
        <v>4</v>
      </c>
      <c r="L1496" s="1" t="s">
        <v>47</v>
      </c>
      <c r="M1496" s="1">
        <f>[1]!orders[[#This Row],[Ship Date]]-[1]!orders[[#This Row],[Order Date]]</f>
        <v>2</v>
      </c>
      <c r="N1496" s="1">
        <f>WEEKNUM([1]!orders[[#This Row],[Order Date]])</f>
        <v>9</v>
      </c>
      <c r="O1496" t="str" cm="1">
        <f t="array" ref="O1496">_xlfn.IFS([1]!orders[[#This Row],[Customer Gender]]="M","Male", [1]!orders[[#This Row],[Customer Gender]]="F","Female", [1]!orders[[#This Row],[Customer Gender]]="O","Other", TRUE,"Unknown")</f>
        <v>Female</v>
      </c>
    </row>
    <row r="1497" spans="1:15" x14ac:dyDescent="0.25">
      <c r="A1497" t="s">
        <v>1581</v>
      </c>
      <c r="B1497" t="s">
        <v>11</v>
      </c>
      <c r="C1497">
        <v>1</v>
      </c>
      <c r="D1497">
        <v>85.6</v>
      </c>
      <c r="E1497">
        <v>85.6</v>
      </c>
      <c r="F1497" s="3">
        <v>45713</v>
      </c>
      <c r="G1497" s="3">
        <v>45715</v>
      </c>
      <c r="H1497" t="s">
        <v>8</v>
      </c>
      <c r="I1497" t="s">
        <v>25</v>
      </c>
      <c r="J1497">
        <v>4</v>
      </c>
      <c r="K1497" t="s">
        <v>4</v>
      </c>
      <c r="L1497" t="s">
        <v>47</v>
      </c>
      <c r="M1497">
        <f>[1]!orders[[#This Row],[Ship Date]]-[1]!orders[[#This Row],[Order Date]]</f>
        <v>2</v>
      </c>
      <c r="N1497">
        <f>WEEKNUM([1]!orders[[#This Row],[Order Date]])</f>
        <v>9</v>
      </c>
      <c r="O1497" t="str" cm="1">
        <f t="array" ref="O1497">_xlfn.IFS([1]!orders[[#This Row],[Customer Gender]]="M","Male", [1]!orders[[#This Row],[Customer Gender]]="F","Female", [1]!orders[[#This Row],[Customer Gender]]="O","Other", TRUE,"Unknown")</f>
        <v>Male</v>
      </c>
    </row>
    <row r="1498" spans="1:15" x14ac:dyDescent="0.25">
      <c r="A1498" s="1" t="s">
        <v>1582</v>
      </c>
      <c r="B1498" s="1" t="s">
        <v>17</v>
      </c>
      <c r="C1498" s="1">
        <v>4</v>
      </c>
      <c r="D1498" s="1">
        <v>25</v>
      </c>
      <c r="E1498" s="1">
        <v>100</v>
      </c>
      <c r="F1498" s="2">
        <v>45713</v>
      </c>
      <c r="G1498" s="2">
        <v>45715</v>
      </c>
      <c r="H1498" s="1" t="s">
        <v>12</v>
      </c>
      <c r="I1498" s="1" t="s">
        <v>25</v>
      </c>
      <c r="J1498" s="1">
        <v>5</v>
      </c>
      <c r="K1498" s="1" t="s">
        <v>4</v>
      </c>
      <c r="L1498" s="1" t="s">
        <v>47</v>
      </c>
      <c r="M1498" s="1">
        <f>[1]!orders[[#This Row],[Ship Date]]-[1]!orders[[#This Row],[Order Date]]</f>
        <v>2</v>
      </c>
      <c r="N1498" s="1">
        <f>WEEKNUM([1]!orders[[#This Row],[Order Date]])</f>
        <v>9</v>
      </c>
      <c r="O1498" t="str" cm="1">
        <f t="array" ref="O1498">_xlfn.IFS([1]!orders[[#This Row],[Customer Gender]]="M","Male", [1]!orders[[#This Row],[Customer Gender]]="F","Female", [1]!orders[[#This Row],[Customer Gender]]="O","Other", TRUE,"Unknown")</f>
        <v>Female</v>
      </c>
    </row>
    <row r="1499" spans="1:15" x14ac:dyDescent="0.25">
      <c r="A1499" t="s">
        <v>1583</v>
      </c>
      <c r="B1499" t="s">
        <v>11</v>
      </c>
      <c r="C1499">
        <v>5</v>
      </c>
      <c r="D1499">
        <v>150.69999999999999</v>
      </c>
      <c r="E1499">
        <v>753.5</v>
      </c>
      <c r="F1499" s="3">
        <v>45713</v>
      </c>
      <c r="G1499" s="3">
        <v>45714</v>
      </c>
      <c r="H1499" t="s">
        <v>2</v>
      </c>
      <c r="I1499" t="s">
        <v>3</v>
      </c>
      <c r="J1499">
        <v>5</v>
      </c>
      <c r="K1499" t="s">
        <v>4</v>
      </c>
      <c r="L1499" t="s">
        <v>47</v>
      </c>
      <c r="M1499">
        <f>[1]!orders[[#This Row],[Ship Date]]-[1]!orders[[#This Row],[Order Date]]</f>
        <v>1</v>
      </c>
      <c r="N1499">
        <f>WEEKNUM([1]!orders[[#This Row],[Order Date]])</f>
        <v>9</v>
      </c>
      <c r="O1499" t="str" cm="1">
        <f t="array" ref="O1499">_xlfn.IFS([1]!orders[[#This Row],[Customer Gender]]="M","Male", [1]!orders[[#This Row],[Customer Gender]]="F","Female", [1]!orders[[#This Row],[Customer Gender]]="O","Other", TRUE,"Unknown")</f>
        <v>Unknown</v>
      </c>
    </row>
    <row r="1500" spans="1:15" x14ac:dyDescent="0.25">
      <c r="A1500" s="1" t="s">
        <v>1584</v>
      </c>
      <c r="B1500" s="1" t="s">
        <v>29</v>
      </c>
      <c r="C1500" s="1">
        <v>1</v>
      </c>
      <c r="D1500" s="1">
        <v>19.600000000000001</v>
      </c>
      <c r="E1500" s="1">
        <v>19.600000000000001</v>
      </c>
      <c r="F1500" s="2">
        <v>45713</v>
      </c>
      <c r="G1500" s="2">
        <v>45714</v>
      </c>
      <c r="H1500" s="1" t="s">
        <v>8</v>
      </c>
      <c r="I1500" s="1" t="s">
        <v>20</v>
      </c>
      <c r="J1500" s="1">
        <v>2</v>
      </c>
      <c r="K1500" s="1" t="s">
        <v>4</v>
      </c>
      <c r="L1500" s="1" t="s">
        <v>47</v>
      </c>
      <c r="M1500" s="1">
        <f>[1]!orders[[#This Row],[Ship Date]]-[1]!orders[[#This Row],[Order Date]]</f>
        <v>1</v>
      </c>
      <c r="N1500" s="1">
        <f>WEEKNUM([1]!orders[[#This Row],[Order Date]])</f>
        <v>9</v>
      </c>
      <c r="O1500" t="str" cm="1">
        <f t="array" ref="O1500">_xlfn.IFS([1]!orders[[#This Row],[Customer Gender]]="M","Male", [1]!orders[[#This Row],[Customer Gender]]="F","Female", [1]!orders[[#This Row],[Customer Gender]]="O","Other", TRUE,"Unknown")</f>
        <v>Male</v>
      </c>
    </row>
    <row r="1501" spans="1:15" x14ac:dyDescent="0.25">
      <c r="A1501" t="s">
        <v>1585</v>
      </c>
      <c r="B1501" t="s">
        <v>61</v>
      </c>
      <c r="C1501">
        <v>2</v>
      </c>
      <c r="D1501">
        <v>37.5</v>
      </c>
      <c r="E1501">
        <v>75</v>
      </c>
      <c r="F1501" s="3">
        <v>45713</v>
      </c>
      <c r="G1501" s="3">
        <v>45716</v>
      </c>
      <c r="H1501" t="s">
        <v>12</v>
      </c>
      <c r="I1501" t="s">
        <v>20</v>
      </c>
      <c r="J1501">
        <v>5</v>
      </c>
      <c r="K1501" t="s">
        <v>4</v>
      </c>
      <c r="L1501" t="s">
        <v>88</v>
      </c>
      <c r="M1501">
        <f>[1]!orders[[#This Row],[Ship Date]]-[1]!orders[[#This Row],[Order Date]]</f>
        <v>3</v>
      </c>
      <c r="N1501">
        <f>WEEKNUM([1]!orders[[#This Row],[Order Date]])</f>
        <v>9</v>
      </c>
      <c r="O1501" t="str" cm="1">
        <f t="array" ref="O1501">_xlfn.IFS([1]!orders[[#This Row],[Customer Gender]]="M","Male", [1]!orders[[#This Row],[Customer Gender]]="F","Female", [1]!orders[[#This Row],[Customer Gender]]="O","Other", TRUE,"Unknown")</f>
        <v>Female</v>
      </c>
    </row>
    <row r="1502" spans="1:15" x14ac:dyDescent="0.25">
      <c r="A1502" s="1" t="s">
        <v>1586</v>
      </c>
      <c r="B1502" s="1" t="s">
        <v>31</v>
      </c>
      <c r="C1502" s="1">
        <v>3</v>
      </c>
      <c r="D1502" s="1">
        <v>51.9</v>
      </c>
      <c r="E1502" s="1">
        <v>155.69999999999999</v>
      </c>
      <c r="F1502" s="2">
        <v>45713</v>
      </c>
      <c r="G1502" s="2">
        <v>45719</v>
      </c>
      <c r="H1502" s="1" t="s">
        <v>12</v>
      </c>
      <c r="I1502" s="1" t="s">
        <v>3</v>
      </c>
      <c r="J1502" s="1">
        <v>2</v>
      </c>
      <c r="K1502" s="1" t="s">
        <v>4</v>
      </c>
      <c r="L1502" s="1" t="s">
        <v>62</v>
      </c>
      <c r="M1502" s="1">
        <f>[1]!orders[[#This Row],[Ship Date]]-[1]!orders[[#This Row],[Order Date]]</f>
        <v>6</v>
      </c>
      <c r="N1502" s="1">
        <f>WEEKNUM([1]!orders[[#This Row],[Order Date]])</f>
        <v>9</v>
      </c>
      <c r="O1502" t="str" cm="1">
        <f t="array" ref="O1502">_xlfn.IFS([1]!orders[[#This Row],[Customer Gender]]="M","Male", [1]!orders[[#This Row],[Customer Gender]]="F","Female", [1]!orders[[#This Row],[Customer Gender]]="O","Other", TRUE,"Unknown")</f>
        <v>Female</v>
      </c>
    </row>
    <row r="1503" spans="1:15" x14ac:dyDescent="0.25">
      <c r="A1503" t="s">
        <v>1587</v>
      </c>
      <c r="B1503" t="s">
        <v>7</v>
      </c>
      <c r="C1503">
        <v>2</v>
      </c>
      <c r="D1503">
        <v>30.9</v>
      </c>
      <c r="E1503">
        <v>61.8</v>
      </c>
      <c r="F1503" s="3">
        <v>45713</v>
      </c>
      <c r="G1503" s="3">
        <v>45715</v>
      </c>
      <c r="H1503" t="s">
        <v>12</v>
      </c>
      <c r="I1503" t="s">
        <v>20</v>
      </c>
      <c r="J1503">
        <v>4</v>
      </c>
      <c r="K1503" t="s">
        <v>4</v>
      </c>
      <c r="L1503" t="s">
        <v>93</v>
      </c>
      <c r="M1503">
        <f>[1]!orders[[#This Row],[Ship Date]]-[1]!orders[[#This Row],[Order Date]]</f>
        <v>2</v>
      </c>
      <c r="N1503">
        <f>WEEKNUM([1]!orders[[#This Row],[Order Date]])</f>
        <v>9</v>
      </c>
      <c r="O1503" t="str" cm="1">
        <f t="array" ref="O1503">_xlfn.IFS([1]!orders[[#This Row],[Customer Gender]]="M","Male", [1]!orders[[#This Row],[Customer Gender]]="F","Female", [1]!orders[[#This Row],[Customer Gender]]="O","Other", TRUE,"Unknown")</f>
        <v>Female</v>
      </c>
    </row>
    <row r="1504" spans="1:15" x14ac:dyDescent="0.25">
      <c r="A1504" s="1" t="s">
        <v>1588</v>
      </c>
      <c r="B1504" s="1" t="s">
        <v>17</v>
      </c>
      <c r="C1504" s="1">
        <v>3</v>
      </c>
      <c r="D1504" s="1">
        <v>21.2</v>
      </c>
      <c r="E1504" s="1">
        <v>63.599999999999994</v>
      </c>
      <c r="F1504" s="2">
        <v>45713</v>
      </c>
      <c r="G1504" s="2">
        <v>45716</v>
      </c>
      <c r="H1504" s="1" t="s">
        <v>12</v>
      </c>
      <c r="I1504" s="1" t="s">
        <v>20</v>
      </c>
      <c r="J1504" s="1">
        <v>4</v>
      </c>
      <c r="K1504" s="1" t="s">
        <v>4</v>
      </c>
      <c r="L1504" s="1" t="s">
        <v>95</v>
      </c>
      <c r="M1504" s="1">
        <f>[1]!orders[[#This Row],[Ship Date]]-[1]!orders[[#This Row],[Order Date]]</f>
        <v>3</v>
      </c>
      <c r="N1504" s="1">
        <f>WEEKNUM([1]!orders[[#This Row],[Order Date]])</f>
        <v>9</v>
      </c>
      <c r="O1504" t="str" cm="1">
        <f t="array" ref="O1504">_xlfn.IFS([1]!orders[[#This Row],[Customer Gender]]="M","Male", [1]!orders[[#This Row],[Customer Gender]]="F","Female", [1]!orders[[#This Row],[Customer Gender]]="O","Other", TRUE,"Unknown")</f>
        <v>Female</v>
      </c>
    </row>
    <row r="1505" spans="1:15" x14ac:dyDescent="0.25">
      <c r="A1505" t="s">
        <v>1589</v>
      </c>
      <c r="B1505" t="s">
        <v>61</v>
      </c>
      <c r="C1505">
        <v>17</v>
      </c>
      <c r="D1505">
        <v>17.5</v>
      </c>
      <c r="E1505">
        <v>297.5</v>
      </c>
      <c r="F1505" s="3">
        <v>45713</v>
      </c>
      <c r="G1505" s="3">
        <v>45714</v>
      </c>
      <c r="H1505" t="s">
        <v>8</v>
      </c>
      <c r="I1505" t="s">
        <v>20</v>
      </c>
      <c r="J1505">
        <v>3</v>
      </c>
      <c r="K1505" t="s">
        <v>4</v>
      </c>
      <c r="L1505" t="s">
        <v>67</v>
      </c>
      <c r="M1505">
        <f>[1]!orders[[#This Row],[Ship Date]]-[1]!orders[[#This Row],[Order Date]]</f>
        <v>1</v>
      </c>
      <c r="N1505">
        <f>WEEKNUM([1]!orders[[#This Row],[Order Date]])</f>
        <v>9</v>
      </c>
      <c r="O1505" t="str" cm="1">
        <f t="array" ref="O1505">_xlfn.IFS([1]!orders[[#This Row],[Customer Gender]]="M","Male", [1]!orders[[#This Row],[Customer Gender]]="F","Female", [1]!orders[[#This Row],[Customer Gender]]="O","Other", TRUE,"Unknown")</f>
        <v>Male</v>
      </c>
    </row>
    <row r="1506" spans="1:15" x14ac:dyDescent="0.25">
      <c r="A1506" s="1" t="s">
        <v>1590</v>
      </c>
      <c r="B1506" s="1" t="s">
        <v>54</v>
      </c>
      <c r="C1506" s="1">
        <v>2</v>
      </c>
      <c r="D1506" s="1">
        <v>53.8</v>
      </c>
      <c r="E1506" s="1">
        <v>107.6</v>
      </c>
      <c r="F1506" s="2">
        <v>45713</v>
      </c>
      <c r="G1506" s="2">
        <v>45718</v>
      </c>
      <c r="H1506" s="1" t="s">
        <v>12</v>
      </c>
      <c r="I1506" s="1" t="s">
        <v>3</v>
      </c>
      <c r="J1506" s="1">
        <v>5</v>
      </c>
      <c r="K1506" s="1" t="s">
        <v>4</v>
      </c>
      <c r="L1506" s="1" t="s">
        <v>100</v>
      </c>
      <c r="M1506" s="1">
        <f>[1]!orders[[#This Row],[Ship Date]]-[1]!orders[[#This Row],[Order Date]]</f>
        <v>5</v>
      </c>
      <c r="N1506" s="1">
        <f>WEEKNUM([1]!orders[[#This Row],[Order Date]])</f>
        <v>9</v>
      </c>
      <c r="O1506" t="str" cm="1">
        <f t="array" ref="O1506">_xlfn.IFS([1]!orders[[#This Row],[Customer Gender]]="M","Male", [1]!orders[[#This Row],[Customer Gender]]="F","Female", [1]!orders[[#This Row],[Customer Gender]]="O","Other", TRUE,"Unknown")</f>
        <v>Female</v>
      </c>
    </row>
    <row r="1507" spans="1:15" x14ac:dyDescent="0.25">
      <c r="A1507" t="s">
        <v>1591</v>
      </c>
      <c r="B1507" t="s">
        <v>156</v>
      </c>
      <c r="C1507">
        <v>2</v>
      </c>
      <c r="D1507">
        <v>17</v>
      </c>
      <c r="E1507">
        <v>34</v>
      </c>
      <c r="F1507" s="3">
        <v>45713</v>
      </c>
      <c r="G1507" s="3">
        <v>45714</v>
      </c>
      <c r="H1507" t="s">
        <v>8</v>
      </c>
      <c r="I1507" t="s">
        <v>36</v>
      </c>
      <c r="J1507">
        <v>4</v>
      </c>
      <c r="K1507" t="s">
        <v>4</v>
      </c>
      <c r="L1507" t="s">
        <v>100</v>
      </c>
      <c r="M1507">
        <f>[1]!orders[[#This Row],[Ship Date]]-[1]!orders[[#This Row],[Order Date]]</f>
        <v>1</v>
      </c>
      <c r="N1507">
        <f>WEEKNUM([1]!orders[[#This Row],[Order Date]])</f>
        <v>9</v>
      </c>
      <c r="O1507" t="str" cm="1">
        <f t="array" ref="O1507">_xlfn.IFS([1]!orders[[#This Row],[Customer Gender]]="M","Male", [1]!orders[[#This Row],[Customer Gender]]="F","Female", [1]!orders[[#This Row],[Customer Gender]]="O","Other", TRUE,"Unknown")</f>
        <v>Male</v>
      </c>
    </row>
    <row r="1508" spans="1:15" x14ac:dyDescent="0.25">
      <c r="A1508" s="1" t="s">
        <v>1592</v>
      </c>
      <c r="B1508" s="1" t="s">
        <v>24</v>
      </c>
      <c r="C1508" s="1">
        <v>1</v>
      </c>
      <c r="D1508" s="1">
        <v>103.2</v>
      </c>
      <c r="E1508" s="1">
        <v>103.2</v>
      </c>
      <c r="F1508" s="2">
        <v>45713</v>
      </c>
      <c r="G1508" s="2">
        <v>45721</v>
      </c>
      <c r="H1508" s="1" t="s">
        <v>8</v>
      </c>
      <c r="I1508" s="1" t="s">
        <v>25</v>
      </c>
      <c r="J1508" s="1">
        <v>3</v>
      </c>
      <c r="K1508" s="1" t="s">
        <v>4</v>
      </c>
      <c r="L1508" s="1" t="s">
        <v>9</v>
      </c>
      <c r="M1508" s="1">
        <f>[1]!orders[[#This Row],[Ship Date]]-[1]!orders[[#This Row],[Order Date]]</f>
        <v>8</v>
      </c>
      <c r="N1508" s="1">
        <f>WEEKNUM([1]!orders[[#This Row],[Order Date]])</f>
        <v>9</v>
      </c>
      <c r="O1508" t="str" cm="1">
        <f t="array" ref="O1508">_xlfn.IFS([1]!orders[[#This Row],[Customer Gender]]="M","Male", [1]!orders[[#This Row],[Customer Gender]]="F","Female", [1]!orders[[#This Row],[Customer Gender]]="O","Other", TRUE,"Unknown")</f>
        <v>Male</v>
      </c>
    </row>
    <row r="1509" spans="1:15" x14ac:dyDescent="0.25">
      <c r="A1509" t="s">
        <v>1593</v>
      </c>
      <c r="B1509" t="s">
        <v>24</v>
      </c>
      <c r="C1509">
        <v>4</v>
      </c>
      <c r="D1509">
        <v>70.3</v>
      </c>
      <c r="E1509">
        <v>281.2</v>
      </c>
      <c r="F1509" s="3">
        <v>45713</v>
      </c>
      <c r="G1509" s="3">
        <v>45714</v>
      </c>
      <c r="H1509" t="s">
        <v>8</v>
      </c>
      <c r="I1509" t="s">
        <v>3</v>
      </c>
      <c r="J1509">
        <v>4</v>
      </c>
      <c r="K1509" t="s">
        <v>4</v>
      </c>
      <c r="L1509" t="s">
        <v>18</v>
      </c>
      <c r="M1509">
        <f>[1]!orders[[#This Row],[Ship Date]]-[1]!orders[[#This Row],[Order Date]]</f>
        <v>1</v>
      </c>
      <c r="N1509">
        <f>WEEKNUM([1]!orders[[#This Row],[Order Date]])</f>
        <v>9</v>
      </c>
      <c r="O1509" t="str" cm="1">
        <f t="array" ref="O1509">_xlfn.IFS([1]!orders[[#This Row],[Customer Gender]]="M","Male", [1]!orders[[#This Row],[Customer Gender]]="F","Female", [1]!orders[[#This Row],[Customer Gender]]="O","Other", TRUE,"Unknown")</f>
        <v>Male</v>
      </c>
    </row>
    <row r="1510" spans="1:15" x14ac:dyDescent="0.25">
      <c r="A1510" s="1" t="s">
        <v>1594</v>
      </c>
      <c r="B1510" s="1" t="s">
        <v>11</v>
      </c>
      <c r="C1510" s="1">
        <v>2</v>
      </c>
      <c r="D1510" s="1">
        <v>73.8</v>
      </c>
      <c r="E1510" s="1">
        <v>147.6</v>
      </c>
      <c r="F1510" s="2">
        <v>45713</v>
      </c>
      <c r="G1510" s="2">
        <v>45713</v>
      </c>
      <c r="H1510" s="1" t="s">
        <v>8</v>
      </c>
      <c r="I1510" s="1" t="s">
        <v>36</v>
      </c>
      <c r="J1510" s="1">
        <v>5</v>
      </c>
      <c r="K1510" s="1" t="s">
        <v>4</v>
      </c>
      <c r="L1510" s="1" t="s">
        <v>18</v>
      </c>
      <c r="M1510" s="1">
        <f>[1]!orders[[#This Row],[Ship Date]]-[1]!orders[[#This Row],[Order Date]]</f>
        <v>0</v>
      </c>
      <c r="N1510" s="1">
        <f>WEEKNUM([1]!orders[[#This Row],[Order Date]])</f>
        <v>9</v>
      </c>
      <c r="O1510" t="str" cm="1">
        <f t="array" ref="O1510">_xlfn.IFS([1]!orders[[#This Row],[Customer Gender]]="M","Male", [1]!orders[[#This Row],[Customer Gender]]="F","Female", [1]!orders[[#This Row],[Customer Gender]]="O","Other", TRUE,"Unknown")</f>
        <v>Male</v>
      </c>
    </row>
    <row r="1511" spans="1:15" x14ac:dyDescent="0.25">
      <c r="A1511" t="s">
        <v>1595</v>
      </c>
      <c r="B1511" t="s">
        <v>7</v>
      </c>
      <c r="C1511">
        <v>12</v>
      </c>
      <c r="D1511">
        <v>67.7</v>
      </c>
      <c r="E1511">
        <v>812.40000000000009</v>
      </c>
      <c r="F1511" s="3">
        <v>45713</v>
      </c>
      <c r="G1511" s="3">
        <v>45717</v>
      </c>
      <c r="H1511" t="s">
        <v>8</v>
      </c>
      <c r="I1511" t="s">
        <v>20</v>
      </c>
      <c r="J1511">
        <v>3</v>
      </c>
      <c r="K1511" t="s">
        <v>4</v>
      </c>
      <c r="L1511" t="s">
        <v>18</v>
      </c>
      <c r="M1511">
        <f>[1]!orders[[#This Row],[Ship Date]]-[1]!orders[[#This Row],[Order Date]]</f>
        <v>4</v>
      </c>
      <c r="N1511">
        <f>WEEKNUM([1]!orders[[#This Row],[Order Date]])</f>
        <v>9</v>
      </c>
      <c r="O1511" t="str" cm="1">
        <f t="array" ref="O1511">_xlfn.IFS([1]!orders[[#This Row],[Customer Gender]]="M","Male", [1]!orders[[#This Row],[Customer Gender]]="F","Female", [1]!orders[[#This Row],[Customer Gender]]="O","Other", TRUE,"Unknown")</f>
        <v>Male</v>
      </c>
    </row>
    <row r="1512" spans="1:15" x14ac:dyDescent="0.25">
      <c r="A1512" s="1" t="s">
        <v>1596</v>
      </c>
      <c r="B1512" s="1" t="s">
        <v>61</v>
      </c>
      <c r="C1512" s="1">
        <v>7</v>
      </c>
      <c r="D1512" s="1">
        <v>43.8</v>
      </c>
      <c r="E1512" s="1">
        <v>306.59999999999997</v>
      </c>
      <c r="F1512" s="2">
        <v>45713</v>
      </c>
      <c r="G1512" s="2">
        <v>45715</v>
      </c>
      <c r="H1512" s="1" t="s">
        <v>8</v>
      </c>
      <c r="I1512" s="1" t="s">
        <v>20</v>
      </c>
      <c r="J1512" s="1">
        <v>4</v>
      </c>
      <c r="K1512" s="1" t="s">
        <v>4</v>
      </c>
      <c r="L1512" s="1" t="s">
        <v>18</v>
      </c>
      <c r="M1512" s="1">
        <f>[1]!orders[[#This Row],[Ship Date]]-[1]!orders[[#This Row],[Order Date]]</f>
        <v>2</v>
      </c>
      <c r="N1512" s="1">
        <f>WEEKNUM([1]!orders[[#This Row],[Order Date]])</f>
        <v>9</v>
      </c>
      <c r="O1512" t="str" cm="1">
        <f t="array" ref="O1512">_xlfn.IFS([1]!orders[[#This Row],[Customer Gender]]="M","Male", [1]!orders[[#This Row],[Customer Gender]]="F","Female", [1]!orders[[#This Row],[Customer Gender]]="O","Other", TRUE,"Unknown")</f>
        <v>Male</v>
      </c>
    </row>
    <row r="1513" spans="1:15" x14ac:dyDescent="0.25">
      <c r="A1513" t="s">
        <v>1597</v>
      </c>
      <c r="B1513" t="s">
        <v>120</v>
      </c>
      <c r="C1513">
        <v>6</v>
      </c>
      <c r="D1513">
        <v>71.900000000000006</v>
      </c>
      <c r="E1513">
        <v>431.40000000000003</v>
      </c>
      <c r="F1513" s="3">
        <v>45713</v>
      </c>
      <c r="G1513" s="3">
        <v>45714</v>
      </c>
      <c r="H1513" t="s">
        <v>12</v>
      </c>
      <c r="I1513" t="s">
        <v>25</v>
      </c>
      <c r="J1513">
        <v>4</v>
      </c>
      <c r="K1513" t="s">
        <v>4</v>
      </c>
      <c r="L1513" t="s">
        <v>18</v>
      </c>
      <c r="M1513">
        <f>[1]!orders[[#This Row],[Ship Date]]-[1]!orders[[#This Row],[Order Date]]</f>
        <v>1</v>
      </c>
      <c r="N1513">
        <f>WEEKNUM([1]!orders[[#This Row],[Order Date]])</f>
        <v>9</v>
      </c>
      <c r="O1513" t="str" cm="1">
        <f t="array" ref="O1513">_xlfn.IFS([1]!orders[[#This Row],[Customer Gender]]="M","Male", [1]!orders[[#This Row],[Customer Gender]]="F","Female", [1]!orders[[#This Row],[Customer Gender]]="O","Other", TRUE,"Unknown")</f>
        <v>Female</v>
      </c>
    </row>
    <row r="1514" spans="1:15" x14ac:dyDescent="0.25">
      <c r="A1514" s="1" t="s">
        <v>1598</v>
      </c>
      <c r="B1514" s="1" t="s">
        <v>29</v>
      </c>
      <c r="C1514" s="1">
        <v>2</v>
      </c>
      <c r="D1514" s="1">
        <v>26.3</v>
      </c>
      <c r="E1514" s="1">
        <v>52.6</v>
      </c>
      <c r="F1514" s="2">
        <v>45714</v>
      </c>
      <c r="G1514" s="2">
        <v>45716</v>
      </c>
      <c r="H1514" s="1" t="s">
        <v>12</v>
      </c>
      <c r="I1514" s="1" t="s">
        <v>3</v>
      </c>
      <c r="J1514" s="1">
        <v>3</v>
      </c>
      <c r="K1514" s="1" t="s">
        <v>4</v>
      </c>
      <c r="L1514" s="1" t="s">
        <v>18</v>
      </c>
      <c r="M1514" s="1">
        <f>[1]!orders[[#This Row],[Ship Date]]-[1]!orders[[#This Row],[Order Date]]</f>
        <v>2</v>
      </c>
      <c r="N1514" s="1">
        <f>WEEKNUM([1]!orders[[#This Row],[Order Date]])</f>
        <v>9</v>
      </c>
      <c r="O1514" t="str" cm="1">
        <f t="array" ref="O1514">_xlfn.IFS([1]!orders[[#This Row],[Customer Gender]]="M","Male", [1]!orders[[#This Row],[Customer Gender]]="F","Female", [1]!orders[[#This Row],[Customer Gender]]="O","Other", TRUE,"Unknown")</f>
        <v>Female</v>
      </c>
    </row>
    <row r="1515" spans="1:15" x14ac:dyDescent="0.25">
      <c r="A1515" t="s">
        <v>1599</v>
      </c>
      <c r="B1515" t="s">
        <v>24</v>
      </c>
      <c r="C1515">
        <v>4</v>
      </c>
      <c r="D1515">
        <v>52.6</v>
      </c>
      <c r="E1515">
        <v>210.4</v>
      </c>
      <c r="F1515" s="3">
        <v>45714</v>
      </c>
      <c r="G1515" s="3">
        <v>45716</v>
      </c>
      <c r="H1515" t="s">
        <v>12</v>
      </c>
      <c r="I1515" t="s">
        <v>25</v>
      </c>
      <c r="J1515">
        <v>3</v>
      </c>
      <c r="K1515" t="s">
        <v>4</v>
      </c>
      <c r="L1515" t="s">
        <v>18</v>
      </c>
      <c r="M1515">
        <f>[1]!orders[[#This Row],[Ship Date]]-[1]!orders[[#This Row],[Order Date]]</f>
        <v>2</v>
      </c>
      <c r="N1515">
        <f>WEEKNUM([1]!orders[[#This Row],[Order Date]])</f>
        <v>9</v>
      </c>
      <c r="O1515" t="str" cm="1">
        <f t="array" ref="O1515">_xlfn.IFS([1]!orders[[#This Row],[Customer Gender]]="M","Male", [1]!orders[[#This Row],[Customer Gender]]="F","Female", [1]!orders[[#This Row],[Customer Gender]]="O","Other", TRUE,"Unknown")</f>
        <v>Female</v>
      </c>
    </row>
    <row r="1516" spans="1:15" x14ac:dyDescent="0.25">
      <c r="A1516" s="1" t="s">
        <v>1600</v>
      </c>
      <c r="B1516" s="1" t="s">
        <v>39</v>
      </c>
      <c r="C1516" s="1">
        <v>1</v>
      </c>
      <c r="D1516" s="1">
        <v>32.700000000000003</v>
      </c>
      <c r="E1516" s="1">
        <v>32.700000000000003</v>
      </c>
      <c r="F1516" s="2">
        <v>45714</v>
      </c>
      <c r="G1516" s="2">
        <v>45721</v>
      </c>
      <c r="H1516" s="1" t="s">
        <v>12</v>
      </c>
      <c r="I1516" s="1" t="s">
        <v>3</v>
      </c>
      <c r="J1516" s="1">
        <v>5</v>
      </c>
      <c r="K1516" s="1" t="s">
        <v>4</v>
      </c>
      <c r="L1516" s="1" t="s">
        <v>18</v>
      </c>
      <c r="M1516" s="1">
        <f>[1]!orders[[#This Row],[Ship Date]]-[1]!orders[[#This Row],[Order Date]]</f>
        <v>7</v>
      </c>
      <c r="N1516" s="1">
        <f>WEEKNUM([1]!orders[[#This Row],[Order Date]])</f>
        <v>9</v>
      </c>
      <c r="O1516" t="str" cm="1">
        <f t="array" ref="O1516">_xlfn.IFS([1]!orders[[#This Row],[Customer Gender]]="M","Male", [1]!orders[[#This Row],[Customer Gender]]="F","Female", [1]!orders[[#This Row],[Customer Gender]]="O","Other", TRUE,"Unknown")</f>
        <v>Female</v>
      </c>
    </row>
    <row r="1517" spans="1:15" x14ac:dyDescent="0.25">
      <c r="A1517" t="s">
        <v>1601</v>
      </c>
      <c r="B1517" t="s">
        <v>22</v>
      </c>
      <c r="C1517">
        <v>4</v>
      </c>
      <c r="D1517">
        <v>38.9</v>
      </c>
      <c r="E1517">
        <v>155.6</v>
      </c>
      <c r="F1517" s="3">
        <v>45714</v>
      </c>
      <c r="G1517" s="3">
        <v>45715</v>
      </c>
      <c r="H1517" t="s">
        <v>12</v>
      </c>
      <c r="I1517" t="s">
        <v>3</v>
      </c>
      <c r="J1517">
        <v>4</v>
      </c>
      <c r="K1517" t="s">
        <v>4</v>
      </c>
      <c r="L1517" t="s">
        <v>18</v>
      </c>
      <c r="M1517">
        <f>[1]!orders[[#This Row],[Ship Date]]-[1]!orders[[#This Row],[Order Date]]</f>
        <v>1</v>
      </c>
      <c r="N1517">
        <f>WEEKNUM([1]!orders[[#This Row],[Order Date]])</f>
        <v>9</v>
      </c>
      <c r="O1517" t="str" cm="1">
        <f t="array" ref="O1517">_xlfn.IFS([1]!orders[[#This Row],[Customer Gender]]="M","Male", [1]!orders[[#This Row],[Customer Gender]]="F","Female", [1]!orders[[#This Row],[Customer Gender]]="O","Other", TRUE,"Unknown")</f>
        <v>Female</v>
      </c>
    </row>
    <row r="1518" spans="1:15" x14ac:dyDescent="0.25">
      <c r="A1518" s="1" t="s">
        <v>1602</v>
      </c>
      <c r="B1518" s="1" t="s">
        <v>31</v>
      </c>
      <c r="C1518" s="1">
        <v>5</v>
      </c>
      <c r="D1518" s="1">
        <v>35</v>
      </c>
      <c r="E1518" s="1">
        <v>175</v>
      </c>
      <c r="F1518" s="2">
        <v>45714</v>
      </c>
      <c r="G1518" s="2">
        <v>45716</v>
      </c>
      <c r="H1518" s="1" t="s">
        <v>8</v>
      </c>
      <c r="I1518" s="1" t="s">
        <v>3</v>
      </c>
      <c r="J1518" s="1">
        <v>4</v>
      </c>
      <c r="K1518" s="1" t="s">
        <v>4</v>
      </c>
      <c r="L1518" s="1" t="s">
        <v>18</v>
      </c>
      <c r="M1518" s="1">
        <f>[1]!orders[[#This Row],[Ship Date]]-[1]!orders[[#This Row],[Order Date]]</f>
        <v>2</v>
      </c>
      <c r="N1518" s="1">
        <f>WEEKNUM([1]!orders[[#This Row],[Order Date]])</f>
        <v>9</v>
      </c>
      <c r="O1518" t="str" cm="1">
        <f t="array" ref="O1518">_xlfn.IFS([1]!orders[[#This Row],[Customer Gender]]="M","Male", [1]!orders[[#This Row],[Customer Gender]]="F","Female", [1]!orders[[#This Row],[Customer Gender]]="O","Other", TRUE,"Unknown")</f>
        <v>Male</v>
      </c>
    </row>
    <row r="1519" spans="1:15" x14ac:dyDescent="0.25">
      <c r="A1519" t="s">
        <v>1603</v>
      </c>
      <c r="B1519" t="s">
        <v>11</v>
      </c>
      <c r="C1519">
        <v>2</v>
      </c>
      <c r="D1519">
        <v>121</v>
      </c>
      <c r="E1519">
        <v>242</v>
      </c>
      <c r="F1519" s="3">
        <v>45714</v>
      </c>
      <c r="G1519" s="3">
        <v>45715</v>
      </c>
      <c r="H1519" t="s">
        <v>12</v>
      </c>
      <c r="I1519" t="s">
        <v>20</v>
      </c>
      <c r="J1519">
        <v>3</v>
      </c>
      <c r="K1519" t="s">
        <v>4</v>
      </c>
      <c r="L1519" t="s">
        <v>18</v>
      </c>
      <c r="M1519">
        <f>[1]!orders[[#This Row],[Ship Date]]-[1]!orders[[#This Row],[Order Date]]</f>
        <v>1</v>
      </c>
      <c r="N1519">
        <f>WEEKNUM([1]!orders[[#This Row],[Order Date]])</f>
        <v>9</v>
      </c>
      <c r="O1519" t="str" cm="1">
        <f t="array" ref="O1519">_xlfn.IFS([1]!orders[[#This Row],[Customer Gender]]="M","Male", [1]!orders[[#This Row],[Customer Gender]]="F","Female", [1]!orders[[#This Row],[Customer Gender]]="O","Other", TRUE,"Unknown")</f>
        <v>Female</v>
      </c>
    </row>
    <row r="1520" spans="1:15" x14ac:dyDescent="0.25">
      <c r="A1520" s="1" t="s">
        <v>1604</v>
      </c>
      <c r="B1520" s="1" t="s">
        <v>24</v>
      </c>
      <c r="C1520" s="1">
        <v>3</v>
      </c>
      <c r="D1520" s="1">
        <v>65.099999999999994</v>
      </c>
      <c r="E1520" s="1">
        <v>195.29999999999998</v>
      </c>
      <c r="F1520" s="2">
        <v>45714</v>
      </c>
      <c r="G1520" s="2">
        <v>45718</v>
      </c>
      <c r="H1520" s="1" t="s">
        <v>8</v>
      </c>
      <c r="I1520" s="1" t="s">
        <v>25</v>
      </c>
      <c r="J1520" s="1">
        <v>4</v>
      </c>
      <c r="K1520" s="1" t="s">
        <v>4</v>
      </c>
      <c r="L1520" s="1" t="s">
        <v>327</v>
      </c>
      <c r="M1520" s="1">
        <f>[1]!orders[[#This Row],[Ship Date]]-[1]!orders[[#This Row],[Order Date]]</f>
        <v>4</v>
      </c>
      <c r="N1520" s="1">
        <f>WEEKNUM([1]!orders[[#This Row],[Order Date]])</f>
        <v>9</v>
      </c>
      <c r="O1520" t="str" cm="1">
        <f t="array" ref="O1520">_xlfn.IFS([1]!orders[[#This Row],[Customer Gender]]="M","Male", [1]!orders[[#This Row],[Customer Gender]]="F","Female", [1]!orders[[#This Row],[Customer Gender]]="O","Other", TRUE,"Unknown")</f>
        <v>Male</v>
      </c>
    </row>
    <row r="1521" spans="1:15" x14ac:dyDescent="0.25">
      <c r="A1521" t="s">
        <v>1605</v>
      </c>
      <c r="B1521" t="s">
        <v>7</v>
      </c>
      <c r="C1521">
        <v>21</v>
      </c>
      <c r="D1521">
        <v>63.8</v>
      </c>
      <c r="E1521">
        <v>1339.8</v>
      </c>
      <c r="F1521" s="3">
        <v>45714</v>
      </c>
      <c r="G1521" s="3">
        <v>45716</v>
      </c>
      <c r="H1521" t="s">
        <v>12</v>
      </c>
      <c r="I1521" t="s">
        <v>3</v>
      </c>
      <c r="J1521">
        <v>4</v>
      </c>
      <c r="K1521" t="s">
        <v>4</v>
      </c>
      <c r="L1521" t="s">
        <v>47</v>
      </c>
      <c r="M1521">
        <f>[1]!orders[[#This Row],[Ship Date]]-[1]!orders[[#This Row],[Order Date]]</f>
        <v>2</v>
      </c>
      <c r="N1521">
        <f>WEEKNUM([1]!orders[[#This Row],[Order Date]])</f>
        <v>9</v>
      </c>
      <c r="O1521" t="str" cm="1">
        <f t="array" ref="O1521">_xlfn.IFS([1]!orders[[#This Row],[Customer Gender]]="M","Male", [1]!orders[[#This Row],[Customer Gender]]="F","Female", [1]!orders[[#This Row],[Customer Gender]]="O","Other", TRUE,"Unknown")</f>
        <v>Female</v>
      </c>
    </row>
    <row r="1522" spans="1:15" x14ac:dyDescent="0.25">
      <c r="A1522" s="1" t="s">
        <v>1606</v>
      </c>
      <c r="B1522" s="1" t="s">
        <v>27</v>
      </c>
      <c r="C1522" s="1">
        <v>1</v>
      </c>
      <c r="D1522" s="1">
        <v>77.7</v>
      </c>
      <c r="E1522" s="1">
        <v>77.7</v>
      </c>
      <c r="F1522" s="2">
        <v>45714</v>
      </c>
      <c r="G1522" s="2">
        <v>45716</v>
      </c>
      <c r="H1522" s="1" t="s">
        <v>8</v>
      </c>
      <c r="I1522" s="1" t="s">
        <v>3</v>
      </c>
      <c r="J1522" s="1">
        <v>4</v>
      </c>
      <c r="K1522" s="1" t="s">
        <v>4</v>
      </c>
      <c r="L1522" s="1" t="s">
        <v>47</v>
      </c>
      <c r="M1522" s="1">
        <f>[1]!orders[[#This Row],[Ship Date]]-[1]!orders[[#This Row],[Order Date]]</f>
        <v>2</v>
      </c>
      <c r="N1522" s="1">
        <f>WEEKNUM([1]!orders[[#This Row],[Order Date]])</f>
        <v>9</v>
      </c>
      <c r="O1522" t="str" cm="1">
        <f t="array" ref="O1522">_xlfn.IFS([1]!orders[[#This Row],[Customer Gender]]="M","Male", [1]!orders[[#This Row],[Customer Gender]]="F","Female", [1]!orders[[#This Row],[Customer Gender]]="O","Other", TRUE,"Unknown")</f>
        <v>Male</v>
      </c>
    </row>
    <row r="1523" spans="1:15" x14ac:dyDescent="0.25">
      <c r="A1523" t="s">
        <v>1607</v>
      </c>
      <c r="B1523" t="s">
        <v>22</v>
      </c>
      <c r="C1523">
        <v>4</v>
      </c>
      <c r="D1523">
        <v>60.3</v>
      </c>
      <c r="E1523">
        <v>241.2</v>
      </c>
      <c r="F1523" s="3">
        <v>45714</v>
      </c>
      <c r="G1523" s="3">
        <v>45714</v>
      </c>
      <c r="H1523" t="s">
        <v>8</v>
      </c>
      <c r="I1523" t="s">
        <v>3</v>
      </c>
      <c r="J1523">
        <v>5</v>
      </c>
      <c r="K1523" t="s">
        <v>4</v>
      </c>
      <c r="L1523" t="s">
        <v>47</v>
      </c>
      <c r="M1523">
        <f>[1]!orders[[#This Row],[Ship Date]]-[1]!orders[[#This Row],[Order Date]]</f>
        <v>0</v>
      </c>
      <c r="N1523">
        <f>WEEKNUM([1]!orders[[#This Row],[Order Date]])</f>
        <v>9</v>
      </c>
      <c r="O1523" t="str" cm="1">
        <f t="array" ref="O1523">_xlfn.IFS([1]!orders[[#This Row],[Customer Gender]]="M","Male", [1]!orders[[#This Row],[Customer Gender]]="F","Female", [1]!orders[[#This Row],[Customer Gender]]="O","Other", TRUE,"Unknown")</f>
        <v>Male</v>
      </c>
    </row>
    <row r="1524" spans="1:15" x14ac:dyDescent="0.25">
      <c r="A1524" s="1" t="s">
        <v>1608</v>
      </c>
      <c r="B1524" s="1" t="s">
        <v>22</v>
      </c>
      <c r="C1524" s="1">
        <v>2</v>
      </c>
      <c r="D1524" s="1">
        <v>124.1</v>
      </c>
      <c r="E1524" s="1">
        <v>248.2</v>
      </c>
      <c r="F1524" s="2">
        <v>45714</v>
      </c>
      <c r="G1524" s="2">
        <v>45717</v>
      </c>
      <c r="H1524" s="1" t="s">
        <v>12</v>
      </c>
      <c r="I1524" s="1" t="s">
        <v>3</v>
      </c>
      <c r="J1524" s="1">
        <v>5</v>
      </c>
      <c r="K1524" s="1" t="s">
        <v>4</v>
      </c>
      <c r="L1524" s="1" t="s">
        <v>47</v>
      </c>
      <c r="M1524" s="1">
        <f>[1]!orders[[#This Row],[Ship Date]]-[1]!orders[[#This Row],[Order Date]]</f>
        <v>3</v>
      </c>
      <c r="N1524" s="1">
        <f>WEEKNUM([1]!orders[[#This Row],[Order Date]])</f>
        <v>9</v>
      </c>
      <c r="O1524" t="str" cm="1">
        <f t="array" ref="O1524">_xlfn.IFS([1]!orders[[#This Row],[Customer Gender]]="M","Male", [1]!orders[[#This Row],[Customer Gender]]="F","Female", [1]!orders[[#This Row],[Customer Gender]]="O","Other", TRUE,"Unknown")</f>
        <v>Female</v>
      </c>
    </row>
    <row r="1525" spans="1:15" x14ac:dyDescent="0.25">
      <c r="A1525" t="s">
        <v>1609</v>
      </c>
      <c r="B1525" t="s">
        <v>113</v>
      </c>
      <c r="C1525">
        <v>7</v>
      </c>
      <c r="D1525">
        <v>66</v>
      </c>
      <c r="E1525">
        <v>462</v>
      </c>
      <c r="F1525" s="3">
        <v>45714</v>
      </c>
      <c r="G1525" s="3">
        <v>45714</v>
      </c>
      <c r="H1525" t="s">
        <v>2</v>
      </c>
      <c r="I1525" t="s">
        <v>36</v>
      </c>
      <c r="J1525">
        <v>4</v>
      </c>
      <c r="K1525" t="s">
        <v>4</v>
      </c>
      <c r="L1525" t="s">
        <v>88</v>
      </c>
      <c r="M1525">
        <f>[1]!orders[[#This Row],[Ship Date]]-[1]!orders[[#This Row],[Order Date]]</f>
        <v>0</v>
      </c>
      <c r="N1525">
        <f>WEEKNUM([1]!orders[[#This Row],[Order Date]])</f>
        <v>9</v>
      </c>
      <c r="O1525" t="str" cm="1">
        <f t="array" ref="O1525">_xlfn.IFS([1]!orders[[#This Row],[Customer Gender]]="M","Male", [1]!orders[[#This Row],[Customer Gender]]="F","Female", [1]!orders[[#This Row],[Customer Gender]]="O","Other", TRUE,"Unknown")</f>
        <v>Unknown</v>
      </c>
    </row>
    <row r="1526" spans="1:15" x14ac:dyDescent="0.25">
      <c r="A1526" s="1" t="s">
        <v>1610</v>
      </c>
      <c r="B1526" s="1" t="s">
        <v>11</v>
      </c>
      <c r="C1526" s="1">
        <v>63</v>
      </c>
      <c r="D1526" s="1">
        <v>118.2</v>
      </c>
      <c r="E1526" s="1">
        <v>7446.6</v>
      </c>
      <c r="F1526" s="2">
        <v>45714</v>
      </c>
      <c r="G1526" s="2">
        <v>45719</v>
      </c>
      <c r="H1526" s="1" t="s">
        <v>2</v>
      </c>
      <c r="I1526" s="1" t="s">
        <v>3</v>
      </c>
      <c r="J1526" s="1">
        <v>4</v>
      </c>
      <c r="K1526" s="1" t="s">
        <v>4</v>
      </c>
      <c r="L1526" s="1" t="s">
        <v>88</v>
      </c>
      <c r="M1526" s="1">
        <f>[1]!orders[[#This Row],[Ship Date]]-[1]!orders[[#This Row],[Order Date]]</f>
        <v>5</v>
      </c>
      <c r="N1526" s="1">
        <f>WEEKNUM([1]!orders[[#This Row],[Order Date]])</f>
        <v>9</v>
      </c>
      <c r="O1526" t="str" cm="1">
        <f t="array" ref="O1526">_xlfn.IFS([1]!orders[[#This Row],[Customer Gender]]="M","Male", [1]!orders[[#This Row],[Customer Gender]]="F","Female", [1]!orders[[#This Row],[Customer Gender]]="O","Other", TRUE,"Unknown")</f>
        <v>Unknown</v>
      </c>
    </row>
    <row r="1527" spans="1:15" x14ac:dyDescent="0.25">
      <c r="A1527" t="s">
        <v>1611</v>
      </c>
      <c r="B1527" t="s">
        <v>22</v>
      </c>
      <c r="C1527">
        <v>5</v>
      </c>
      <c r="D1527">
        <v>64.3</v>
      </c>
      <c r="E1527">
        <v>321.5</v>
      </c>
      <c r="F1527" s="3">
        <v>45714</v>
      </c>
      <c r="G1527" s="3">
        <v>45715</v>
      </c>
      <c r="H1527" t="s">
        <v>8</v>
      </c>
      <c r="I1527" t="s">
        <v>55</v>
      </c>
      <c r="J1527">
        <v>2</v>
      </c>
      <c r="K1527" t="s">
        <v>4</v>
      </c>
      <c r="L1527" t="s">
        <v>186</v>
      </c>
      <c r="M1527">
        <f>[1]!orders[[#This Row],[Ship Date]]-[1]!orders[[#This Row],[Order Date]]</f>
        <v>1</v>
      </c>
      <c r="N1527">
        <f>WEEKNUM([1]!orders[[#This Row],[Order Date]])</f>
        <v>9</v>
      </c>
      <c r="O1527" t="str" cm="1">
        <f t="array" ref="O1527">_xlfn.IFS([1]!orders[[#This Row],[Customer Gender]]="M","Male", [1]!orders[[#This Row],[Customer Gender]]="F","Female", [1]!orders[[#This Row],[Customer Gender]]="O","Other", TRUE,"Unknown")</f>
        <v>Male</v>
      </c>
    </row>
    <row r="1528" spans="1:15" x14ac:dyDescent="0.25">
      <c r="A1528" s="1" t="s">
        <v>1612</v>
      </c>
      <c r="B1528" s="1" t="s">
        <v>7</v>
      </c>
      <c r="C1528" s="1">
        <v>2</v>
      </c>
      <c r="D1528" s="1">
        <v>54.8</v>
      </c>
      <c r="E1528" s="1">
        <v>109.6</v>
      </c>
      <c r="F1528" s="2">
        <v>45714</v>
      </c>
      <c r="G1528" s="2">
        <v>45714</v>
      </c>
      <c r="H1528" s="1" t="s">
        <v>8</v>
      </c>
      <c r="I1528" s="1" t="s">
        <v>3</v>
      </c>
      <c r="J1528" s="1">
        <v>3</v>
      </c>
      <c r="K1528" s="1" t="s">
        <v>4</v>
      </c>
      <c r="L1528" s="1" t="s">
        <v>186</v>
      </c>
      <c r="M1528" s="1">
        <f>[1]!orders[[#This Row],[Ship Date]]-[1]!orders[[#This Row],[Order Date]]</f>
        <v>0</v>
      </c>
      <c r="N1528" s="1">
        <f>WEEKNUM([1]!orders[[#This Row],[Order Date]])</f>
        <v>9</v>
      </c>
      <c r="O1528" t="str" cm="1">
        <f t="array" ref="O1528">_xlfn.IFS([1]!orders[[#This Row],[Customer Gender]]="M","Male", [1]!orders[[#This Row],[Customer Gender]]="F","Female", [1]!orders[[#This Row],[Customer Gender]]="O","Other", TRUE,"Unknown")</f>
        <v>Male</v>
      </c>
    </row>
    <row r="1529" spans="1:15" x14ac:dyDescent="0.25">
      <c r="A1529" t="s">
        <v>1613</v>
      </c>
      <c r="B1529" t="s">
        <v>27</v>
      </c>
      <c r="C1529">
        <v>2</v>
      </c>
      <c r="D1529">
        <v>78.599999999999994</v>
      </c>
      <c r="E1529">
        <v>157.19999999999999</v>
      </c>
      <c r="F1529" s="3">
        <v>45714</v>
      </c>
      <c r="G1529" s="3">
        <v>45715</v>
      </c>
      <c r="H1529" t="s">
        <v>8</v>
      </c>
      <c r="I1529" t="s">
        <v>3</v>
      </c>
      <c r="J1529">
        <v>5</v>
      </c>
      <c r="K1529" t="s">
        <v>4</v>
      </c>
      <c r="L1529" t="s">
        <v>57</v>
      </c>
      <c r="M1529">
        <f>[1]!orders[[#This Row],[Ship Date]]-[1]!orders[[#This Row],[Order Date]]</f>
        <v>1</v>
      </c>
      <c r="N1529">
        <f>WEEKNUM([1]!orders[[#This Row],[Order Date]])</f>
        <v>9</v>
      </c>
      <c r="O1529" t="str" cm="1">
        <f t="array" ref="O1529">_xlfn.IFS([1]!orders[[#This Row],[Customer Gender]]="M","Male", [1]!orders[[#This Row],[Customer Gender]]="F","Female", [1]!orders[[#This Row],[Customer Gender]]="O","Other", TRUE,"Unknown")</f>
        <v>Male</v>
      </c>
    </row>
    <row r="1530" spans="1:15" x14ac:dyDescent="0.25">
      <c r="A1530" s="1" t="s">
        <v>1614</v>
      </c>
      <c r="B1530" s="1" t="s">
        <v>11</v>
      </c>
      <c r="C1530" s="1">
        <v>5</v>
      </c>
      <c r="D1530" s="1">
        <v>158.5</v>
      </c>
      <c r="E1530" s="1">
        <v>792.5</v>
      </c>
      <c r="F1530" s="2">
        <v>45714</v>
      </c>
      <c r="G1530" s="2">
        <v>45716</v>
      </c>
      <c r="H1530" s="1" t="s">
        <v>2</v>
      </c>
      <c r="I1530" s="1" t="s">
        <v>25</v>
      </c>
      <c r="J1530" s="1">
        <v>5</v>
      </c>
      <c r="K1530" s="1" t="s">
        <v>4</v>
      </c>
      <c r="L1530" s="1" t="s">
        <v>57</v>
      </c>
      <c r="M1530" s="1">
        <f>[1]!orders[[#This Row],[Ship Date]]-[1]!orders[[#This Row],[Order Date]]</f>
        <v>2</v>
      </c>
      <c r="N1530" s="1">
        <f>WEEKNUM([1]!orders[[#This Row],[Order Date]])</f>
        <v>9</v>
      </c>
      <c r="O1530" t="str" cm="1">
        <f t="array" ref="O1530">_xlfn.IFS([1]!orders[[#This Row],[Customer Gender]]="M","Male", [1]!orders[[#This Row],[Customer Gender]]="F","Female", [1]!orders[[#This Row],[Customer Gender]]="O","Other", TRUE,"Unknown")</f>
        <v>Unknown</v>
      </c>
    </row>
    <row r="1531" spans="1:15" x14ac:dyDescent="0.25">
      <c r="A1531" t="s">
        <v>1615</v>
      </c>
      <c r="B1531" t="s">
        <v>17</v>
      </c>
      <c r="C1531">
        <v>10</v>
      </c>
      <c r="D1531">
        <v>23.5</v>
      </c>
      <c r="E1531">
        <v>235</v>
      </c>
      <c r="F1531" s="3">
        <v>45714</v>
      </c>
      <c r="G1531" s="3">
        <v>45717</v>
      </c>
      <c r="H1531" t="s">
        <v>8</v>
      </c>
      <c r="I1531" t="s">
        <v>3</v>
      </c>
      <c r="J1531">
        <v>2</v>
      </c>
      <c r="K1531" t="s">
        <v>4</v>
      </c>
      <c r="L1531" t="s">
        <v>59</v>
      </c>
      <c r="M1531">
        <f>[1]!orders[[#This Row],[Ship Date]]-[1]!orders[[#This Row],[Order Date]]</f>
        <v>3</v>
      </c>
      <c r="N1531">
        <f>WEEKNUM([1]!orders[[#This Row],[Order Date]])</f>
        <v>9</v>
      </c>
      <c r="O1531" t="str" cm="1">
        <f t="array" ref="O1531">_xlfn.IFS([1]!orders[[#This Row],[Customer Gender]]="M","Male", [1]!orders[[#This Row],[Customer Gender]]="F","Female", [1]!orders[[#This Row],[Customer Gender]]="O","Other", TRUE,"Unknown")</f>
        <v>Male</v>
      </c>
    </row>
    <row r="1532" spans="1:15" x14ac:dyDescent="0.25">
      <c r="A1532" s="1" t="s">
        <v>1616</v>
      </c>
      <c r="B1532" s="1" t="s">
        <v>22</v>
      </c>
      <c r="C1532" s="1">
        <v>2</v>
      </c>
      <c r="D1532" s="1">
        <v>32.1</v>
      </c>
      <c r="E1532" s="1">
        <v>64.2</v>
      </c>
      <c r="F1532" s="2">
        <v>45714</v>
      </c>
      <c r="G1532" s="2">
        <v>45716</v>
      </c>
      <c r="H1532" s="1" t="s">
        <v>2</v>
      </c>
      <c r="I1532" s="1" t="s">
        <v>36</v>
      </c>
      <c r="J1532" s="1">
        <v>4</v>
      </c>
      <c r="K1532" s="1" t="s">
        <v>4</v>
      </c>
      <c r="L1532" s="1" t="s">
        <v>59</v>
      </c>
      <c r="M1532" s="1">
        <f>[1]!orders[[#This Row],[Ship Date]]-[1]!orders[[#This Row],[Order Date]]</f>
        <v>2</v>
      </c>
      <c r="N1532" s="1">
        <f>WEEKNUM([1]!orders[[#This Row],[Order Date]])</f>
        <v>9</v>
      </c>
      <c r="O1532" t="str" cm="1">
        <f t="array" ref="O1532">_xlfn.IFS([1]!orders[[#This Row],[Customer Gender]]="M","Male", [1]!orders[[#This Row],[Customer Gender]]="F","Female", [1]!orders[[#This Row],[Customer Gender]]="O","Other", TRUE,"Unknown")</f>
        <v>Unknown</v>
      </c>
    </row>
    <row r="1533" spans="1:15" x14ac:dyDescent="0.25">
      <c r="A1533" t="s">
        <v>1617</v>
      </c>
      <c r="B1533" t="s">
        <v>120</v>
      </c>
      <c r="C1533">
        <v>4</v>
      </c>
      <c r="D1533">
        <v>71.900000000000006</v>
      </c>
      <c r="E1533">
        <v>287.60000000000002</v>
      </c>
      <c r="F1533" s="3">
        <v>45714</v>
      </c>
      <c r="G1533" s="3">
        <v>45714</v>
      </c>
      <c r="H1533" t="s">
        <v>8</v>
      </c>
      <c r="I1533" t="s">
        <v>25</v>
      </c>
      <c r="J1533">
        <v>4</v>
      </c>
      <c r="K1533" t="s">
        <v>4</v>
      </c>
      <c r="L1533" t="s">
        <v>95</v>
      </c>
      <c r="M1533">
        <f>[1]!orders[[#This Row],[Ship Date]]-[1]!orders[[#This Row],[Order Date]]</f>
        <v>0</v>
      </c>
      <c r="N1533">
        <f>WEEKNUM([1]!orders[[#This Row],[Order Date]])</f>
        <v>9</v>
      </c>
      <c r="O1533" t="str" cm="1">
        <f t="array" ref="O1533">_xlfn.IFS([1]!orders[[#This Row],[Customer Gender]]="M","Male", [1]!orders[[#This Row],[Customer Gender]]="F","Female", [1]!orders[[#This Row],[Customer Gender]]="O","Other", TRUE,"Unknown")</f>
        <v>Male</v>
      </c>
    </row>
    <row r="1534" spans="1:15" x14ac:dyDescent="0.25">
      <c r="A1534" s="1" t="s">
        <v>1618</v>
      </c>
      <c r="B1534" s="1" t="s">
        <v>17</v>
      </c>
      <c r="C1534" s="1">
        <v>6</v>
      </c>
      <c r="D1534" s="1">
        <v>22.3</v>
      </c>
      <c r="E1534" s="1">
        <v>133.80000000000001</v>
      </c>
      <c r="F1534" s="2">
        <v>45714</v>
      </c>
      <c r="G1534" s="2">
        <v>45715</v>
      </c>
      <c r="H1534" s="1" t="s">
        <v>2</v>
      </c>
      <c r="I1534" s="1" t="s">
        <v>36</v>
      </c>
      <c r="J1534" s="1">
        <v>5</v>
      </c>
      <c r="K1534" s="1" t="s">
        <v>4</v>
      </c>
      <c r="L1534" s="1" t="s">
        <v>67</v>
      </c>
      <c r="M1534" s="1">
        <f>[1]!orders[[#This Row],[Ship Date]]-[1]!orders[[#This Row],[Order Date]]</f>
        <v>1</v>
      </c>
      <c r="N1534" s="1">
        <f>WEEKNUM([1]!orders[[#This Row],[Order Date]])</f>
        <v>9</v>
      </c>
      <c r="O1534" t="str" cm="1">
        <f t="array" ref="O1534">_xlfn.IFS([1]!orders[[#This Row],[Customer Gender]]="M","Male", [1]!orders[[#This Row],[Customer Gender]]="F","Female", [1]!orders[[#This Row],[Customer Gender]]="O","Other", TRUE,"Unknown")</f>
        <v>Unknown</v>
      </c>
    </row>
    <row r="1535" spans="1:15" x14ac:dyDescent="0.25">
      <c r="A1535" t="s">
        <v>1619</v>
      </c>
      <c r="B1535" t="s">
        <v>52</v>
      </c>
      <c r="C1535">
        <v>2</v>
      </c>
      <c r="D1535">
        <v>29.5</v>
      </c>
      <c r="E1535">
        <v>59</v>
      </c>
      <c r="F1535" s="3">
        <v>45714</v>
      </c>
      <c r="G1535" s="3">
        <v>45715</v>
      </c>
      <c r="H1535" t="s">
        <v>12</v>
      </c>
      <c r="I1535" t="s">
        <v>3</v>
      </c>
      <c r="J1535">
        <v>5</v>
      </c>
      <c r="K1535" t="s">
        <v>4</v>
      </c>
      <c r="L1535" t="s">
        <v>67</v>
      </c>
      <c r="M1535">
        <f>[1]!orders[[#This Row],[Ship Date]]-[1]!orders[[#This Row],[Order Date]]</f>
        <v>1</v>
      </c>
      <c r="N1535">
        <f>WEEKNUM([1]!orders[[#This Row],[Order Date]])</f>
        <v>9</v>
      </c>
      <c r="O1535" t="str" cm="1">
        <f t="array" ref="O1535">_xlfn.IFS([1]!orders[[#This Row],[Customer Gender]]="M","Male", [1]!orders[[#This Row],[Customer Gender]]="F","Female", [1]!orders[[#This Row],[Customer Gender]]="O","Other", TRUE,"Unknown")</f>
        <v>Female</v>
      </c>
    </row>
    <row r="1536" spans="1:15" x14ac:dyDescent="0.25">
      <c r="A1536" s="1" t="s">
        <v>1620</v>
      </c>
      <c r="B1536" s="1" t="s">
        <v>24</v>
      </c>
      <c r="C1536" s="1">
        <v>4</v>
      </c>
      <c r="D1536" s="1">
        <v>41.9</v>
      </c>
      <c r="E1536" s="1">
        <v>167.6</v>
      </c>
      <c r="F1536" s="2">
        <v>45714</v>
      </c>
      <c r="G1536" s="2">
        <v>45718</v>
      </c>
      <c r="H1536" s="1" t="s">
        <v>12</v>
      </c>
      <c r="I1536" s="1" t="s">
        <v>3</v>
      </c>
      <c r="J1536" s="1">
        <v>3</v>
      </c>
      <c r="K1536" s="1" t="s">
        <v>4</v>
      </c>
      <c r="L1536" s="1" t="s">
        <v>100</v>
      </c>
      <c r="M1536" s="1">
        <f>[1]!orders[[#This Row],[Ship Date]]-[1]!orders[[#This Row],[Order Date]]</f>
        <v>4</v>
      </c>
      <c r="N1536" s="1">
        <f>WEEKNUM([1]!orders[[#This Row],[Order Date]])</f>
        <v>9</v>
      </c>
      <c r="O1536" t="str" cm="1">
        <f t="array" ref="O1536">_xlfn.IFS([1]!orders[[#This Row],[Customer Gender]]="M","Male", [1]!orders[[#This Row],[Customer Gender]]="F","Female", [1]!orders[[#This Row],[Customer Gender]]="O","Other", TRUE,"Unknown")</f>
        <v>Female</v>
      </c>
    </row>
    <row r="1537" spans="1:15" x14ac:dyDescent="0.25">
      <c r="A1537" t="s">
        <v>1621</v>
      </c>
      <c r="B1537" t="s">
        <v>24</v>
      </c>
      <c r="C1537">
        <v>3</v>
      </c>
      <c r="D1537">
        <v>107.8</v>
      </c>
      <c r="E1537">
        <v>323.39999999999998</v>
      </c>
      <c r="F1537" s="3">
        <v>45714</v>
      </c>
      <c r="G1537" s="3">
        <v>45715</v>
      </c>
      <c r="H1537" t="s">
        <v>8</v>
      </c>
      <c r="I1537" t="s">
        <v>20</v>
      </c>
      <c r="J1537">
        <v>5</v>
      </c>
      <c r="K1537" t="s">
        <v>4</v>
      </c>
      <c r="L1537" t="s">
        <v>626</v>
      </c>
      <c r="M1537">
        <f>[1]!orders[[#This Row],[Ship Date]]-[1]!orders[[#This Row],[Order Date]]</f>
        <v>1</v>
      </c>
      <c r="N1537">
        <f>WEEKNUM([1]!orders[[#This Row],[Order Date]])</f>
        <v>9</v>
      </c>
      <c r="O1537" t="str" cm="1">
        <f t="array" ref="O1537">_xlfn.IFS([1]!orders[[#This Row],[Customer Gender]]="M","Male", [1]!orders[[#This Row],[Customer Gender]]="F","Female", [1]!orders[[#This Row],[Customer Gender]]="O","Other", TRUE,"Unknown")</f>
        <v>Male</v>
      </c>
    </row>
    <row r="1538" spans="1:15" x14ac:dyDescent="0.25">
      <c r="A1538" s="1" t="s">
        <v>1622</v>
      </c>
      <c r="B1538" s="1" t="s">
        <v>17</v>
      </c>
      <c r="C1538" s="1">
        <v>5</v>
      </c>
      <c r="D1538" s="1">
        <v>18.100000000000001</v>
      </c>
      <c r="E1538" s="1">
        <v>90.5</v>
      </c>
      <c r="F1538" s="2">
        <v>45714</v>
      </c>
      <c r="G1538" s="2">
        <v>45717</v>
      </c>
      <c r="H1538" s="1" t="s">
        <v>8</v>
      </c>
      <c r="I1538" s="1" t="s">
        <v>3</v>
      </c>
      <c r="J1538" s="1">
        <v>5</v>
      </c>
      <c r="K1538" s="1" t="s">
        <v>4</v>
      </c>
      <c r="L1538" s="1" t="s">
        <v>13</v>
      </c>
      <c r="M1538" s="1">
        <f>[1]!orders[[#This Row],[Ship Date]]-[1]!orders[[#This Row],[Order Date]]</f>
        <v>3</v>
      </c>
      <c r="N1538" s="1">
        <f>WEEKNUM([1]!orders[[#This Row],[Order Date]])</f>
        <v>9</v>
      </c>
      <c r="O1538" t="str" cm="1">
        <f t="array" ref="O1538">_xlfn.IFS([1]!orders[[#This Row],[Customer Gender]]="M","Male", [1]!orders[[#This Row],[Customer Gender]]="F","Female", [1]!orders[[#This Row],[Customer Gender]]="O","Other", TRUE,"Unknown")</f>
        <v>Male</v>
      </c>
    </row>
    <row r="1539" spans="1:15" x14ac:dyDescent="0.25">
      <c r="A1539" t="s">
        <v>1623</v>
      </c>
      <c r="B1539" t="s">
        <v>54</v>
      </c>
      <c r="C1539">
        <v>9</v>
      </c>
      <c r="D1539">
        <v>79.8</v>
      </c>
      <c r="E1539">
        <v>718.19999999999993</v>
      </c>
      <c r="F1539" s="3">
        <v>45714</v>
      </c>
      <c r="G1539" s="3">
        <v>45715</v>
      </c>
      <c r="H1539" t="s">
        <v>12</v>
      </c>
      <c r="I1539" t="s">
        <v>20</v>
      </c>
      <c r="J1539">
        <v>3</v>
      </c>
      <c r="K1539" t="s">
        <v>4</v>
      </c>
      <c r="L1539" t="s">
        <v>132</v>
      </c>
      <c r="M1539">
        <f>[1]!orders[[#This Row],[Ship Date]]-[1]!orders[[#This Row],[Order Date]]</f>
        <v>1</v>
      </c>
      <c r="N1539">
        <f>WEEKNUM([1]!orders[[#This Row],[Order Date]])</f>
        <v>9</v>
      </c>
      <c r="O1539" t="str" cm="1">
        <f t="array" ref="O1539">_xlfn.IFS([1]!orders[[#This Row],[Customer Gender]]="M","Male", [1]!orders[[#This Row],[Customer Gender]]="F","Female", [1]!orders[[#This Row],[Customer Gender]]="O","Other", TRUE,"Unknown")</f>
        <v>Female</v>
      </c>
    </row>
    <row r="1540" spans="1:15" x14ac:dyDescent="0.25">
      <c r="A1540" s="1" t="s">
        <v>1624</v>
      </c>
      <c r="B1540" s="1" t="s">
        <v>1</v>
      </c>
      <c r="C1540" s="1">
        <v>3</v>
      </c>
      <c r="D1540" s="1">
        <v>22.3</v>
      </c>
      <c r="E1540" s="1">
        <v>66.900000000000006</v>
      </c>
      <c r="F1540" s="2">
        <v>45714</v>
      </c>
      <c r="G1540" s="2">
        <v>45717</v>
      </c>
      <c r="H1540" s="1" t="s">
        <v>12</v>
      </c>
      <c r="I1540" s="1" t="s">
        <v>3</v>
      </c>
      <c r="J1540" s="1">
        <v>5</v>
      </c>
      <c r="K1540" s="1" t="s">
        <v>4</v>
      </c>
      <c r="L1540" s="1" t="s">
        <v>132</v>
      </c>
      <c r="M1540" s="1">
        <f>[1]!orders[[#This Row],[Ship Date]]-[1]!orders[[#This Row],[Order Date]]</f>
        <v>3</v>
      </c>
      <c r="N1540" s="1">
        <f>WEEKNUM([1]!orders[[#This Row],[Order Date]])</f>
        <v>9</v>
      </c>
      <c r="O1540" t="str" cm="1">
        <f t="array" ref="O1540">_xlfn.IFS([1]!orders[[#This Row],[Customer Gender]]="M","Male", [1]!orders[[#This Row],[Customer Gender]]="F","Female", [1]!orders[[#This Row],[Customer Gender]]="O","Other", TRUE,"Unknown")</f>
        <v>Female</v>
      </c>
    </row>
    <row r="1541" spans="1:15" x14ac:dyDescent="0.25">
      <c r="A1541" t="s">
        <v>1625</v>
      </c>
      <c r="B1541" t="s">
        <v>29</v>
      </c>
      <c r="C1541">
        <v>1</v>
      </c>
      <c r="D1541">
        <v>22.9</v>
      </c>
      <c r="E1541">
        <v>22.9</v>
      </c>
      <c r="F1541" s="3">
        <v>45714</v>
      </c>
      <c r="G1541" s="3">
        <v>45714</v>
      </c>
      <c r="H1541" t="s">
        <v>12</v>
      </c>
      <c r="I1541" t="s">
        <v>20</v>
      </c>
      <c r="J1541">
        <v>4</v>
      </c>
      <c r="K1541" t="s">
        <v>4</v>
      </c>
      <c r="L1541" t="s">
        <v>132</v>
      </c>
      <c r="M1541">
        <f>[1]!orders[[#This Row],[Ship Date]]-[1]!orders[[#This Row],[Order Date]]</f>
        <v>0</v>
      </c>
      <c r="N1541">
        <f>WEEKNUM([1]!orders[[#This Row],[Order Date]])</f>
        <v>9</v>
      </c>
      <c r="O1541" t="str" cm="1">
        <f t="array" ref="O1541">_xlfn.IFS([1]!orders[[#This Row],[Customer Gender]]="M","Male", [1]!orders[[#This Row],[Customer Gender]]="F","Female", [1]!orders[[#This Row],[Customer Gender]]="O","Other", TRUE,"Unknown")</f>
        <v>Female</v>
      </c>
    </row>
    <row r="1542" spans="1:15" x14ac:dyDescent="0.25">
      <c r="A1542" s="1" t="s">
        <v>1626</v>
      </c>
      <c r="B1542" s="1" t="s">
        <v>1</v>
      </c>
      <c r="C1542" s="1">
        <v>3</v>
      </c>
      <c r="D1542" s="1">
        <v>16.2</v>
      </c>
      <c r="E1542" s="1">
        <v>48.599999999999994</v>
      </c>
      <c r="F1542" s="2">
        <v>45715</v>
      </c>
      <c r="G1542" s="2">
        <v>45715</v>
      </c>
      <c r="H1542" s="1" t="s">
        <v>8</v>
      </c>
      <c r="I1542" s="1" t="s">
        <v>55</v>
      </c>
      <c r="J1542" s="1">
        <v>5</v>
      </c>
      <c r="K1542" s="1" t="s">
        <v>4</v>
      </c>
      <c r="L1542" s="1" t="s">
        <v>18</v>
      </c>
      <c r="M1542" s="1">
        <f>[1]!orders[[#This Row],[Ship Date]]-[1]!orders[[#This Row],[Order Date]]</f>
        <v>0</v>
      </c>
      <c r="N1542" s="1">
        <f>WEEKNUM([1]!orders[[#This Row],[Order Date]])</f>
        <v>9</v>
      </c>
      <c r="O1542" t="str" cm="1">
        <f t="array" ref="O1542">_xlfn.IFS([1]!orders[[#This Row],[Customer Gender]]="M","Male", [1]!orders[[#This Row],[Customer Gender]]="F","Female", [1]!orders[[#This Row],[Customer Gender]]="O","Other", TRUE,"Unknown")</f>
        <v>Male</v>
      </c>
    </row>
    <row r="1543" spans="1:15" x14ac:dyDescent="0.25">
      <c r="A1543" t="s">
        <v>1627</v>
      </c>
      <c r="B1543" t="s">
        <v>39</v>
      </c>
      <c r="C1543">
        <v>4</v>
      </c>
      <c r="D1543">
        <v>59.5</v>
      </c>
      <c r="E1543">
        <v>238</v>
      </c>
      <c r="F1543" s="3">
        <v>45715</v>
      </c>
      <c r="G1543" s="3">
        <v>45716</v>
      </c>
      <c r="H1543" t="s">
        <v>8</v>
      </c>
      <c r="I1543" t="s">
        <v>20</v>
      </c>
      <c r="J1543">
        <v>5</v>
      </c>
      <c r="K1543" t="s">
        <v>4</v>
      </c>
      <c r="L1543" t="s">
        <v>18</v>
      </c>
      <c r="M1543">
        <f>[1]!orders[[#This Row],[Ship Date]]-[1]!orders[[#This Row],[Order Date]]</f>
        <v>1</v>
      </c>
      <c r="N1543">
        <f>WEEKNUM([1]!orders[[#This Row],[Order Date]])</f>
        <v>9</v>
      </c>
      <c r="O1543" t="str" cm="1">
        <f t="array" ref="O1543">_xlfn.IFS([1]!orders[[#This Row],[Customer Gender]]="M","Male", [1]!orders[[#This Row],[Customer Gender]]="F","Female", [1]!orders[[#This Row],[Customer Gender]]="O","Other", TRUE,"Unknown")</f>
        <v>Male</v>
      </c>
    </row>
    <row r="1544" spans="1:15" x14ac:dyDescent="0.25">
      <c r="A1544" s="1" t="s">
        <v>1628</v>
      </c>
      <c r="B1544" s="1" t="s">
        <v>131</v>
      </c>
      <c r="C1544" s="1">
        <v>5</v>
      </c>
      <c r="D1544" s="1">
        <v>26.2</v>
      </c>
      <c r="E1544" s="1">
        <v>131</v>
      </c>
      <c r="F1544" s="2">
        <v>45715</v>
      </c>
      <c r="G1544" s="2">
        <v>45718</v>
      </c>
      <c r="H1544" s="1" t="s">
        <v>8</v>
      </c>
      <c r="I1544" s="1" t="s">
        <v>36</v>
      </c>
      <c r="J1544" s="1">
        <v>2</v>
      </c>
      <c r="K1544" s="1" t="s">
        <v>4</v>
      </c>
      <c r="L1544" s="1" t="s">
        <v>18</v>
      </c>
      <c r="M1544" s="1">
        <f>[1]!orders[[#This Row],[Ship Date]]-[1]!orders[[#This Row],[Order Date]]</f>
        <v>3</v>
      </c>
      <c r="N1544" s="1">
        <f>WEEKNUM([1]!orders[[#This Row],[Order Date]])</f>
        <v>9</v>
      </c>
      <c r="O1544" t="str" cm="1">
        <f t="array" ref="O1544">_xlfn.IFS([1]!orders[[#This Row],[Customer Gender]]="M","Male", [1]!orders[[#This Row],[Customer Gender]]="F","Female", [1]!orders[[#This Row],[Customer Gender]]="O","Other", TRUE,"Unknown")</f>
        <v>Male</v>
      </c>
    </row>
    <row r="1545" spans="1:15" x14ac:dyDescent="0.25">
      <c r="A1545" t="s">
        <v>1629</v>
      </c>
      <c r="B1545" t="s">
        <v>15</v>
      </c>
      <c r="C1545">
        <v>1</v>
      </c>
      <c r="D1545">
        <v>44.2</v>
      </c>
      <c r="E1545">
        <v>44.2</v>
      </c>
      <c r="F1545" s="3">
        <v>45715</v>
      </c>
      <c r="G1545" s="3">
        <v>45718</v>
      </c>
      <c r="H1545" t="s">
        <v>12</v>
      </c>
      <c r="I1545" t="s">
        <v>20</v>
      </c>
      <c r="J1545">
        <v>4</v>
      </c>
      <c r="K1545" t="s">
        <v>4</v>
      </c>
      <c r="L1545" t="s">
        <v>18</v>
      </c>
      <c r="M1545">
        <f>[1]!orders[[#This Row],[Ship Date]]-[1]!orders[[#This Row],[Order Date]]</f>
        <v>3</v>
      </c>
      <c r="N1545">
        <f>WEEKNUM([1]!orders[[#This Row],[Order Date]])</f>
        <v>9</v>
      </c>
      <c r="O1545" t="str" cm="1">
        <f t="array" ref="O1545">_xlfn.IFS([1]!orders[[#This Row],[Customer Gender]]="M","Male", [1]!orders[[#This Row],[Customer Gender]]="F","Female", [1]!orders[[#This Row],[Customer Gender]]="O","Other", TRUE,"Unknown")</f>
        <v>Female</v>
      </c>
    </row>
    <row r="1546" spans="1:15" x14ac:dyDescent="0.25">
      <c r="A1546" s="1" t="s">
        <v>1630</v>
      </c>
      <c r="B1546" s="1" t="s">
        <v>31</v>
      </c>
      <c r="C1546" s="1">
        <v>2</v>
      </c>
      <c r="D1546" s="1">
        <v>59.2</v>
      </c>
      <c r="E1546" s="1">
        <v>118.4</v>
      </c>
      <c r="F1546" s="2">
        <v>45715</v>
      </c>
      <c r="G1546" s="2">
        <v>45715</v>
      </c>
      <c r="H1546" s="1" t="s">
        <v>12</v>
      </c>
      <c r="I1546" s="1" t="s">
        <v>20</v>
      </c>
      <c r="J1546" s="1">
        <v>2</v>
      </c>
      <c r="K1546" s="1" t="s">
        <v>4</v>
      </c>
      <c r="L1546" s="1" t="s">
        <v>18</v>
      </c>
      <c r="M1546" s="1">
        <f>[1]!orders[[#This Row],[Ship Date]]-[1]!orders[[#This Row],[Order Date]]</f>
        <v>0</v>
      </c>
      <c r="N1546" s="1">
        <f>WEEKNUM([1]!orders[[#This Row],[Order Date]])</f>
        <v>9</v>
      </c>
      <c r="O1546" t="str" cm="1">
        <f t="array" ref="O1546">_xlfn.IFS([1]!orders[[#This Row],[Customer Gender]]="M","Male", [1]!orders[[#This Row],[Customer Gender]]="F","Female", [1]!orders[[#This Row],[Customer Gender]]="O","Other", TRUE,"Unknown")</f>
        <v>Female</v>
      </c>
    </row>
    <row r="1547" spans="1:15" x14ac:dyDescent="0.25">
      <c r="A1547" t="s">
        <v>1631</v>
      </c>
      <c r="B1547" t="s">
        <v>108</v>
      </c>
      <c r="C1547">
        <v>4</v>
      </c>
      <c r="D1547">
        <v>41.5</v>
      </c>
      <c r="E1547">
        <v>166</v>
      </c>
      <c r="F1547" s="3">
        <v>45715</v>
      </c>
      <c r="G1547" s="3">
        <v>45717</v>
      </c>
      <c r="H1547" t="s">
        <v>12</v>
      </c>
      <c r="I1547" t="s">
        <v>3</v>
      </c>
      <c r="J1547">
        <v>4</v>
      </c>
      <c r="K1547" t="s">
        <v>4</v>
      </c>
      <c r="L1547" t="s">
        <v>83</v>
      </c>
      <c r="M1547">
        <f>[1]!orders[[#This Row],[Ship Date]]-[1]!orders[[#This Row],[Order Date]]</f>
        <v>2</v>
      </c>
      <c r="N1547">
        <f>WEEKNUM([1]!orders[[#This Row],[Order Date]])</f>
        <v>9</v>
      </c>
      <c r="O1547" t="str" cm="1">
        <f t="array" ref="O1547">_xlfn.IFS([1]!orders[[#This Row],[Customer Gender]]="M","Male", [1]!orders[[#This Row],[Customer Gender]]="F","Female", [1]!orders[[#This Row],[Customer Gender]]="O","Other", TRUE,"Unknown")</f>
        <v>Female</v>
      </c>
    </row>
    <row r="1548" spans="1:15" x14ac:dyDescent="0.25">
      <c r="A1548" s="1" t="s">
        <v>1632</v>
      </c>
      <c r="B1548" s="1" t="s">
        <v>24</v>
      </c>
      <c r="C1548" s="1">
        <v>12</v>
      </c>
      <c r="D1548" s="1">
        <v>67.099999999999994</v>
      </c>
      <c r="E1548" s="1">
        <v>805.19999999999993</v>
      </c>
      <c r="F1548" s="2">
        <v>45715</v>
      </c>
      <c r="G1548" s="2">
        <v>45729</v>
      </c>
      <c r="H1548" s="1" t="s">
        <v>12</v>
      </c>
      <c r="I1548" s="1" t="s">
        <v>3</v>
      </c>
      <c r="J1548" s="1">
        <v>5</v>
      </c>
      <c r="K1548" s="1" t="s">
        <v>4</v>
      </c>
      <c r="L1548" s="1" t="s">
        <v>143</v>
      </c>
      <c r="M1548" s="1">
        <f>[1]!orders[[#This Row],[Ship Date]]-[1]!orders[[#This Row],[Order Date]]</f>
        <v>14</v>
      </c>
      <c r="N1548" s="1">
        <f>WEEKNUM([1]!orders[[#This Row],[Order Date]])</f>
        <v>9</v>
      </c>
      <c r="O1548" t="str" cm="1">
        <f t="array" ref="O1548">_xlfn.IFS([1]!orders[[#This Row],[Customer Gender]]="M","Male", [1]!orders[[#This Row],[Customer Gender]]="F","Female", [1]!orders[[#This Row],[Customer Gender]]="O","Other", TRUE,"Unknown")</f>
        <v>Female</v>
      </c>
    </row>
    <row r="1549" spans="1:15" x14ac:dyDescent="0.25">
      <c r="A1549" t="s">
        <v>1633</v>
      </c>
      <c r="B1549" t="s">
        <v>29</v>
      </c>
      <c r="C1549">
        <v>2</v>
      </c>
      <c r="D1549">
        <v>28.7</v>
      </c>
      <c r="E1549">
        <v>57.4</v>
      </c>
      <c r="F1549" s="3">
        <v>45715</v>
      </c>
      <c r="G1549" s="3">
        <v>45719</v>
      </c>
      <c r="H1549" t="s">
        <v>12</v>
      </c>
      <c r="I1549" t="s">
        <v>20</v>
      </c>
      <c r="J1549">
        <v>4</v>
      </c>
      <c r="K1549" t="s">
        <v>4</v>
      </c>
      <c r="L1549" t="s">
        <v>40</v>
      </c>
      <c r="M1549">
        <f>[1]!orders[[#This Row],[Ship Date]]-[1]!orders[[#This Row],[Order Date]]</f>
        <v>4</v>
      </c>
      <c r="N1549">
        <f>WEEKNUM([1]!orders[[#This Row],[Order Date]])</f>
        <v>9</v>
      </c>
      <c r="O1549" t="str" cm="1">
        <f t="array" ref="O1549">_xlfn.IFS([1]!orders[[#This Row],[Customer Gender]]="M","Male", [1]!orders[[#This Row],[Customer Gender]]="F","Female", [1]!orders[[#This Row],[Customer Gender]]="O","Other", TRUE,"Unknown")</f>
        <v>Female</v>
      </c>
    </row>
    <row r="1550" spans="1:15" x14ac:dyDescent="0.25">
      <c r="A1550" s="1" t="s">
        <v>1634</v>
      </c>
      <c r="B1550" s="1" t="s">
        <v>11</v>
      </c>
      <c r="C1550" s="1">
        <v>4</v>
      </c>
      <c r="D1550" s="1">
        <v>132.1</v>
      </c>
      <c r="E1550" s="1">
        <v>528.4</v>
      </c>
      <c r="F1550" s="2">
        <v>45715</v>
      </c>
      <c r="G1550" s="2">
        <v>45716</v>
      </c>
      <c r="H1550" s="1" t="s">
        <v>12</v>
      </c>
      <c r="I1550" s="1" t="s">
        <v>3</v>
      </c>
      <c r="J1550" s="1">
        <v>3</v>
      </c>
      <c r="K1550" s="1" t="s">
        <v>4</v>
      </c>
      <c r="L1550" s="1" t="s">
        <v>40</v>
      </c>
      <c r="M1550" s="1">
        <f>[1]!orders[[#This Row],[Ship Date]]-[1]!orders[[#This Row],[Order Date]]</f>
        <v>1</v>
      </c>
      <c r="N1550" s="1">
        <f>WEEKNUM([1]!orders[[#This Row],[Order Date]])</f>
        <v>9</v>
      </c>
      <c r="O1550" t="str" cm="1">
        <f t="array" ref="O1550">_xlfn.IFS([1]!orders[[#This Row],[Customer Gender]]="M","Male", [1]!orders[[#This Row],[Customer Gender]]="F","Female", [1]!orders[[#This Row],[Customer Gender]]="O","Other", TRUE,"Unknown")</f>
        <v>Female</v>
      </c>
    </row>
    <row r="1551" spans="1:15" x14ac:dyDescent="0.25">
      <c r="A1551" t="s">
        <v>1635</v>
      </c>
      <c r="B1551" t="s">
        <v>131</v>
      </c>
      <c r="C1551">
        <v>2</v>
      </c>
      <c r="D1551">
        <v>47</v>
      </c>
      <c r="E1551">
        <v>94</v>
      </c>
      <c r="F1551" s="3">
        <v>45715</v>
      </c>
      <c r="G1551" s="3">
        <v>45717</v>
      </c>
      <c r="H1551" t="s">
        <v>8</v>
      </c>
      <c r="I1551" t="s">
        <v>55</v>
      </c>
      <c r="J1551">
        <v>4</v>
      </c>
      <c r="K1551" t="s">
        <v>4</v>
      </c>
      <c r="L1551" t="s">
        <v>47</v>
      </c>
      <c r="M1551">
        <f>[1]!orders[[#This Row],[Ship Date]]-[1]!orders[[#This Row],[Order Date]]</f>
        <v>2</v>
      </c>
      <c r="N1551">
        <f>WEEKNUM([1]!orders[[#This Row],[Order Date]])</f>
        <v>9</v>
      </c>
      <c r="O1551" t="str" cm="1">
        <f t="array" ref="O1551">_xlfn.IFS([1]!orders[[#This Row],[Customer Gender]]="M","Male", [1]!orders[[#This Row],[Customer Gender]]="F","Female", [1]!orders[[#This Row],[Customer Gender]]="O","Other", TRUE,"Unknown")</f>
        <v>Male</v>
      </c>
    </row>
    <row r="1552" spans="1:15" x14ac:dyDescent="0.25">
      <c r="A1552" s="1" t="s">
        <v>1636</v>
      </c>
      <c r="B1552" s="1" t="s">
        <v>29</v>
      </c>
      <c r="C1552" s="1">
        <v>2</v>
      </c>
      <c r="D1552" s="1">
        <v>41.6</v>
      </c>
      <c r="E1552" s="1">
        <v>83.2</v>
      </c>
      <c r="F1552" s="2">
        <v>45715</v>
      </c>
      <c r="G1552" s="2">
        <v>45719</v>
      </c>
      <c r="H1552" s="1" t="s">
        <v>8</v>
      </c>
      <c r="I1552" s="1" t="s">
        <v>20</v>
      </c>
      <c r="J1552" s="1">
        <v>5</v>
      </c>
      <c r="K1552" s="1" t="s">
        <v>4</v>
      </c>
      <c r="L1552" s="1" t="s">
        <v>47</v>
      </c>
      <c r="M1552" s="1">
        <f>[1]!orders[[#This Row],[Ship Date]]-[1]!orders[[#This Row],[Order Date]]</f>
        <v>4</v>
      </c>
      <c r="N1552" s="1">
        <f>WEEKNUM([1]!orders[[#This Row],[Order Date]])</f>
        <v>9</v>
      </c>
      <c r="O1552" t="str" cm="1">
        <f t="array" ref="O1552">_xlfn.IFS([1]!orders[[#This Row],[Customer Gender]]="M","Male", [1]!orders[[#This Row],[Customer Gender]]="F","Female", [1]!orders[[#This Row],[Customer Gender]]="O","Other", TRUE,"Unknown")</f>
        <v>Male</v>
      </c>
    </row>
    <row r="1553" spans="1:15" x14ac:dyDescent="0.25">
      <c r="A1553" t="s">
        <v>1637</v>
      </c>
      <c r="B1553" t="s">
        <v>29</v>
      </c>
      <c r="C1553">
        <v>38</v>
      </c>
      <c r="D1553">
        <v>17.3</v>
      </c>
      <c r="E1553">
        <v>657.4</v>
      </c>
      <c r="F1553" s="3">
        <v>45715</v>
      </c>
      <c r="G1553" s="3">
        <v>45717</v>
      </c>
      <c r="H1553" t="s">
        <v>8</v>
      </c>
      <c r="I1553" t="s">
        <v>25</v>
      </c>
      <c r="J1553">
        <v>5</v>
      </c>
      <c r="K1553" t="s">
        <v>4</v>
      </c>
      <c r="L1553" t="s">
        <v>47</v>
      </c>
      <c r="M1553">
        <f>[1]!orders[[#This Row],[Ship Date]]-[1]!orders[[#This Row],[Order Date]]</f>
        <v>2</v>
      </c>
      <c r="N1553">
        <f>WEEKNUM([1]!orders[[#This Row],[Order Date]])</f>
        <v>9</v>
      </c>
      <c r="O1553" t="str" cm="1">
        <f t="array" ref="O1553">_xlfn.IFS([1]!orders[[#This Row],[Customer Gender]]="M","Male", [1]!orders[[#This Row],[Customer Gender]]="F","Female", [1]!orders[[#This Row],[Customer Gender]]="O","Other", TRUE,"Unknown")</f>
        <v>Male</v>
      </c>
    </row>
    <row r="1554" spans="1:15" x14ac:dyDescent="0.25">
      <c r="A1554" s="1" t="s">
        <v>1638</v>
      </c>
      <c r="B1554" s="1" t="s">
        <v>61</v>
      </c>
      <c r="C1554" s="1">
        <v>3</v>
      </c>
      <c r="D1554" s="1">
        <v>41.8</v>
      </c>
      <c r="E1554" s="1">
        <v>125.39999999999999</v>
      </c>
      <c r="F1554" s="2">
        <v>45715</v>
      </c>
      <c r="G1554" s="2">
        <v>45718</v>
      </c>
      <c r="H1554" s="1" t="s">
        <v>8</v>
      </c>
      <c r="I1554" s="1" t="s">
        <v>3</v>
      </c>
      <c r="J1554" s="1">
        <v>5</v>
      </c>
      <c r="K1554" s="1" t="s">
        <v>4</v>
      </c>
      <c r="L1554" s="1" t="s">
        <v>47</v>
      </c>
      <c r="M1554" s="1">
        <f>[1]!orders[[#This Row],[Ship Date]]-[1]!orders[[#This Row],[Order Date]]</f>
        <v>3</v>
      </c>
      <c r="N1554" s="1">
        <f>WEEKNUM([1]!orders[[#This Row],[Order Date]])</f>
        <v>9</v>
      </c>
      <c r="O1554" t="str" cm="1">
        <f t="array" ref="O1554">_xlfn.IFS([1]!orders[[#This Row],[Customer Gender]]="M","Male", [1]!orders[[#This Row],[Customer Gender]]="F","Female", [1]!orders[[#This Row],[Customer Gender]]="O","Other", TRUE,"Unknown")</f>
        <v>Male</v>
      </c>
    </row>
    <row r="1555" spans="1:15" x14ac:dyDescent="0.25">
      <c r="A1555" t="s">
        <v>1639</v>
      </c>
      <c r="B1555" t="s">
        <v>39</v>
      </c>
      <c r="C1555">
        <v>1</v>
      </c>
      <c r="D1555">
        <v>24</v>
      </c>
      <c r="E1555">
        <v>24</v>
      </c>
      <c r="F1555" s="3">
        <v>45715</v>
      </c>
      <c r="G1555" s="3">
        <v>45716</v>
      </c>
      <c r="H1555" t="s">
        <v>12</v>
      </c>
      <c r="I1555" t="s">
        <v>3</v>
      </c>
      <c r="J1555">
        <v>4</v>
      </c>
      <c r="K1555" t="s">
        <v>4</v>
      </c>
      <c r="L1555" t="s">
        <v>88</v>
      </c>
      <c r="M1555">
        <f>[1]!orders[[#This Row],[Ship Date]]-[1]!orders[[#This Row],[Order Date]]</f>
        <v>1</v>
      </c>
      <c r="N1555">
        <f>WEEKNUM([1]!orders[[#This Row],[Order Date]])</f>
        <v>9</v>
      </c>
      <c r="O1555" t="str" cm="1">
        <f t="array" ref="O1555">_xlfn.IFS([1]!orders[[#This Row],[Customer Gender]]="M","Male", [1]!orders[[#This Row],[Customer Gender]]="F","Female", [1]!orders[[#This Row],[Customer Gender]]="O","Other", TRUE,"Unknown")</f>
        <v>Female</v>
      </c>
    </row>
    <row r="1556" spans="1:15" x14ac:dyDescent="0.25">
      <c r="A1556" s="1" t="s">
        <v>1640</v>
      </c>
      <c r="B1556" s="1" t="s">
        <v>66</v>
      </c>
      <c r="C1556" s="1">
        <v>9</v>
      </c>
      <c r="D1556" s="1">
        <v>18.5</v>
      </c>
      <c r="E1556" s="1">
        <v>166.5</v>
      </c>
      <c r="F1556" s="2">
        <v>45715</v>
      </c>
      <c r="G1556" s="2">
        <v>45717</v>
      </c>
      <c r="H1556" s="1" t="s">
        <v>12</v>
      </c>
      <c r="I1556" s="1" t="s">
        <v>3</v>
      </c>
      <c r="J1556" s="1">
        <v>4</v>
      </c>
      <c r="K1556" s="1" t="s">
        <v>4</v>
      </c>
      <c r="L1556" s="1" t="s">
        <v>57</v>
      </c>
      <c r="M1556" s="1">
        <f>[1]!orders[[#This Row],[Ship Date]]-[1]!orders[[#This Row],[Order Date]]</f>
        <v>2</v>
      </c>
      <c r="N1556" s="1">
        <f>WEEKNUM([1]!orders[[#This Row],[Order Date]])</f>
        <v>9</v>
      </c>
      <c r="O1556" t="str" cm="1">
        <f t="array" ref="O1556">_xlfn.IFS([1]!orders[[#This Row],[Customer Gender]]="M","Male", [1]!orders[[#This Row],[Customer Gender]]="F","Female", [1]!orders[[#This Row],[Customer Gender]]="O","Other", TRUE,"Unknown")</f>
        <v>Female</v>
      </c>
    </row>
    <row r="1557" spans="1:15" x14ac:dyDescent="0.25">
      <c r="A1557" t="s">
        <v>1641</v>
      </c>
      <c r="B1557" t="s">
        <v>15</v>
      </c>
      <c r="C1557">
        <v>12</v>
      </c>
      <c r="D1557">
        <v>66.7</v>
      </c>
      <c r="E1557">
        <v>800.40000000000009</v>
      </c>
      <c r="F1557" s="3">
        <v>45715</v>
      </c>
      <c r="G1557" s="3">
        <v>45718</v>
      </c>
      <c r="H1557" t="s">
        <v>2</v>
      </c>
      <c r="I1557" t="s">
        <v>3</v>
      </c>
      <c r="J1557">
        <v>5</v>
      </c>
      <c r="K1557" t="s">
        <v>4</v>
      </c>
      <c r="L1557" t="s">
        <v>62</v>
      </c>
      <c r="M1557">
        <f>[1]!orders[[#This Row],[Ship Date]]-[1]!orders[[#This Row],[Order Date]]</f>
        <v>3</v>
      </c>
      <c r="N1557">
        <f>WEEKNUM([1]!orders[[#This Row],[Order Date]])</f>
        <v>9</v>
      </c>
      <c r="O1557" t="str" cm="1">
        <f t="array" ref="O1557">_xlfn.IFS([1]!orders[[#This Row],[Customer Gender]]="M","Male", [1]!orders[[#This Row],[Customer Gender]]="F","Female", [1]!orders[[#This Row],[Customer Gender]]="O","Other", TRUE,"Unknown")</f>
        <v>Unknown</v>
      </c>
    </row>
    <row r="1558" spans="1:15" x14ac:dyDescent="0.25">
      <c r="A1558" s="1" t="s">
        <v>1642</v>
      </c>
      <c r="B1558" s="1" t="s">
        <v>7</v>
      </c>
      <c r="C1558" s="1">
        <v>4</v>
      </c>
      <c r="D1558" s="1">
        <v>33.1</v>
      </c>
      <c r="E1558" s="1">
        <v>132.4</v>
      </c>
      <c r="F1558" s="2">
        <v>45715</v>
      </c>
      <c r="G1558" s="2">
        <v>45720</v>
      </c>
      <c r="H1558" s="1" t="s">
        <v>8</v>
      </c>
      <c r="I1558" s="1" t="s">
        <v>36</v>
      </c>
      <c r="J1558" s="1">
        <v>4</v>
      </c>
      <c r="K1558" s="1" t="s">
        <v>4</v>
      </c>
      <c r="L1558" s="1" t="s">
        <v>62</v>
      </c>
      <c r="M1558" s="1">
        <f>[1]!orders[[#This Row],[Ship Date]]-[1]!orders[[#This Row],[Order Date]]</f>
        <v>5</v>
      </c>
      <c r="N1558" s="1">
        <f>WEEKNUM([1]!orders[[#This Row],[Order Date]])</f>
        <v>9</v>
      </c>
      <c r="O1558" t="str" cm="1">
        <f t="array" ref="O1558">_xlfn.IFS([1]!orders[[#This Row],[Customer Gender]]="M","Male", [1]!orders[[#This Row],[Customer Gender]]="F","Female", [1]!orders[[#This Row],[Customer Gender]]="O","Other", TRUE,"Unknown")</f>
        <v>Male</v>
      </c>
    </row>
    <row r="1559" spans="1:15" x14ac:dyDescent="0.25">
      <c r="A1559" t="s">
        <v>1643</v>
      </c>
      <c r="B1559" t="s">
        <v>156</v>
      </c>
      <c r="C1559">
        <v>9</v>
      </c>
      <c r="D1559">
        <v>42.1</v>
      </c>
      <c r="E1559">
        <v>378.90000000000003</v>
      </c>
      <c r="F1559" s="3">
        <v>45715</v>
      </c>
      <c r="G1559" s="3">
        <v>45726</v>
      </c>
      <c r="H1559" t="s">
        <v>8</v>
      </c>
      <c r="I1559" t="s">
        <v>20</v>
      </c>
      <c r="J1559">
        <v>4</v>
      </c>
      <c r="K1559" t="s">
        <v>4</v>
      </c>
      <c r="L1559" t="s">
        <v>93</v>
      </c>
      <c r="M1559">
        <f>[1]!orders[[#This Row],[Ship Date]]-[1]!orders[[#This Row],[Order Date]]</f>
        <v>11</v>
      </c>
      <c r="N1559">
        <f>WEEKNUM([1]!orders[[#This Row],[Order Date]])</f>
        <v>9</v>
      </c>
      <c r="O1559" t="str" cm="1">
        <f t="array" ref="O1559">_xlfn.IFS([1]!orders[[#This Row],[Customer Gender]]="M","Male", [1]!orders[[#This Row],[Customer Gender]]="F","Female", [1]!orders[[#This Row],[Customer Gender]]="O","Other", TRUE,"Unknown")</f>
        <v>Male</v>
      </c>
    </row>
    <row r="1560" spans="1:15" x14ac:dyDescent="0.25">
      <c r="A1560" s="1" t="s">
        <v>1644</v>
      </c>
      <c r="B1560" s="1" t="s">
        <v>131</v>
      </c>
      <c r="C1560" s="1">
        <v>7</v>
      </c>
      <c r="D1560" s="1">
        <v>58.7</v>
      </c>
      <c r="E1560" s="1">
        <v>410.90000000000003</v>
      </c>
      <c r="F1560" s="2">
        <v>45715</v>
      </c>
      <c r="G1560" s="2">
        <v>45715</v>
      </c>
      <c r="H1560" s="1" t="s">
        <v>74</v>
      </c>
      <c r="I1560" s="1" t="s">
        <v>36</v>
      </c>
      <c r="J1560" s="1">
        <v>4</v>
      </c>
      <c r="K1560" s="1" t="s">
        <v>4</v>
      </c>
      <c r="L1560" s="1" t="s">
        <v>277</v>
      </c>
      <c r="M1560" s="1">
        <f>[1]!orders[[#This Row],[Ship Date]]-[1]!orders[[#This Row],[Order Date]]</f>
        <v>0</v>
      </c>
      <c r="N1560" s="1">
        <f>WEEKNUM([1]!orders[[#This Row],[Order Date]])</f>
        <v>9</v>
      </c>
      <c r="O1560" t="str" cm="1">
        <f t="array" ref="O1560">_xlfn.IFS([1]!orders[[#This Row],[Customer Gender]]="M","Male", [1]!orders[[#This Row],[Customer Gender]]="F","Female", [1]!orders[[#This Row],[Customer Gender]]="O","Other", TRUE,"Unknown")</f>
        <v>Other</v>
      </c>
    </row>
    <row r="1561" spans="1:15" x14ac:dyDescent="0.25">
      <c r="A1561" t="s">
        <v>1645</v>
      </c>
      <c r="B1561" t="s">
        <v>24</v>
      </c>
      <c r="C1561">
        <v>4</v>
      </c>
      <c r="D1561">
        <v>54</v>
      </c>
      <c r="E1561">
        <v>216</v>
      </c>
      <c r="F1561" s="3">
        <v>45715</v>
      </c>
      <c r="G1561" s="3">
        <v>45717</v>
      </c>
      <c r="H1561" t="s">
        <v>12</v>
      </c>
      <c r="I1561" t="s">
        <v>20</v>
      </c>
      <c r="J1561">
        <v>4</v>
      </c>
      <c r="K1561" t="s">
        <v>4</v>
      </c>
      <c r="L1561" t="s">
        <v>9</v>
      </c>
      <c r="M1561">
        <f>[1]!orders[[#This Row],[Ship Date]]-[1]!orders[[#This Row],[Order Date]]</f>
        <v>2</v>
      </c>
      <c r="N1561">
        <f>WEEKNUM([1]!orders[[#This Row],[Order Date]])</f>
        <v>9</v>
      </c>
      <c r="O1561" t="str" cm="1">
        <f t="array" ref="O1561">_xlfn.IFS([1]!orders[[#This Row],[Customer Gender]]="M","Male", [1]!orders[[#This Row],[Customer Gender]]="F","Female", [1]!orders[[#This Row],[Customer Gender]]="O","Other", TRUE,"Unknown")</f>
        <v>Female</v>
      </c>
    </row>
    <row r="1562" spans="1:15" x14ac:dyDescent="0.25">
      <c r="A1562" s="1" t="s">
        <v>1646</v>
      </c>
      <c r="B1562" s="1" t="s">
        <v>29</v>
      </c>
      <c r="C1562" s="1">
        <v>1</v>
      </c>
      <c r="D1562" s="1">
        <v>52.1</v>
      </c>
      <c r="E1562" s="1">
        <v>52.1</v>
      </c>
      <c r="F1562" s="2">
        <v>45715</v>
      </c>
      <c r="G1562" s="2">
        <v>45716</v>
      </c>
      <c r="H1562" s="1" t="s">
        <v>12</v>
      </c>
      <c r="I1562" s="1" t="s">
        <v>25</v>
      </c>
      <c r="J1562" s="1">
        <v>5</v>
      </c>
      <c r="K1562" s="1" t="s">
        <v>4</v>
      </c>
      <c r="L1562" s="1" t="s">
        <v>13</v>
      </c>
      <c r="M1562" s="1">
        <f>[1]!orders[[#This Row],[Ship Date]]-[1]!orders[[#This Row],[Order Date]]</f>
        <v>1</v>
      </c>
      <c r="N1562" s="1">
        <f>WEEKNUM([1]!orders[[#This Row],[Order Date]])</f>
        <v>9</v>
      </c>
      <c r="O1562" t="str" cm="1">
        <f t="array" ref="O1562">_xlfn.IFS([1]!orders[[#This Row],[Customer Gender]]="M","Male", [1]!orders[[#This Row],[Customer Gender]]="F","Female", [1]!orders[[#This Row],[Customer Gender]]="O","Other", TRUE,"Unknown")</f>
        <v>Female</v>
      </c>
    </row>
    <row r="1563" spans="1:15" x14ac:dyDescent="0.25">
      <c r="A1563" t="s">
        <v>1647</v>
      </c>
      <c r="B1563" t="s">
        <v>156</v>
      </c>
      <c r="C1563">
        <v>2</v>
      </c>
      <c r="D1563">
        <v>27</v>
      </c>
      <c r="E1563">
        <v>54</v>
      </c>
      <c r="F1563" s="3">
        <v>45715</v>
      </c>
      <c r="G1563" s="3">
        <v>45718</v>
      </c>
      <c r="H1563" t="s">
        <v>74</v>
      </c>
      <c r="I1563" t="s">
        <v>25</v>
      </c>
      <c r="J1563">
        <v>4</v>
      </c>
      <c r="K1563" t="s">
        <v>4</v>
      </c>
      <c r="L1563" t="s">
        <v>132</v>
      </c>
      <c r="M1563">
        <f>[1]!orders[[#This Row],[Ship Date]]-[1]!orders[[#This Row],[Order Date]]</f>
        <v>3</v>
      </c>
      <c r="N1563">
        <f>WEEKNUM([1]!orders[[#This Row],[Order Date]])</f>
        <v>9</v>
      </c>
      <c r="O1563" t="str" cm="1">
        <f t="array" ref="O1563">_xlfn.IFS([1]!orders[[#This Row],[Customer Gender]]="M","Male", [1]!orders[[#This Row],[Customer Gender]]="F","Female", [1]!orders[[#This Row],[Customer Gender]]="O","Other", TRUE,"Unknown")</f>
        <v>Other</v>
      </c>
    </row>
    <row r="1564" spans="1:15" x14ac:dyDescent="0.25">
      <c r="A1564" s="1" t="s">
        <v>1648</v>
      </c>
      <c r="B1564" s="1" t="s">
        <v>54</v>
      </c>
      <c r="C1564" s="1">
        <v>10</v>
      </c>
      <c r="D1564" s="1">
        <v>31</v>
      </c>
      <c r="E1564" s="1">
        <v>310</v>
      </c>
      <c r="F1564" s="2">
        <v>45716</v>
      </c>
      <c r="G1564" s="2">
        <v>45717</v>
      </c>
      <c r="H1564" s="1" t="s">
        <v>12</v>
      </c>
      <c r="I1564" s="1" t="s">
        <v>36</v>
      </c>
      <c r="J1564" s="1">
        <v>5</v>
      </c>
      <c r="K1564" s="1" t="s">
        <v>4</v>
      </c>
      <c r="L1564" s="1" t="s">
        <v>132</v>
      </c>
      <c r="M1564" s="1">
        <f>[1]!orders[[#This Row],[Ship Date]]-[1]!orders[[#This Row],[Order Date]]</f>
        <v>1</v>
      </c>
      <c r="N1564" s="1">
        <f>WEEKNUM([1]!orders[[#This Row],[Order Date]])</f>
        <v>9</v>
      </c>
      <c r="O1564" t="str" cm="1">
        <f t="array" ref="O1564">_xlfn.IFS([1]!orders[[#This Row],[Customer Gender]]="M","Male", [1]!orders[[#This Row],[Customer Gender]]="F","Female", [1]!orders[[#This Row],[Customer Gender]]="O","Other", TRUE,"Unknown")</f>
        <v>Female</v>
      </c>
    </row>
    <row r="1565" spans="1:15" x14ac:dyDescent="0.25">
      <c r="A1565" t="s">
        <v>1649</v>
      </c>
      <c r="B1565" t="s">
        <v>39</v>
      </c>
      <c r="C1565">
        <v>2</v>
      </c>
      <c r="D1565">
        <v>46.7</v>
      </c>
      <c r="E1565">
        <v>93.4</v>
      </c>
      <c r="F1565" s="3">
        <v>45716</v>
      </c>
      <c r="G1565" s="3">
        <v>45716</v>
      </c>
      <c r="H1565" t="s">
        <v>12</v>
      </c>
      <c r="I1565" t="s">
        <v>3</v>
      </c>
      <c r="J1565">
        <v>4</v>
      </c>
      <c r="K1565" t="s">
        <v>4</v>
      </c>
      <c r="L1565" t="s">
        <v>319</v>
      </c>
      <c r="M1565">
        <f>[1]!orders[[#This Row],[Ship Date]]-[1]!orders[[#This Row],[Order Date]]</f>
        <v>0</v>
      </c>
      <c r="N1565">
        <f>WEEKNUM([1]!orders[[#This Row],[Order Date]])</f>
        <v>9</v>
      </c>
      <c r="O1565" t="str" cm="1">
        <f t="array" ref="O1565">_xlfn.IFS([1]!orders[[#This Row],[Customer Gender]]="M","Male", [1]!orders[[#This Row],[Customer Gender]]="F","Female", [1]!orders[[#This Row],[Customer Gender]]="O","Other", TRUE,"Unknown")</f>
        <v>Female</v>
      </c>
    </row>
    <row r="1566" spans="1:15" x14ac:dyDescent="0.25">
      <c r="A1566" s="1" t="s">
        <v>1650</v>
      </c>
      <c r="B1566" s="1" t="s">
        <v>24</v>
      </c>
      <c r="C1566" s="1">
        <v>1</v>
      </c>
      <c r="D1566" s="1">
        <v>144.69999999999999</v>
      </c>
      <c r="E1566" s="1">
        <v>144.69999999999999</v>
      </c>
      <c r="F1566" s="2">
        <v>45716</v>
      </c>
      <c r="G1566" s="2">
        <v>45719</v>
      </c>
      <c r="H1566" s="1" t="s">
        <v>8</v>
      </c>
      <c r="I1566" s="1" t="s">
        <v>3</v>
      </c>
      <c r="J1566" s="1">
        <v>5</v>
      </c>
      <c r="K1566" s="1" t="s">
        <v>4</v>
      </c>
      <c r="L1566" s="1" t="s">
        <v>18</v>
      </c>
      <c r="M1566" s="1">
        <f>[1]!orders[[#This Row],[Ship Date]]-[1]!orders[[#This Row],[Order Date]]</f>
        <v>3</v>
      </c>
      <c r="N1566" s="1">
        <f>WEEKNUM([1]!orders[[#This Row],[Order Date]])</f>
        <v>9</v>
      </c>
      <c r="O1566" t="str" cm="1">
        <f t="array" ref="O1566">_xlfn.IFS([1]!orders[[#This Row],[Customer Gender]]="M","Male", [1]!orders[[#This Row],[Customer Gender]]="F","Female", [1]!orders[[#This Row],[Customer Gender]]="O","Other", TRUE,"Unknown")</f>
        <v>Male</v>
      </c>
    </row>
    <row r="1567" spans="1:15" x14ac:dyDescent="0.25">
      <c r="A1567" t="s">
        <v>1651</v>
      </c>
      <c r="B1567" t="s">
        <v>11</v>
      </c>
      <c r="C1567">
        <v>9</v>
      </c>
      <c r="D1567">
        <v>90.9</v>
      </c>
      <c r="E1567">
        <v>818.1</v>
      </c>
      <c r="F1567" s="3">
        <v>45716</v>
      </c>
      <c r="G1567" s="3">
        <v>45717</v>
      </c>
      <c r="H1567" t="s">
        <v>8</v>
      </c>
      <c r="I1567" t="s">
        <v>3</v>
      </c>
      <c r="J1567">
        <v>5</v>
      </c>
      <c r="K1567" t="s">
        <v>4</v>
      </c>
      <c r="L1567" t="s">
        <v>18</v>
      </c>
      <c r="M1567">
        <f>[1]!orders[[#This Row],[Ship Date]]-[1]!orders[[#This Row],[Order Date]]</f>
        <v>1</v>
      </c>
      <c r="N1567">
        <f>WEEKNUM([1]!orders[[#This Row],[Order Date]])</f>
        <v>9</v>
      </c>
      <c r="O1567" t="str" cm="1">
        <f t="array" ref="O1567">_xlfn.IFS([1]!orders[[#This Row],[Customer Gender]]="M","Male", [1]!orders[[#This Row],[Customer Gender]]="F","Female", [1]!orders[[#This Row],[Customer Gender]]="O","Other", TRUE,"Unknown")</f>
        <v>Male</v>
      </c>
    </row>
    <row r="1568" spans="1:15" x14ac:dyDescent="0.25">
      <c r="A1568" s="1" t="s">
        <v>1652</v>
      </c>
      <c r="B1568" s="1" t="s">
        <v>7</v>
      </c>
      <c r="C1568" s="1">
        <v>2</v>
      </c>
      <c r="D1568" s="1">
        <v>75.8</v>
      </c>
      <c r="E1568" s="1">
        <v>151.6</v>
      </c>
      <c r="F1568" s="2">
        <v>45716</v>
      </c>
      <c r="G1568" s="2">
        <v>45717</v>
      </c>
      <c r="H1568" s="1" t="s">
        <v>12</v>
      </c>
      <c r="I1568" s="1" t="s">
        <v>25</v>
      </c>
      <c r="J1568" s="1">
        <v>3</v>
      </c>
      <c r="K1568" s="1" t="s">
        <v>4</v>
      </c>
      <c r="L1568" s="1" t="s">
        <v>18</v>
      </c>
      <c r="M1568" s="1">
        <f>[1]!orders[[#This Row],[Ship Date]]-[1]!orders[[#This Row],[Order Date]]</f>
        <v>1</v>
      </c>
      <c r="N1568" s="1">
        <f>WEEKNUM([1]!orders[[#This Row],[Order Date]])</f>
        <v>9</v>
      </c>
      <c r="O1568" t="str" cm="1">
        <f t="array" ref="O1568">_xlfn.IFS([1]!orders[[#This Row],[Customer Gender]]="M","Male", [1]!orders[[#This Row],[Customer Gender]]="F","Female", [1]!orders[[#This Row],[Customer Gender]]="O","Other", TRUE,"Unknown")</f>
        <v>Female</v>
      </c>
    </row>
    <row r="1569" spans="1:15" x14ac:dyDescent="0.25">
      <c r="A1569" t="s">
        <v>1653</v>
      </c>
      <c r="B1569" t="s">
        <v>27</v>
      </c>
      <c r="C1569">
        <v>5</v>
      </c>
      <c r="D1569">
        <v>57.9</v>
      </c>
      <c r="E1569">
        <v>289.5</v>
      </c>
      <c r="F1569" s="3">
        <v>45716</v>
      </c>
      <c r="G1569" s="3">
        <v>45718</v>
      </c>
      <c r="H1569" t="s">
        <v>8</v>
      </c>
      <c r="I1569" t="s">
        <v>25</v>
      </c>
      <c r="J1569">
        <v>5</v>
      </c>
      <c r="K1569" t="s">
        <v>4</v>
      </c>
      <c r="L1569" t="s">
        <v>18</v>
      </c>
      <c r="M1569">
        <f>[1]!orders[[#This Row],[Ship Date]]-[1]!orders[[#This Row],[Order Date]]</f>
        <v>2</v>
      </c>
      <c r="N1569">
        <f>WEEKNUM([1]!orders[[#This Row],[Order Date]])</f>
        <v>9</v>
      </c>
      <c r="O1569" t="str" cm="1">
        <f t="array" ref="O1569">_xlfn.IFS([1]!orders[[#This Row],[Customer Gender]]="M","Male", [1]!orders[[#This Row],[Customer Gender]]="F","Female", [1]!orders[[#This Row],[Customer Gender]]="O","Other", TRUE,"Unknown")</f>
        <v>Male</v>
      </c>
    </row>
    <row r="1570" spans="1:15" x14ac:dyDescent="0.25">
      <c r="A1570" s="1" t="s">
        <v>1654</v>
      </c>
      <c r="B1570" s="1" t="s">
        <v>29</v>
      </c>
      <c r="C1570" s="1">
        <v>5</v>
      </c>
      <c r="D1570" s="1">
        <v>44.8</v>
      </c>
      <c r="E1570" s="1">
        <v>224</v>
      </c>
      <c r="F1570" s="2">
        <v>45716</v>
      </c>
      <c r="G1570" s="2">
        <v>45717</v>
      </c>
      <c r="H1570" s="1" t="s">
        <v>12</v>
      </c>
      <c r="I1570" s="1" t="s">
        <v>36</v>
      </c>
      <c r="J1570" s="1">
        <v>5</v>
      </c>
      <c r="K1570" s="1" t="s">
        <v>4</v>
      </c>
      <c r="L1570" s="1" t="s">
        <v>18</v>
      </c>
      <c r="M1570" s="1">
        <f>[1]!orders[[#This Row],[Ship Date]]-[1]!orders[[#This Row],[Order Date]]</f>
        <v>1</v>
      </c>
      <c r="N1570" s="1">
        <f>WEEKNUM([1]!orders[[#This Row],[Order Date]])</f>
        <v>9</v>
      </c>
      <c r="O1570" t="str" cm="1">
        <f t="array" ref="O1570">_xlfn.IFS([1]!orders[[#This Row],[Customer Gender]]="M","Male", [1]!orders[[#This Row],[Customer Gender]]="F","Female", [1]!orders[[#This Row],[Customer Gender]]="O","Other", TRUE,"Unknown")</f>
        <v>Female</v>
      </c>
    </row>
    <row r="1571" spans="1:15" x14ac:dyDescent="0.25">
      <c r="A1571" t="s">
        <v>1655</v>
      </c>
      <c r="B1571" t="s">
        <v>31</v>
      </c>
      <c r="C1571">
        <v>3</v>
      </c>
      <c r="D1571">
        <v>44.2</v>
      </c>
      <c r="E1571">
        <v>132.60000000000002</v>
      </c>
      <c r="F1571" s="3">
        <v>45716</v>
      </c>
      <c r="G1571" s="3">
        <v>45720</v>
      </c>
      <c r="H1571" t="s">
        <v>8</v>
      </c>
      <c r="I1571" t="s">
        <v>25</v>
      </c>
      <c r="J1571">
        <v>5</v>
      </c>
      <c r="K1571" t="s">
        <v>4</v>
      </c>
      <c r="L1571" t="s">
        <v>18</v>
      </c>
      <c r="M1571">
        <f>[1]!orders[[#This Row],[Ship Date]]-[1]!orders[[#This Row],[Order Date]]</f>
        <v>4</v>
      </c>
      <c r="N1571">
        <f>WEEKNUM([1]!orders[[#This Row],[Order Date]])</f>
        <v>9</v>
      </c>
      <c r="O1571" t="str" cm="1">
        <f t="array" ref="O1571">_xlfn.IFS([1]!orders[[#This Row],[Customer Gender]]="M","Male", [1]!orders[[#This Row],[Customer Gender]]="F","Female", [1]!orders[[#This Row],[Customer Gender]]="O","Other", TRUE,"Unknown")</f>
        <v>Male</v>
      </c>
    </row>
    <row r="1572" spans="1:15" x14ac:dyDescent="0.25">
      <c r="A1572" s="1" t="s">
        <v>1656</v>
      </c>
      <c r="B1572" s="1" t="s">
        <v>22</v>
      </c>
      <c r="C1572" s="1">
        <v>5</v>
      </c>
      <c r="D1572" s="1">
        <v>53.5</v>
      </c>
      <c r="E1572" s="1">
        <v>267.5</v>
      </c>
      <c r="F1572" s="2">
        <v>45716</v>
      </c>
      <c r="G1572" s="2">
        <v>45718</v>
      </c>
      <c r="H1572" s="1" t="s">
        <v>8</v>
      </c>
      <c r="I1572" s="1" t="s">
        <v>3</v>
      </c>
      <c r="J1572" s="1">
        <v>4</v>
      </c>
      <c r="K1572" s="1" t="s">
        <v>4</v>
      </c>
      <c r="L1572" s="1" t="s">
        <v>349</v>
      </c>
      <c r="M1572" s="1">
        <f>[1]!orders[[#This Row],[Ship Date]]-[1]!orders[[#This Row],[Order Date]]</f>
        <v>2</v>
      </c>
      <c r="N1572" s="1">
        <f>WEEKNUM([1]!orders[[#This Row],[Order Date]])</f>
        <v>9</v>
      </c>
      <c r="O1572" t="str" cm="1">
        <f t="array" ref="O1572">_xlfn.IFS([1]!orders[[#This Row],[Customer Gender]]="M","Male", [1]!orders[[#This Row],[Customer Gender]]="F","Female", [1]!orders[[#This Row],[Customer Gender]]="O","Other", TRUE,"Unknown")</f>
        <v>Male</v>
      </c>
    </row>
    <row r="1573" spans="1:15" x14ac:dyDescent="0.25">
      <c r="A1573" t="s">
        <v>1657</v>
      </c>
      <c r="B1573" t="s">
        <v>24</v>
      </c>
      <c r="C1573">
        <v>2</v>
      </c>
      <c r="D1573">
        <v>72.2</v>
      </c>
      <c r="E1573">
        <v>144.4</v>
      </c>
      <c r="F1573" s="3">
        <v>45716</v>
      </c>
      <c r="G1573" s="3">
        <v>45717</v>
      </c>
      <c r="H1573" t="s">
        <v>8</v>
      </c>
      <c r="I1573" t="s">
        <v>3</v>
      </c>
      <c r="J1573">
        <v>5</v>
      </c>
      <c r="K1573" t="s">
        <v>4</v>
      </c>
      <c r="L1573" t="s">
        <v>173</v>
      </c>
      <c r="M1573">
        <f>[1]!orders[[#This Row],[Ship Date]]-[1]!orders[[#This Row],[Order Date]]</f>
        <v>1</v>
      </c>
      <c r="N1573">
        <f>WEEKNUM([1]!orders[[#This Row],[Order Date]])</f>
        <v>9</v>
      </c>
      <c r="O1573" t="str" cm="1">
        <f t="array" ref="O1573">_xlfn.IFS([1]!orders[[#This Row],[Customer Gender]]="M","Male", [1]!orders[[#This Row],[Customer Gender]]="F","Female", [1]!orders[[#This Row],[Customer Gender]]="O","Other", TRUE,"Unknown")</f>
        <v>Male</v>
      </c>
    </row>
    <row r="1574" spans="1:15" x14ac:dyDescent="0.25">
      <c r="A1574" s="1" t="s">
        <v>1658</v>
      </c>
      <c r="B1574" s="1" t="s">
        <v>24</v>
      </c>
      <c r="C1574" s="1">
        <v>4</v>
      </c>
      <c r="D1574" s="1">
        <v>62.4</v>
      </c>
      <c r="E1574" s="1">
        <v>249.6</v>
      </c>
      <c r="F1574" s="2">
        <v>45716</v>
      </c>
      <c r="G1574" s="2">
        <v>45719</v>
      </c>
      <c r="H1574" s="1" t="s">
        <v>12</v>
      </c>
      <c r="I1574" s="1" t="s">
        <v>3</v>
      </c>
      <c r="J1574" s="1">
        <v>3</v>
      </c>
      <c r="K1574" s="1" t="s">
        <v>4</v>
      </c>
      <c r="L1574" s="1" t="s">
        <v>143</v>
      </c>
      <c r="M1574" s="1">
        <f>[1]!orders[[#This Row],[Ship Date]]-[1]!orders[[#This Row],[Order Date]]</f>
        <v>3</v>
      </c>
      <c r="N1574" s="1">
        <f>WEEKNUM([1]!orders[[#This Row],[Order Date]])</f>
        <v>9</v>
      </c>
      <c r="O1574" t="str" cm="1">
        <f t="array" ref="O1574">_xlfn.IFS([1]!orders[[#This Row],[Customer Gender]]="M","Male", [1]!orders[[#This Row],[Customer Gender]]="F","Female", [1]!orders[[#This Row],[Customer Gender]]="O","Other", TRUE,"Unknown")</f>
        <v>Female</v>
      </c>
    </row>
    <row r="1575" spans="1:15" x14ac:dyDescent="0.25">
      <c r="A1575" t="s">
        <v>1659</v>
      </c>
      <c r="B1575" t="s">
        <v>39</v>
      </c>
      <c r="C1575">
        <v>5</v>
      </c>
      <c r="D1575">
        <v>24.7</v>
      </c>
      <c r="E1575">
        <v>123.5</v>
      </c>
      <c r="F1575" s="3">
        <v>45716</v>
      </c>
      <c r="G1575" s="3">
        <v>45717</v>
      </c>
      <c r="H1575" t="s">
        <v>12</v>
      </c>
      <c r="I1575" t="s">
        <v>3</v>
      </c>
      <c r="J1575">
        <v>4</v>
      </c>
      <c r="K1575" t="s">
        <v>4</v>
      </c>
      <c r="L1575" t="s">
        <v>40</v>
      </c>
      <c r="M1575">
        <f>[1]!orders[[#This Row],[Ship Date]]-[1]!orders[[#This Row],[Order Date]]</f>
        <v>1</v>
      </c>
      <c r="N1575">
        <f>WEEKNUM([1]!orders[[#This Row],[Order Date]])</f>
        <v>9</v>
      </c>
      <c r="O1575" t="str" cm="1">
        <f t="array" ref="O1575">_xlfn.IFS([1]!orders[[#This Row],[Customer Gender]]="M","Male", [1]!orders[[#This Row],[Customer Gender]]="F","Female", [1]!orders[[#This Row],[Customer Gender]]="O","Other", TRUE,"Unknown")</f>
        <v>Female</v>
      </c>
    </row>
    <row r="1576" spans="1:15" x14ac:dyDescent="0.25">
      <c r="A1576" s="1" t="s">
        <v>1660</v>
      </c>
      <c r="B1576" s="1" t="s">
        <v>7</v>
      </c>
      <c r="C1576" s="1">
        <v>5</v>
      </c>
      <c r="D1576" s="1">
        <v>61.7</v>
      </c>
      <c r="E1576" s="1">
        <v>308.5</v>
      </c>
      <c r="F1576" s="2">
        <v>45716</v>
      </c>
      <c r="G1576" s="2">
        <v>45718</v>
      </c>
      <c r="H1576" s="1" t="s">
        <v>12</v>
      </c>
      <c r="I1576" s="1" t="s">
        <v>25</v>
      </c>
      <c r="J1576" s="1">
        <v>4</v>
      </c>
      <c r="K1576" s="1" t="s">
        <v>4</v>
      </c>
      <c r="L1576" s="1" t="s">
        <v>47</v>
      </c>
      <c r="M1576" s="1">
        <f>[1]!orders[[#This Row],[Ship Date]]-[1]!orders[[#This Row],[Order Date]]</f>
        <v>2</v>
      </c>
      <c r="N1576" s="1">
        <f>WEEKNUM([1]!orders[[#This Row],[Order Date]])</f>
        <v>9</v>
      </c>
      <c r="O1576" t="str" cm="1">
        <f t="array" ref="O1576">_xlfn.IFS([1]!orders[[#This Row],[Customer Gender]]="M","Male", [1]!orders[[#This Row],[Customer Gender]]="F","Female", [1]!orders[[#This Row],[Customer Gender]]="O","Other", TRUE,"Unknown")</f>
        <v>Female</v>
      </c>
    </row>
    <row r="1577" spans="1:15" x14ac:dyDescent="0.25">
      <c r="A1577" t="s">
        <v>1661</v>
      </c>
      <c r="B1577" t="s">
        <v>29</v>
      </c>
      <c r="C1577">
        <v>5</v>
      </c>
      <c r="D1577">
        <v>18.2</v>
      </c>
      <c r="E1577">
        <v>91</v>
      </c>
      <c r="F1577" s="3">
        <v>45716</v>
      </c>
      <c r="G1577" s="3">
        <v>45718</v>
      </c>
      <c r="H1577" t="s">
        <v>12</v>
      </c>
      <c r="I1577" t="s">
        <v>36</v>
      </c>
      <c r="J1577">
        <v>4</v>
      </c>
      <c r="K1577" t="s">
        <v>4</v>
      </c>
      <c r="L1577" t="s">
        <v>47</v>
      </c>
      <c r="M1577">
        <f>[1]!orders[[#This Row],[Ship Date]]-[1]!orders[[#This Row],[Order Date]]</f>
        <v>2</v>
      </c>
      <c r="N1577">
        <f>WEEKNUM([1]!orders[[#This Row],[Order Date]])</f>
        <v>9</v>
      </c>
      <c r="O1577" t="str" cm="1">
        <f t="array" ref="O1577">_xlfn.IFS([1]!orders[[#This Row],[Customer Gender]]="M","Male", [1]!orders[[#This Row],[Customer Gender]]="F","Female", [1]!orders[[#This Row],[Customer Gender]]="O","Other", TRUE,"Unknown")</f>
        <v>Female</v>
      </c>
    </row>
    <row r="1578" spans="1:15" x14ac:dyDescent="0.25">
      <c r="A1578" s="1" t="s">
        <v>1662</v>
      </c>
      <c r="B1578" s="1" t="s">
        <v>39</v>
      </c>
      <c r="C1578" s="1">
        <v>4</v>
      </c>
      <c r="D1578" s="1">
        <v>37.200000000000003</v>
      </c>
      <c r="E1578" s="1">
        <v>148.80000000000001</v>
      </c>
      <c r="F1578" s="2">
        <v>45716</v>
      </c>
      <c r="G1578" s="2">
        <v>45722</v>
      </c>
      <c r="H1578" s="1" t="s">
        <v>12</v>
      </c>
      <c r="I1578" s="1" t="s">
        <v>3</v>
      </c>
      <c r="J1578" s="1">
        <v>4</v>
      </c>
      <c r="K1578" s="1" t="s">
        <v>4</v>
      </c>
      <c r="L1578" s="1" t="s">
        <v>47</v>
      </c>
      <c r="M1578" s="1">
        <f>[1]!orders[[#This Row],[Ship Date]]-[1]!orders[[#This Row],[Order Date]]</f>
        <v>6</v>
      </c>
      <c r="N1578" s="1">
        <f>WEEKNUM([1]!orders[[#This Row],[Order Date]])</f>
        <v>9</v>
      </c>
      <c r="O1578" t="str" cm="1">
        <f t="array" ref="O1578">_xlfn.IFS([1]!orders[[#This Row],[Customer Gender]]="M","Male", [1]!orders[[#This Row],[Customer Gender]]="F","Female", [1]!orders[[#This Row],[Customer Gender]]="O","Other", TRUE,"Unknown")</f>
        <v>Female</v>
      </c>
    </row>
    <row r="1579" spans="1:15" x14ac:dyDescent="0.25">
      <c r="A1579" t="s">
        <v>1663</v>
      </c>
      <c r="B1579" t="s">
        <v>31</v>
      </c>
      <c r="C1579">
        <v>3</v>
      </c>
      <c r="D1579">
        <v>53.5</v>
      </c>
      <c r="E1579">
        <v>160.5</v>
      </c>
      <c r="F1579" s="3">
        <v>45716</v>
      </c>
      <c r="G1579" s="3">
        <v>45718</v>
      </c>
      <c r="H1579" t="s">
        <v>12</v>
      </c>
      <c r="I1579" t="s">
        <v>20</v>
      </c>
      <c r="J1579">
        <v>5</v>
      </c>
      <c r="K1579" t="s">
        <v>4</v>
      </c>
      <c r="L1579" t="s">
        <v>57</v>
      </c>
      <c r="M1579">
        <f>[1]!orders[[#This Row],[Ship Date]]-[1]!orders[[#This Row],[Order Date]]</f>
        <v>2</v>
      </c>
      <c r="N1579">
        <f>WEEKNUM([1]!orders[[#This Row],[Order Date]])</f>
        <v>9</v>
      </c>
      <c r="O1579" t="str" cm="1">
        <f t="array" ref="O1579">_xlfn.IFS([1]!orders[[#This Row],[Customer Gender]]="M","Male", [1]!orders[[#This Row],[Customer Gender]]="F","Female", [1]!orders[[#This Row],[Customer Gender]]="O","Other", TRUE,"Unknown")</f>
        <v>Female</v>
      </c>
    </row>
    <row r="1580" spans="1:15" x14ac:dyDescent="0.25">
      <c r="A1580" s="1" t="s">
        <v>1664</v>
      </c>
      <c r="B1580" s="1" t="s">
        <v>29</v>
      </c>
      <c r="C1580" s="1">
        <v>3</v>
      </c>
      <c r="D1580" s="1">
        <v>43.6</v>
      </c>
      <c r="E1580" s="1">
        <v>130.80000000000001</v>
      </c>
      <c r="F1580" s="2">
        <v>45716</v>
      </c>
      <c r="G1580" s="2">
        <v>45716</v>
      </c>
      <c r="H1580" s="1" t="s">
        <v>12</v>
      </c>
      <c r="I1580" s="1" t="s">
        <v>3</v>
      </c>
      <c r="J1580" s="1">
        <v>4</v>
      </c>
      <c r="K1580" s="1" t="s">
        <v>4</v>
      </c>
      <c r="L1580" s="1" t="s">
        <v>57</v>
      </c>
      <c r="M1580" s="1">
        <f>[1]!orders[[#This Row],[Ship Date]]-[1]!orders[[#This Row],[Order Date]]</f>
        <v>0</v>
      </c>
      <c r="N1580" s="1">
        <f>WEEKNUM([1]!orders[[#This Row],[Order Date]])</f>
        <v>9</v>
      </c>
      <c r="O1580" t="str" cm="1">
        <f t="array" ref="O1580">_xlfn.IFS([1]!orders[[#This Row],[Customer Gender]]="M","Male", [1]!orders[[#This Row],[Customer Gender]]="F","Female", [1]!orders[[#This Row],[Customer Gender]]="O","Other", TRUE,"Unknown")</f>
        <v>Female</v>
      </c>
    </row>
    <row r="1581" spans="1:15" x14ac:dyDescent="0.25">
      <c r="A1581" t="s">
        <v>1665</v>
      </c>
      <c r="B1581" t="s">
        <v>7</v>
      </c>
      <c r="C1581">
        <v>10</v>
      </c>
      <c r="D1581">
        <v>135</v>
      </c>
      <c r="E1581">
        <v>1350</v>
      </c>
      <c r="F1581" s="3">
        <v>45716</v>
      </c>
      <c r="G1581" s="3">
        <v>45718</v>
      </c>
      <c r="H1581" t="s">
        <v>12</v>
      </c>
      <c r="I1581" t="s">
        <v>3</v>
      </c>
      <c r="J1581">
        <v>5</v>
      </c>
      <c r="K1581" t="s">
        <v>4</v>
      </c>
      <c r="L1581" t="s">
        <v>57</v>
      </c>
      <c r="M1581">
        <f>[1]!orders[[#This Row],[Ship Date]]-[1]!orders[[#This Row],[Order Date]]</f>
        <v>2</v>
      </c>
      <c r="N1581">
        <f>WEEKNUM([1]!orders[[#This Row],[Order Date]])</f>
        <v>9</v>
      </c>
      <c r="O1581" t="str" cm="1">
        <f t="array" ref="O1581">_xlfn.IFS([1]!orders[[#This Row],[Customer Gender]]="M","Male", [1]!orders[[#This Row],[Customer Gender]]="F","Female", [1]!orders[[#This Row],[Customer Gender]]="O","Other", TRUE,"Unknown")</f>
        <v>Female</v>
      </c>
    </row>
    <row r="1582" spans="1:15" x14ac:dyDescent="0.25">
      <c r="A1582" s="1" t="s">
        <v>1666</v>
      </c>
      <c r="B1582" s="1" t="s">
        <v>29</v>
      </c>
      <c r="C1582" s="1">
        <v>5</v>
      </c>
      <c r="D1582" s="1">
        <v>38.5</v>
      </c>
      <c r="E1582" s="1">
        <v>192.5</v>
      </c>
      <c r="F1582" s="2">
        <v>45716</v>
      </c>
      <c r="G1582" s="2">
        <v>45716</v>
      </c>
      <c r="H1582" s="1" t="s">
        <v>8</v>
      </c>
      <c r="I1582" s="1" t="s">
        <v>55</v>
      </c>
      <c r="J1582" s="1">
        <v>5</v>
      </c>
      <c r="K1582" s="1" t="s">
        <v>4</v>
      </c>
      <c r="L1582" s="1" t="s">
        <v>59</v>
      </c>
      <c r="M1582" s="1">
        <f>[1]!orders[[#This Row],[Ship Date]]-[1]!orders[[#This Row],[Order Date]]</f>
        <v>0</v>
      </c>
      <c r="N1582" s="1">
        <f>WEEKNUM([1]!orders[[#This Row],[Order Date]])</f>
        <v>9</v>
      </c>
      <c r="O1582" t="str" cm="1">
        <f t="array" ref="O1582">_xlfn.IFS([1]!orders[[#This Row],[Customer Gender]]="M","Male", [1]!orders[[#This Row],[Customer Gender]]="F","Female", [1]!orders[[#This Row],[Customer Gender]]="O","Other", TRUE,"Unknown")</f>
        <v>Male</v>
      </c>
    </row>
    <row r="1583" spans="1:15" x14ac:dyDescent="0.25">
      <c r="A1583" t="s">
        <v>1667</v>
      </c>
      <c r="B1583" t="s">
        <v>31</v>
      </c>
      <c r="C1583">
        <v>2</v>
      </c>
      <c r="D1583">
        <v>24</v>
      </c>
      <c r="E1583">
        <v>48</v>
      </c>
      <c r="F1583" s="3">
        <v>45716</v>
      </c>
      <c r="G1583" s="3">
        <v>45721</v>
      </c>
      <c r="H1583" t="s">
        <v>12</v>
      </c>
      <c r="I1583" t="s">
        <v>3</v>
      </c>
      <c r="J1583">
        <v>4</v>
      </c>
      <c r="K1583" t="s">
        <v>4</v>
      </c>
      <c r="L1583" t="s">
        <v>62</v>
      </c>
      <c r="M1583">
        <f>[1]!orders[[#This Row],[Ship Date]]-[1]!orders[[#This Row],[Order Date]]</f>
        <v>5</v>
      </c>
      <c r="N1583">
        <f>WEEKNUM([1]!orders[[#This Row],[Order Date]])</f>
        <v>9</v>
      </c>
      <c r="O1583" t="str" cm="1">
        <f t="array" ref="O1583">_xlfn.IFS([1]!orders[[#This Row],[Customer Gender]]="M","Male", [1]!orders[[#This Row],[Customer Gender]]="F","Female", [1]!orders[[#This Row],[Customer Gender]]="O","Other", TRUE,"Unknown")</f>
        <v>Female</v>
      </c>
    </row>
    <row r="1584" spans="1:15" x14ac:dyDescent="0.25">
      <c r="A1584" s="1" t="s">
        <v>1668</v>
      </c>
      <c r="B1584" s="1" t="s">
        <v>17</v>
      </c>
      <c r="C1584" s="1">
        <v>3</v>
      </c>
      <c r="D1584" s="1">
        <v>28.2</v>
      </c>
      <c r="E1584" s="1">
        <v>84.6</v>
      </c>
      <c r="F1584" s="2">
        <v>45716</v>
      </c>
      <c r="G1584" s="2">
        <v>45718</v>
      </c>
      <c r="H1584" s="1" t="s">
        <v>8</v>
      </c>
      <c r="I1584" s="1" t="s">
        <v>3</v>
      </c>
      <c r="J1584" s="1">
        <v>1</v>
      </c>
      <c r="K1584" s="1" t="s">
        <v>4</v>
      </c>
      <c r="L1584" s="1" t="s">
        <v>93</v>
      </c>
      <c r="M1584" s="1">
        <f>[1]!orders[[#This Row],[Ship Date]]-[1]!orders[[#This Row],[Order Date]]</f>
        <v>2</v>
      </c>
      <c r="N1584" s="1">
        <f>WEEKNUM([1]!orders[[#This Row],[Order Date]])</f>
        <v>9</v>
      </c>
      <c r="O1584" t="str" cm="1">
        <f t="array" ref="O1584">_xlfn.IFS([1]!orders[[#This Row],[Customer Gender]]="M","Male", [1]!orders[[#This Row],[Customer Gender]]="F","Female", [1]!orders[[#This Row],[Customer Gender]]="O","Other", TRUE,"Unknown")</f>
        <v>Male</v>
      </c>
    </row>
    <row r="1585" spans="1:15" x14ac:dyDescent="0.25">
      <c r="A1585" t="s">
        <v>1669</v>
      </c>
      <c r="B1585" t="s">
        <v>27</v>
      </c>
      <c r="C1585">
        <v>3</v>
      </c>
      <c r="D1585">
        <v>37.4</v>
      </c>
      <c r="E1585">
        <v>112.19999999999999</v>
      </c>
      <c r="F1585" s="3">
        <v>45716</v>
      </c>
      <c r="G1585" s="3">
        <v>45717</v>
      </c>
      <c r="H1585" t="s">
        <v>12</v>
      </c>
      <c r="I1585" t="s">
        <v>36</v>
      </c>
      <c r="J1585">
        <v>4</v>
      </c>
      <c r="K1585" t="s">
        <v>4</v>
      </c>
      <c r="L1585" t="s">
        <v>9</v>
      </c>
      <c r="M1585">
        <f>[1]!orders[[#This Row],[Ship Date]]-[1]!orders[[#This Row],[Order Date]]</f>
        <v>1</v>
      </c>
      <c r="N1585">
        <f>WEEKNUM([1]!orders[[#This Row],[Order Date]])</f>
        <v>9</v>
      </c>
      <c r="O1585" t="str" cm="1">
        <f t="array" ref="O1585">_xlfn.IFS([1]!orders[[#This Row],[Customer Gender]]="M","Male", [1]!orders[[#This Row],[Customer Gender]]="F","Female", [1]!orders[[#This Row],[Customer Gender]]="O","Other", TRUE,"Unknown")</f>
        <v>Female</v>
      </c>
    </row>
    <row r="1586" spans="1:15" x14ac:dyDescent="0.25">
      <c r="A1586" s="1" t="s">
        <v>1670</v>
      </c>
      <c r="B1586" s="1" t="s">
        <v>24</v>
      </c>
      <c r="C1586" s="1">
        <v>3</v>
      </c>
      <c r="D1586" s="1">
        <v>53.5</v>
      </c>
      <c r="E1586" s="1">
        <v>160.5</v>
      </c>
      <c r="F1586" s="2">
        <v>45716</v>
      </c>
      <c r="G1586" s="2">
        <v>45719</v>
      </c>
      <c r="H1586" s="1" t="s">
        <v>2</v>
      </c>
      <c r="I1586" s="1" t="s">
        <v>55</v>
      </c>
      <c r="J1586" s="1">
        <v>2</v>
      </c>
      <c r="K1586" s="1" t="s">
        <v>4</v>
      </c>
      <c r="L1586" s="1" t="s">
        <v>9</v>
      </c>
      <c r="M1586" s="1">
        <f>[1]!orders[[#This Row],[Ship Date]]-[1]!orders[[#This Row],[Order Date]]</f>
        <v>3</v>
      </c>
      <c r="N1586" s="1">
        <f>WEEKNUM([1]!orders[[#This Row],[Order Date]])</f>
        <v>9</v>
      </c>
      <c r="O1586" t="str" cm="1">
        <f t="array" ref="O1586">_xlfn.IFS([1]!orders[[#This Row],[Customer Gender]]="M","Male", [1]!orders[[#This Row],[Customer Gender]]="F","Female", [1]!orders[[#This Row],[Customer Gender]]="O","Other", TRUE,"Unknown")</f>
        <v>Unknown</v>
      </c>
    </row>
    <row r="1587" spans="1:15" x14ac:dyDescent="0.25">
      <c r="A1587" t="s">
        <v>1671</v>
      </c>
      <c r="B1587" t="s">
        <v>52</v>
      </c>
      <c r="C1587">
        <v>5</v>
      </c>
      <c r="D1587">
        <v>36.200000000000003</v>
      </c>
      <c r="E1587">
        <v>181</v>
      </c>
      <c r="F1587" s="3">
        <v>45716</v>
      </c>
      <c r="G1587" s="3">
        <v>45717</v>
      </c>
      <c r="H1587" t="s">
        <v>8</v>
      </c>
      <c r="I1587" t="s">
        <v>20</v>
      </c>
      <c r="J1587">
        <v>5</v>
      </c>
      <c r="K1587" t="s">
        <v>4</v>
      </c>
      <c r="L1587" t="s">
        <v>316</v>
      </c>
      <c r="M1587">
        <f>[1]!orders[[#This Row],[Ship Date]]-[1]!orders[[#This Row],[Order Date]]</f>
        <v>1</v>
      </c>
      <c r="N1587">
        <f>WEEKNUM([1]!orders[[#This Row],[Order Date]])</f>
        <v>9</v>
      </c>
      <c r="O1587" t="str" cm="1">
        <f t="array" ref="O1587">_xlfn.IFS([1]!orders[[#This Row],[Customer Gender]]="M","Male", [1]!orders[[#This Row],[Customer Gender]]="F","Female", [1]!orders[[#This Row],[Customer Gender]]="O","Other", TRUE,"Unknown")</f>
        <v>Male</v>
      </c>
    </row>
    <row r="1588" spans="1:15" x14ac:dyDescent="0.25">
      <c r="A1588" s="1" t="s">
        <v>1672</v>
      </c>
      <c r="B1588" s="1" t="s">
        <v>1</v>
      </c>
      <c r="C1588" s="1">
        <v>8</v>
      </c>
      <c r="D1588" s="1">
        <v>31.9</v>
      </c>
      <c r="E1588" s="1">
        <v>255.2</v>
      </c>
      <c r="F1588" s="2">
        <v>45716</v>
      </c>
      <c r="G1588" s="2">
        <v>45717</v>
      </c>
      <c r="H1588" s="1" t="s">
        <v>12</v>
      </c>
      <c r="I1588" s="1" t="s">
        <v>55</v>
      </c>
      <c r="J1588" s="1">
        <v>4</v>
      </c>
      <c r="K1588" s="1" t="s">
        <v>4</v>
      </c>
      <c r="L1588" s="1" t="s">
        <v>18</v>
      </c>
      <c r="M1588" s="1">
        <f>[1]!orders[[#This Row],[Ship Date]]-[1]!orders[[#This Row],[Order Date]]</f>
        <v>1</v>
      </c>
      <c r="N1588" s="1">
        <f>WEEKNUM([1]!orders[[#This Row],[Order Date]])</f>
        <v>9</v>
      </c>
      <c r="O1588" t="str" cm="1">
        <f t="array" ref="O1588">_xlfn.IFS([1]!orders[[#This Row],[Customer Gender]]="M","Male", [1]!orders[[#This Row],[Customer Gender]]="F","Female", [1]!orders[[#This Row],[Customer Gender]]="O","Other", TRUE,"Unknown")</f>
        <v>Female</v>
      </c>
    </row>
    <row r="1589" spans="1:15" x14ac:dyDescent="0.25">
      <c r="A1589" t="s">
        <v>1673</v>
      </c>
      <c r="B1589" t="s">
        <v>29</v>
      </c>
      <c r="C1589">
        <v>3</v>
      </c>
      <c r="D1589">
        <v>21.3</v>
      </c>
      <c r="E1589">
        <v>63.900000000000006</v>
      </c>
      <c r="F1589" s="3">
        <v>45716</v>
      </c>
      <c r="G1589" s="3">
        <v>45717</v>
      </c>
      <c r="H1589" t="s">
        <v>8</v>
      </c>
      <c r="I1589" t="s">
        <v>3</v>
      </c>
      <c r="J1589">
        <v>5</v>
      </c>
      <c r="K1589" t="s">
        <v>4</v>
      </c>
      <c r="L1589" t="s">
        <v>18</v>
      </c>
      <c r="M1589">
        <f>[1]!orders[[#This Row],[Ship Date]]-[1]!orders[[#This Row],[Order Date]]</f>
        <v>1</v>
      </c>
      <c r="N1589">
        <f>WEEKNUM([1]!orders[[#This Row],[Order Date]])</f>
        <v>9</v>
      </c>
      <c r="O1589" t="str" cm="1">
        <f t="array" ref="O1589">_xlfn.IFS([1]!orders[[#This Row],[Customer Gender]]="M","Male", [1]!orders[[#This Row],[Customer Gender]]="F","Female", [1]!orders[[#This Row],[Customer Gender]]="O","Other", TRUE,"Unknown")</f>
        <v>Male</v>
      </c>
    </row>
    <row r="1590" spans="1:15" x14ac:dyDescent="0.25">
      <c r="A1590" s="1" t="s">
        <v>1674</v>
      </c>
      <c r="B1590" s="1" t="s">
        <v>29</v>
      </c>
      <c r="C1590" s="1">
        <v>1</v>
      </c>
      <c r="D1590" s="1">
        <v>36.299999999999997</v>
      </c>
      <c r="E1590" s="1">
        <v>36.299999999999997</v>
      </c>
      <c r="F1590" s="2">
        <v>45716</v>
      </c>
      <c r="G1590" s="2">
        <v>45718</v>
      </c>
      <c r="H1590" s="1" t="s">
        <v>74</v>
      </c>
      <c r="I1590" s="1" t="s">
        <v>55</v>
      </c>
      <c r="J1590" s="1">
        <v>4</v>
      </c>
      <c r="K1590" s="1" t="s">
        <v>4</v>
      </c>
      <c r="L1590" s="1" t="s">
        <v>18</v>
      </c>
      <c r="M1590" s="1">
        <f>[1]!orders[[#This Row],[Ship Date]]-[1]!orders[[#This Row],[Order Date]]</f>
        <v>2</v>
      </c>
      <c r="N1590" s="1">
        <f>WEEKNUM([1]!orders[[#This Row],[Order Date]])</f>
        <v>9</v>
      </c>
      <c r="O1590" t="str" cm="1">
        <f t="array" ref="O1590">_xlfn.IFS([1]!orders[[#This Row],[Customer Gender]]="M","Male", [1]!orders[[#This Row],[Customer Gender]]="F","Female", [1]!orders[[#This Row],[Customer Gender]]="O","Other", TRUE,"Unknown")</f>
        <v>Other</v>
      </c>
    </row>
    <row r="1591" spans="1:15" x14ac:dyDescent="0.25">
      <c r="A1591" t="s">
        <v>1675</v>
      </c>
      <c r="B1591" t="s">
        <v>24</v>
      </c>
      <c r="C1591">
        <v>3</v>
      </c>
      <c r="D1591">
        <v>110.5</v>
      </c>
      <c r="E1591">
        <v>331.5</v>
      </c>
      <c r="F1591" s="3">
        <v>45716</v>
      </c>
      <c r="G1591" s="3">
        <v>45717</v>
      </c>
      <c r="H1591" t="s">
        <v>12</v>
      </c>
      <c r="I1591" t="s">
        <v>3</v>
      </c>
      <c r="J1591">
        <v>1</v>
      </c>
      <c r="K1591" t="s">
        <v>4</v>
      </c>
      <c r="L1591" t="s">
        <v>18</v>
      </c>
      <c r="M1591">
        <f>[1]!orders[[#This Row],[Ship Date]]-[1]!orders[[#This Row],[Order Date]]</f>
        <v>1</v>
      </c>
      <c r="N1591">
        <f>WEEKNUM([1]!orders[[#This Row],[Order Date]])</f>
        <v>9</v>
      </c>
      <c r="O1591" t="str" cm="1">
        <f t="array" ref="O1591">_xlfn.IFS([1]!orders[[#This Row],[Customer Gender]]="M","Male", [1]!orders[[#This Row],[Customer Gender]]="F","Female", [1]!orders[[#This Row],[Customer Gender]]="O","Other", TRUE,"Unknown")</f>
        <v>Female</v>
      </c>
    </row>
    <row r="1592" spans="1:15" x14ac:dyDescent="0.25">
      <c r="A1592" s="1" t="s">
        <v>1676</v>
      </c>
      <c r="B1592" s="1" t="s">
        <v>39</v>
      </c>
      <c r="C1592" s="1">
        <v>7</v>
      </c>
      <c r="D1592" s="1">
        <v>32.6</v>
      </c>
      <c r="E1592" s="1">
        <v>228.20000000000002</v>
      </c>
      <c r="F1592" s="2">
        <v>45716</v>
      </c>
      <c r="G1592" s="2">
        <v>45718</v>
      </c>
      <c r="H1592" s="1" t="s">
        <v>12</v>
      </c>
      <c r="I1592" s="1" t="s">
        <v>3</v>
      </c>
      <c r="J1592" s="1">
        <v>3</v>
      </c>
      <c r="K1592" s="1" t="s">
        <v>4</v>
      </c>
      <c r="L1592" s="1" t="s">
        <v>18</v>
      </c>
      <c r="M1592" s="1">
        <f>[1]!orders[[#This Row],[Ship Date]]-[1]!orders[[#This Row],[Order Date]]</f>
        <v>2</v>
      </c>
      <c r="N1592" s="1">
        <f>WEEKNUM([1]!orders[[#This Row],[Order Date]])</f>
        <v>9</v>
      </c>
      <c r="O1592" t="str" cm="1">
        <f t="array" ref="O1592">_xlfn.IFS([1]!orders[[#This Row],[Customer Gender]]="M","Male", [1]!orders[[#This Row],[Customer Gender]]="F","Female", [1]!orders[[#This Row],[Customer Gender]]="O","Other", TRUE,"Unknown")</f>
        <v>Female</v>
      </c>
    </row>
    <row r="1593" spans="1:15" x14ac:dyDescent="0.25">
      <c r="A1593" t="s">
        <v>1677</v>
      </c>
      <c r="B1593" t="s">
        <v>22</v>
      </c>
      <c r="C1593">
        <v>3</v>
      </c>
      <c r="D1593">
        <v>55.6</v>
      </c>
      <c r="E1593">
        <v>166.8</v>
      </c>
      <c r="F1593" s="3">
        <v>45717</v>
      </c>
      <c r="G1593" s="3">
        <v>45730</v>
      </c>
      <c r="H1593" t="s">
        <v>12</v>
      </c>
      <c r="I1593" t="s">
        <v>3</v>
      </c>
      <c r="J1593">
        <v>4</v>
      </c>
      <c r="K1593" t="s">
        <v>4</v>
      </c>
      <c r="L1593" t="s">
        <v>18</v>
      </c>
      <c r="M1593">
        <f>[1]!orders[[#This Row],[Ship Date]]-[1]!orders[[#This Row],[Order Date]]</f>
        <v>13</v>
      </c>
      <c r="N1593">
        <f>WEEKNUM([1]!orders[[#This Row],[Order Date]])</f>
        <v>9</v>
      </c>
      <c r="O1593" t="str" cm="1">
        <f t="array" ref="O1593">_xlfn.IFS([1]!orders[[#This Row],[Customer Gender]]="M","Male", [1]!orders[[#This Row],[Customer Gender]]="F","Female", [1]!orders[[#This Row],[Customer Gender]]="O","Other", TRUE,"Unknown")</f>
        <v>Female</v>
      </c>
    </row>
    <row r="1594" spans="1:15" x14ac:dyDescent="0.25">
      <c r="A1594" s="1" t="s">
        <v>1678</v>
      </c>
      <c r="B1594" s="1" t="s">
        <v>7</v>
      </c>
      <c r="C1594" s="1">
        <v>4</v>
      </c>
      <c r="D1594" s="1">
        <v>38</v>
      </c>
      <c r="E1594" s="1">
        <v>152</v>
      </c>
      <c r="F1594" s="2">
        <v>45717</v>
      </c>
      <c r="G1594" s="2">
        <v>45718</v>
      </c>
      <c r="H1594" s="1" t="s">
        <v>12</v>
      </c>
      <c r="I1594" s="1" t="s">
        <v>36</v>
      </c>
      <c r="J1594" s="1">
        <v>5</v>
      </c>
      <c r="K1594" s="1" t="s">
        <v>4</v>
      </c>
      <c r="L1594" s="1" t="s">
        <v>37</v>
      </c>
      <c r="M1594" s="1">
        <f>[1]!orders[[#This Row],[Ship Date]]-[1]!orders[[#This Row],[Order Date]]</f>
        <v>1</v>
      </c>
      <c r="N1594" s="1">
        <f>WEEKNUM([1]!orders[[#This Row],[Order Date]])</f>
        <v>9</v>
      </c>
      <c r="O1594" t="str" cm="1">
        <f t="array" ref="O1594">_xlfn.IFS([1]!orders[[#This Row],[Customer Gender]]="M","Male", [1]!orders[[#This Row],[Customer Gender]]="F","Female", [1]!orders[[#This Row],[Customer Gender]]="O","Other", TRUE,"Unknown")</f>
        <v>Female</v>
      </c>
    </row>
    <row r="1595" spans="1:15" x14ac:dyDescent="0.25">
      <c r="A1595" t="s">
        <v>1679</v>
      </c>
      <c r="B1595" t="s">
        <v>39</v>
      </c>
      <c r="C1595">
        <v>2</v>
      </c>
      <c r="D1595">
        <v>51.8</v>
      </c>
      <c r="E1595">
        <v>103.6</v>
      </c>
      <c r="F1595" s="3">
        <v>45717</v>
      </c>
      <c r="G1595" s="3">
        <v>45723</v>
      </c>
      <c r="H1595" t="s">
        <v>8</v>
      </c>
      <c r="I1595" t="s">
        <v>20</v>
      </c>
      <c r="J1595">
        <v>2</v>
      </c>
      <c r="K1595" t="s">
        <v>4</v>
      </c>
      <c r="L1595" t="s">
        <v>40</v>
      </c>
      <c r="M1595">
        <f>[1]!orders[[#This Row],[Ship Date]]-[1]!orders[[#This Row],[Order Date]]</f>
        <v>6</v>
      </c>
      <c r="N1595">
        <f>WEEKNUM([1]!orders[[#This Row],[Order Date]])</f>
        <v>9</v>
      </c>
      <c r="O1595" t="str" cm="1">
        <f t="array" ref="O1595">_xlfn.IFS([1]!orders[[#This Row],[Customer Gender]]="M","Male", [1]!orders[[#This Row],[Customer Gender]]="F","Female", [1]!orders[[#This Row],[Customer Gender]]="O","Other", TRUE,"Unknown")</f>
        <v>Male</v>
      </c>
    </row>
    <row r="1596" spans="1:15" x14ac:dyDescent="0.25">
      <c r="A1596" s="1" t="s">
        <v>1680</v>
      </c>
      <c r="B1596" s="1" t="s">
        <v>52</v>
      </c>
      <c r="C1596" s="1">
        <v>8</v>
      </c>
      <c r="D1596" s="1">
        <v>28.7</v>
      </c>
      <c r="E1596" s="1">
        <v>229.6</v>
      </c>
      <c r="F1596" s="2">
        <v>45717</v>
      </c>
      <c r="G1596" s="2">
        <v>45722</v>
      </c>
      <c r="H1596" s="1" t="s">
        <v>12</v>
      </c>
      <c r="I1596" s="1" t="s">
        <v>3</v>
      </c>
      <c r="J1596" s="1">
        <v>4</v>
      </c>
      <c r="K1596" s="1" t="s">
        <v>4</v>
      </c>
      <c r="L1596" s="1" t="s">
        <v>40</v>
      </c>
      <c r="M1596" s="1">
        <f>[1]!orders[[#This Row],[Ship Date]]-[1]!orders[[#This Row],[Order Date]]</f>
        <v>5</v>
      </c>
      <c r="N1596" s="1">
        <f>WEEKNUM([1]!orders[[#This Row],[Order Date]])</f>
        <v>9</v>
      </c>
      <c r="O1596" t="str" cm="1">
        <f t="array" ref="O1596">_xlfn.IFS([1]!orders[[#This Row],[Customer Gender]]="M","Male", [1]!orders[[#This Row],[Customer Gender]]="F","Female", [1]!orders[[#This Row],[Customer Gender]]="O","Other", TRUE,"Unknown")</f>
        <v>Female</v>
      </c>
    </row>
    <row r="1597" spans="1:15" x14ac:dyDescent="0.25">
      <c r="A1597" t="s">
        <v>1681</v>
      </c>
      <c r="B1597" t="s">
        <v>24</v>
      </c>
      <c r="C1597">
        <v>12</v>
      </c>
      <c r="D1597">
        <v>52.2</v>
      </c>
      <c r="E1597">
        <v>626.40000000000009</v>
      </c>
      <c r="F1597" s="3">
        <v>45717</v>
      </c>
      <c r="G1597" s="3">
        <v>45717</v>
      </c>
      <c r="H1597" t="s">
        <v>8</v>
      </c>
      <c r="I1597" t="s">
        <v>3</v>
      </c>
      <c r="J1597">
        <v>3</v>
      </c>
      <c r="K1597" t="s">
        <v>4</v>
      </c>
      <c r="L1597" t="s">
        <v>40</v>
      </c>
      <c r="M1597">
        <f>[1]!orders[[#This Row],[Ship Date]]-[1]!orders[[#This Row],[Order Date]]</f>
        <v>0</v>
      </c>
      <c r="N1597">
        <f>WEEKNUM([1]!orders[[#This Row],[Order Date]])</f>
        <v>9</v>
      </c>
      <c r="O1597" t="str" cm="1">
        <f t="array" ref="O1597">_xlfn.IFS([1]!orders[[#This Row],[Customer Gender]]="M","Male", [1]!orders[[#This Row],[Customer Gender]]="F","Female", [1]!orders[[#This Row],[Customer Gender]]="O","Other", TRUE,"Unknown")</f>
        <v>Male</v>
      </c>
    </row>
    <row r="1598" spans="1:15" x14ac:dyDescent="0.25">
      <c r="A1598" s="1" t="s">
        <v>1682</v>
      </c>
      <c r="B1598" s="1" t="s">
        <v>7</v>
      </c>
      <c r="C1598" s="1">
        <v>2</v>
      </c>
      <c r="D1598" s="1">
        <v>68.2</v>
      </c>
      <c r="E1598" s="1">
        <v>136.4</v>
      </c>
      <c r="F1598" s="2">
        <v>45717</v>
      </c>
      <c r="G1598" s="2">
        <v>45718</v>
      </c>
      <c r="H1598" s="1" t="s">
        <v>2</v>
      </c>
      <c r="I1598" s="1" t="s">
        <v>25</v>
      </c>
      <c r="J1598" s="1">
        <v>4</v>
      </c>
      <c r="K1598" s="1" t="s">
        <v>4</v>
      </c>
      <c r="L1598" s="1" t="s">
        <v>44</v>
      </c>
      <c r="M1598" s="1">
        <f>[1]!orders[[#This Row],[Ship Date]]-[1]!orders[[#This Row],[Order Date]]</f>
        <v>1</v>
      </c>
      <c r="N1598" s="1">
        <f>WEEKNUM([1]!orders[[#This Row],[Order Date]])</f>
        <v>9</v>
      </c>
      <c r="O1598" t="str" cm="1">
        <f t="array" ref="O1598">_xlfn.IFS([1]!orders[[#This Row],[Customer Gender]]="M","Male", [1]!orders[[#This Row],[Customer Gender]]="F","Female", [1]!orders[[#This Row],[Customer Gender]]="O","Other", TRUE,"Unknown")</f>
        <v>Unknown</v>
      </c>
    </row>
    <row r="1599" spans="1:15" x14ac:dyDescent="0.25">
      <c r="A1599" t="s">
        <v>1683</v>
      </c>
      <c r="B1599" t="s">
        <v>1</v>
      </c>
      <c r="C1599">
        <v>3</v>
      </c>
      <c r="D1599">
        <v>34</v>
      </c>
      <c r="E1599">
        <v>102</v>
      </c>
      <c r="F1599" s="3">
        <v>45717</v>
      </c>
      <c r="G1599" s="3">
        <v>45721</v>
      </c>
      <c r="H1599" t="s">
        <v>12</v>
      </c>
      <c r="I1599" t="s">
        <v>3</v>
      </c>
      <c r="J1599">
        <v>4</v>
      </c>
      <c r="K1599" t="s">
        <v>4</v>
      </c>
      <c r="L1599" t="s">
        <v>47</v>
      </c>
      <c r="M1599">
        <f>[1]!orders[[#This Row],[Ship Date]]-[1]!orders[[#This Row],[Order Date]]</f>
        <v>4</v>
      </c>
      <c r="N1599">
        <f>WEEKNUM([1]!orders[[#This Row],[Order Date]])</f>
        <v>9</v>
      </c>
      <c r="O1599" t="str" cm="1">
        <f t="array" ref="O1599">_xlfn.IFS([1]!orders[[#This Row],[Customer Gender]]="M","Male", [1]!orders[[#This Row],[Customer Gender]]="F","Female", [1]!orders[[#This Row],[Customer Gender]]="O","Other", TRUE,"Unknown")</f>
        <v>Female</v>
      </c>
    </row>
    <row r="1600" spans="1:15" x14ac:dyDescent="0.25">
      <c r="A1600" s="1" t="s">
        <v>1684</v>
      </c>
      <c r="B1600" s="1" t="s">
        <v>29</v>
      </c>
      <c r="C1600" s="1">
        <v>3</v>
      </c>
      <c r="D1600" s="1">
        <v>19.100000000000001</v>
      </c>
      <c r="E1600" s="1">
        <v>57.300000000000004</v>
      </c>
      <c r="F1600" s="2">
        <v>45717</v>
      </c>
      <c r="G1600" s="2">
        <v>45718</v>
      </c>
      <c r="H1600" s="1" t="s">
        <v>12</v>
      </c>
      <c r="I1600" s="1" t="s">
        <v>55</v>
      </c>
      <c r="J1600" s="1">
        <v>4</v>
      </c>
      <c r="K1600" s="1" t="s">
        <v>4</v>
      </c>
      <c r="L1600" s="1" t="s">
        <v>47</v>
      </c>
      <c r="M1600" s="1">
        <f>[1]!orders[[#This Row],[Ship Date]]-[1]!orders[[#This Row],[Order Date]]</f>
        <v>1</v>
      </c>
      <c r="N1600" s="1">
        <f>WEEKNUM([1]!orders[[#This Row],[Order Date]])</f>
        <v>9</v>
      </c>
      <c r="O1600" t="str" cm="1">
        <f t="array" ref="O1600">_xlfn.IFS([1]!orders[[#This Row],[Customer Gender]]="M","Male", [1]!orders[[#This Row],[Customer Gender]]="F","Female", [1]!orders[[#This Row],[Customer Gender]]="O","Other", TRUE,"Unknown")</f>
        <v>Female</v>
      </c>
    </row>
    <row r="1601" spans="1:15" x14ac:dyDescent="0.25">
      <c r="A1601" t="s">
        <v>1685</v>
      </c>
      <c r="B1601" t="s">
        <v>22</v>
      </c>
      <c r="C1601">
        <v>8</v>
      </c>
      <c r="D1601">
        <v>34</v>
      </c>
      <c r="E1601">
        <v>272</v>
      </c>
      <c r="F1601" s="3">
        <v>45717</v>
      </c>
      <c r="G1601" s="3">
        <v>45725</v>
      </c>
      <c r="H1601" t="s">
        <v>12</v>
      </c>
      <c r="I1601" t="s">
        <v>55</v>
      </c>
      <c r="J1601">
        <v>4</v>
      </c>
      <c r="K1601" t="s">
        <v>4</v>
      </c>
      <c r="L1601" t="s">
        <v>47</v>
      </c>
      <c r="M1601">
        <f>[1]!orders[[#This Row],[Ship Date]]-[1]!orders[[#This Row],[Order Date]]</f>
        <v>8</v>
      </c>
      <c r="N1601">
        <f>WEEKNUM([1]!orders[[#This Row],[Order Date]])</f>
        <v>9</v>
      </c>
      <c r="O1601" t="str" cm="1">
        <f t="array" ref="O1601">_xlfn.IFS([1]!orders[[#This Row],[Customer Gender]]="M","Male", [1]!orders[[#This Row],[Customer Gender]]="F","Female", [1]!orders[[#This Row],[Customer Gender]]="O","Other", TRUE,"Unknown")</f>
        <v>Female</v>
      </c>
    </row>
    <row r="1602" spans="1:15" x14ac:dyDescent="0.25">
      <c r="A1602" s="1" t="s">
        <v>1686</v>
      </c>
      <c r="B1602" s="1" t="s">
        <v>54</v>
      </c>
      <c r="C1602" s="1">
        <v>2</v>
      </c>
      <c r="D1602" s="1">
        <v>109.1</v>
      </c>
      <c r="E1602" s="1">
        <v>218.2</v>
      </c>
      <c r="F1602" s="2">
        <v>45717</v>
      </c>
      <c r="G1602" s="2">
        <v>45719</v>
      </c>
      <c r="H1602" s="1" t="s">
        <v>8</v>
      </c>
      <c r="I1602" s="1" t="s">
        <v>3</v>
      </c>
      <c r="J1602" s="1">
        <v>5</v>
      </c>
      <c r="K1602" s="1" t="s">
        <v>4</v>
      </c>
      <c r="L1602" s="1" t="s">
        <v>47</v>
      </c>
      <c r="M1602" s="1">
        <f>[1]!orders[[#This Row],[Ship Date]]-[1]!orders[[#This Row],[Order Date]]</f>
        <v>2</v>
      </c>
      <c r="N1602" s="1">
        <f>WEEKNUM([1]!orders[[#This Row],[Order Date]])</f>
        <v>9</v>
      </c>
      <c r="O1602" t="str" cm="1">
        <f t="array" ref="O1602">_xlfn.IFS([1]!orders[[#This Row],[Customer Gender]]="M","Male", [1]!orders[[#This Row],[Customer Gender]]="F","Female", [1]!orders[[#This Row],[Customer Gender]]="O","Other", TRUE,"Unknown")</f>
        <v>Male</v>
      </c>
    </row>
    <row r="1603" spans="1:15" x14ac:dyDescent="0.25">
      <c r="A1603" t="s">
        <v>1687</v>
      </c>
      <c r="B1603" t="s">
        <v>131</v>
      </c>
      <c r="C1603">
        <v>2</v>
      </c>
      <c r="D1603">
        <v>64.8</v>
      </c>
      <c r="E1603">
        <v>129.6</v>
      </c>
      <c r="F1603" s="3">
        <v>45717</v>
      </c>
      <c r="G1603" s="3">
        <v>45719</v>
      </c>
      <c r="H1603" t="s">
        <v>8</v>
      </c>
      <c r="I1603" t="s">
        <v>3</v>
      </c>
      <c r="J1603">
        <v>5</v>
      </c>
      <c r="K1603" t="s">
        <v>4</v>
      </c>
      <c r="L1603" t="s">
        <v>47</v>
      </c>
      <c r="M1603">
        <f>[1]!orders[[#This Row],[Ship Date]]-[1]!orders[[#This Row],[Order Date]]</f>
        <v>2</v>
      </c>
      <c r="N1603">
        <f>WEEKNUM([1]!orders[[#This Row],[Order Date]])</f>
        <v>9</v>
      </c>
      <c r="O1603" t="str" cm="1">
        <f t="array" ref="O1603">_xlfn.IFS([1]!orders[[#This Row],[Customer Gender]]="M","Male", [1]!orders[[#This Row],[Customer Gender]]="F","Female", [1]!orders[[#This Row],[Customer Gender]]="O","Other", TRUE,"Unknown")</f>
        <v>Male</v>
      </c>
    </row>
    <row r="1604" spans="1:15" x14ac:dyDescent="0.25">
      <c r="A1604" s="1" t="s">
        <v>1688</v>
      </c>
      <c r="B1604" s="1" t="s">
        <v>39</v>
      </c>
      <c r="C1604" s="1">
        <v>2</v>
      </c>
      <c r="D1604" s="1">
        <v>21.1</v>
      </c>
      <c r="E1604" s="1">
        <v>42.2</v>
      </c>
      <c r="F1604" s="2">
        <v>45717</v>
      </c>
      <c r="G1604" s="2">
        <v>45717</v>
      </c>
      <c r="H1604" s="1" t="s">
        <v>12</v>
      </c>
      <c r="I1604" s="1" t="s">
        <v>20</v>
      </c>
      <c r="J1604" s="1">
        <v>4</v>
      </c>
      <c r="K1604" s="1" t="s">
        <v>4</v>
      </c>
      <c r="L1604" s="1" t="s">
        <v>62</v>
      </c>
      <c r="M1604" s="1">
        <f>[1]!orders[[#This Row],[Ship Date]]-[1]!orders[[#This Row],[Order Date]]</f>
        <v>0</v>
      </c>
      <c r="N1604" s="1">
        <f>WEEKNUM([1]!orders[[#This Row],[Order Date]])</f>
        <v>9</v>
      </c>
      <c r="O1604" t="str" cm="1">
        <f t="array" ref="O1604">_xlfn.IFS([1]!orders[[#This Row],[Customer Gender]]="M","Male", [1]!orders[[#This Row],[Customer Gender]]="F","Female", [1]!orders[[#This Row],[Customer Gender]]="O","Other", TRUE,"Unknown")</f>
        <v>Female</v>
      </c>
    </row>
    <row r="1605" spans="1:15" x14ac:dyDescent="0.25">
      <c r="A1605" t="s">
        <v>1689</v>
      </c>
      <c r="B1605" t="s">
        <v>1</v>
      </c>
      <c r="C1605">
        <v>8</v>
      </c>
      <c r="D1605">
        <v>21.3</v>
      </c>
      <c r="E1605">
        <v>170.4</v>
      </c>
      <c r="F1605" s="3">
        <v>45717</v>
      </c>
      <c r="G1605" s="3">
        <v>45719</v>
      </c>
      <c r="H1605" t="s">
        <v>8</v>
      </c>
      <c r="I1605" t="s">
        <v>36</v>
      </c>
      <c r="J1605">
        <v>3</v>
      </c>
      <c r="K1605" t="s">
        <v>4</v>
      </c>
      <c r="L1605" t="s">
        <v>93</v>
      </c>
      <c r="M1605">
        <f>[1]!orders[[#This Row],[Ship Date]]-[1]!orders[[#This Row],[Order Date]]</f>
        <v>2</v>
      </c>
      <c r="N1605">
        <f>WEEKNUM([1]!orders[[#This Row],[Order Date]])</f>
        <v>9</v>
      </c>
      <c r="O1605" t="str" cm="1">
        <f t="array" ref="O1605">_xlfn.IFS([1]!orders[[#This Row],[Customer Gender]]="M","Male", [1]!orders[[#This Row],[Customer Gender]]="F","Female", [1]!orders[[#This Row],[Customer Gender]]="O","Other", TRUE,"Unknown")</f>
        <v>Male</v>
      </c>
    </row>
    <row r="1606" spans="1:15" x14ac:dyDescent="0.25">
      <c r="A1606" s="1" t="s">
        <v>1690</v>
      </c>
      <c r="B1606" s="1" t="s">
        <v>31</v>
      </c>
      <c r="C1606" s="1">
        <v>3</v>
      </c>
      <c r="D1606" s="1">
        <v>24.3</v>
      </c>
      <c r="E1606" s="1">
        <v>72.900000000000006</v>
      </c>
      <c r="F1606" s="2">
        <v>45717</v>
      </c>
      <c r="G1606" s="2">
        <v>45718</v>
      </c>
      <c r="H1606" s="1" t="s">
        <v>8</v>
      </c>
      <c r="I1606" s="1" t="s">
        <v>20</v>
      </c>
      <c r="J1606" s="1">
        <v>4</v>
      </c>
      <c r="K1606" s="1" t="s">
        <v>4</v>
      </c>
      <c r="L1606" s="1" t="s">
        <v>95</v>
      </c>
      <c r="M1606" s="1">
        <f>[1]!orders[[#This Row],[Ship Date]]-[1]!orders[[#This Row],[Order Date]]</f>
        <v>1</v>
      </c>
      <c r="N1606" s="1">
        <f>WEEKNUM([1]!orders[[#This Row],[Order Date]])</f>
        <v>9</v>
      </c>
      <c r="O1606" t="str" cm="1">
        <f t="array" ref="O1606">_xlfn.IFS([1]!orders[[#This Row],[Customer Gender]]="M","Male", [1]!orders[[#This Row],[Customer Gender]]="F","Female", [1]!orders[[#This Row],[Customer Gender]]="O","Other", TRUE,"Unknown")</f>
        <v>Male</v>
      </c>
    </row>
    <row r="1607" spans="1:15" x14ac:dyDescent="0.25">
      <c r="A1607" t="s">
        <v>1691</v>
      </c>
      <c r="B1607" t="s">
        <v>29</v>
      </c>
      <c r="C1607">
        <v>1</v>
      </c>
      <c r="D1607">
        <v>43.3</v>
      </c>
      <c r="E1607">
        <v>43.3</v>
      </c>
      <c r="F1607" s="3">
        <v>45717</v>
      </c>
      <c r="G1607" s="3">
        <v>45721</v>
      </c>
      <c r="H1607" t="s">
        <v>8</v>
      </c>
      <c r="I1607" t="s">
        <v>20</v>
      </c>
      <c r="J1607">
        <v>3</v>
      </c>
      <c r="K1607" t="s">
        <v>4</v>
      </c>
      <c r="L1607" t="s">
        <v>67</v>
      </c>
      <c r="M1607">
        <f>[1]!orders[[#This Row],[Ship Date]]-[1]!orders[[#This Row],[Order Date]]</f>
        <v>4</v>
      </c>
      <c r="N1607">
        <f>WEEKNUM([1]!orders[[#This Row],[Order Date]])</f>
        <v>9</v>
      </c>
      <c r="O1607" t="str" cm="1">
        <f t="array" ref="O1607">_xlfn.IFS([1]!orders[[#This Row],[Customer Gender]]="M","Male", [1]!orders[[#This Row],[Customer Gender]]="F","Female", [1]!orders[[#This Row],[Customer Gender]]="O","Other", TRUE,"Unknown")</f>
        <v>Male</v>
      </c>
    </row>
    <row r="1608" spans="1:15" x14ac:dyDescent="0.25">
      <c r="A1608" s="1" t="s">
        <v>1692</v>
      </c>
      <c r="B1608" s="1" t="s">
        <v>31</v>
      </c>
      <c r="C1608" s="1">
        <v>3</v>
      </c>
      <c r="D1608" s="1">
        <v>41</v>
      </c>
      <c r="E1608" s="1">
        <v>123</v>
      </c>
      <c r="F1608" s="2">
        <v>45717</v>
      </c>
      <c r="G1608" s="2">
        <v>45718</v>
      </c>
      <c r="H1608" s="1" t="s">
        <v>12</v>
      </c>
      <c r="I1608" s="1" t="s">
        <v>36</v>
      </c>
      <c r="J1608" s="1">
        <v>2</v>
      </c>
      <c r="K1608" s="1" t="s">
        <v>4</v>
      </c>
      <c r="L1608" s="1" t="s">
        <v>100</v>
      </c>
      <c r="M1608" s="1">
        <f>[1]!orders[[#This Row],[Ship Date]]-[1]!orders[[#This Row],[Order Date]]</f>
        <v>1</v>
      </c>
      <c r="N1608" s="1">
        <f>WEEKNUM([1]!orders[[#This Row],[Order Date]])</f>
        <v>9</v>
      </c>
      <c r="O1608" t="str" cm="1">
        <f t="array" ref="O1608">_xlfn.IFS([1]!orders[[#This Row],[Customer Gender]]="M","Male", [1]!orders[[#This Row],[Customer Gender]]="F","Female", [1]!orders[[#This Row],[Customer Gender]]="O","Other", TRUE,"Unknown")</f>
        <v>Female</v>
      </c>
    </row>
    <row r="1609" spans="1:15" x14ac:dyDescent="0.25">
      <c r="A1609" t="s">
        <v>1693</v>
      </c>
      <c r="B1609" t="s">
        <v>113</v>
      </c>
      <c r="C1609">
        <v>3</v>
      </c>
      <c r="D1609">
        <v>54.1</v>
      </c>
      <c r="E1609">
        <v>162.30000000000001</v>
      </c>
      <c r="F1609" s="3">
        <v>45717</v>
      </c>
      <c r="G1609" s="3">
        <v>45719</v>
      </c>
      <c r="H1609" t="s">
        <v>12</v>
      </c>
      <c r="I1609" t="s">
        <v>55</v>
      </c>
      <c r="J1609">
        <v>4</v>
      </c>
      <c r="K1609" t="s">
        <v>4</v>
      </c>
      <c r="L1609" t="s">
        <v>100</v>
      </c>
      <c r="M1609">
        <f>[1]!orders[[#This Row],[Ship Date]]-[1]!orders[[#This Row],[Order Date]]</f>
        <v>2</v>
      </c>
      <c r="N1609">
        <f>WEEKNUM([1]!orders[[#This Row],[Order Date]])</f>
        <v>9</v>
      </c>
      <c r="O1609" t="str" cm="1">
        <f t="array" ref="O1609">_xlfn.IFS([1]!orders[[#This Row],[Customer Gender]]="M","Male", [1]!orders[[#This Row],[Customer Gender]]="F","Female", [1]!orders[[#This Row],[Customer Gender]]="O","Other", TRUE,"Unknown")</f>
        <v>Female</v>
      </c>
    </row>
    <row r="1610" spans="1:15" x14ac:dyDescent="0.25">
      <c r="A1610" s="1" t="s">
        <v>1694</v>
      </c>
      <c r="B1610" s="1" t="s">
        <v>52</v>
      </c>
      <c r="C1610" s="1">
        <v>2</v>
      </c>
      <c r="D1610" s="1">
        <v>39</v>
      </c>
      <c r="E1610" s="1">
        <v>78</v>
      </c>
      <c r="F1610" s="2">
        <v>45717</v>
      </c>
      <c r="G1610" s="2">
        <v>45718</v>
      </c>
      <c r="H1610" s="1" t="s">
        <v>8</v>
      </c>
      <c r="I1610" s="1" t="s">
        <v>20</v>
      </c>
      <c r="J1610" s="1">
        <v>5</v>
      </c>
      <c r="K1610" s="1" t="s">
        <v>4</v>
      </c>
      <c r="L1610" s="1" t="s">
        <v>9</v>
      </c>
      <c r="M1610" s="1">
        <f>[1]!orders[[#This Row],[Ship Date]]-[1]!orders[[#This Row],[Order Date]]</f>
        <v>1</v>
      </c>
      <c r="N1610" s="1">
        <f>WEEKNUM([1]!orders[[#This Row],[Order Date]])</f>
        <v>9</v>
      </c>
      <c r="O1610" t="str" cm="1">
        <f t="array" ref="O1610">_xlfn.IFS([1]!orders[[#This Row],[Customer Gender]]="M","Male", [1]!orders[[#This Row],[Customer Gender]]="F","Female", [1]!orders[[#This Row],[Customer Gender]]="O","Other", TRUE,"Unknown")</f>
        <v>Male</v>
      </c>
    </row>
    <row r="1611" spans="1:15" x14ac:dyDescent="0.25">
      <c r="A1611" t="s">
        <v>1695</v>
      </c>
      <c r="B1611" t="s">
        <v>29</v>
      </c>
      <c r="C1611">
        <v>2</v>
      </c>
      <c r="D1611">
        <v>40.299999999999997</v>
      </c>
      <c r="E1611">
        <v>80.599999999999994</v>
      </c>
      <c r="F1611" s="3">
        <v>45717</v>
      </c>
      <c r="G1611" s="3">
        <v>45719</v>
      </c>
      <c r="H1611" t="s">
        <v>8</v>
      </c>
      <c r="I1611" t="s">
        <v>36</v>
      </c>
      <c r="J1611">
        <v>4</v>
      </c>
      <c r="K1611" t="s">
        <v>4</v>
      </c>
      <c r="L1611" t="s">
        <v>193</v>
      </c>
      <c r="M1611">
        <f>[1]!orders[[#This Row],[Ship Date]]-[1]!orders[[#This Row],[Order Date]]</f>
        <v>2</v>
      </c>
      <c r="N1611">
        <f>WEEKNUM([1]!orders[[#This Row],[Order Date]])</f>
        <v>9</v>
      </c>
      <c r="O1611" t="str" cm="1">
        <f t="array" ref="O1611">_xlfn.IFS([1]!orders[[#This Row],[Customer Gender]]="M","Male", [1]!orders[[#This Row],[Customer Gender]]="F","Female", [1]!orders[[#This Row],[Customer Gender]]="O","Other", TRUE,"Unknown")</f>
        <v>Male</v>
      </c>
    </row>
    <row r="1612" spans="1:15" x14ac:dyDescent="0.25">
      <c r="A1612" s="1" t="s">
        <v>1696</v>
      </c>
      <c r="B1612" s="1" t="s">
        <v>29</v>
      </c>
      <c r="C1612" s="1">
        <v>3</v>
      </c>
      <c r="D1612" s="1">
        <v>24.1</v>
      </c>
      <c r="E1612" s="1">
        <v>72.300000000000011</v>
      </c>
      <c r="F1612" s="2">
        <v>45717</v>
      </c>
      <c r="G1612" s="2">
        <v>45718</v>
      </c>
      <c r="H1612" s="1" t="s">
        <v>8</v>
      </c>
      <c r="I1612" s="1" t="s">
        <v>3</v>
      </c>
      <c r="J1612" s="1">
        <v>5</v>
      </c>
      <c r="K1612" s="1" t="s">
        <v>4</v>
      </c>
      <c r="L1612" s="1" t="s">
        <v>319</v>
      </c>
      <c r="M1612" s="1">
        <f>[1]!orders[[#This Row],[Ship Date]]-[1]!orders[[#This Row],[Order Date]]</f>
        <v>1</v>
      </c>
      <c r="N1612" s="1">
        <f>WEEKNUM([1]!orders[[#This Row],[Order Date]])</f>
        <v>9</v>
      </c>
      <c r="O1612" t="str" cm="1">
        <f t="array" ref="O1612">_xlfn.IFS([1]!orders[[#This Row],[Customer Gender]]="M","Male", [1]!orders[[#This Row],[Customer Gender]]="F","Female", [1]!orders[[#This Row],[Customer Gender]]="O","Other", TRUE,"Unknown")</f>
        <v>Male</v>
      </c>
    </row>
    <row r="1613" spans="1:15" x14ac:dyDescent="0.25">
      <c r="A1613" t="s">
        <v>1697</v>
      </c>
      <c r="B1613" t="s">
        <v>24</v>
      </c>
      <c r="C1613">
        <v>5</v>
      </c>
      <c r="D1613">
        <v>52.3</v>
      </c>
      <c r="E1613">
        <v>261.5</v>
      </c>
      <c r="F1613" s="3">
        <v>45717</v>
      </c>
      <c r="G1613" s="3">
        <v>45718</v>
      </c>
      <c r="H1613" t="s">
        <v>8</v>
      </c>
      <c r="I1613" t="s">
        <v>25</v>
      </c>
      <c r="J1613">
        <v>4</v>
      </c>
      <c r="K1613" t="s">
        <v>4</v>
      </c>
      <c r="L1613" t="s">
        <v>18</v>
      </c>
      <c r="M1613">
        <f>[1]!orders[[#This Row],[Ship Date]]-[1]!orders[[#This Row],[Order Date]]</f>
        <v>1</v>
      </c>
      <c r="N1613">
        <f>WEEKNUM([1]!orders[[#This Row],[Order Date]])</f>
        <v>9</v>
      </c>
      <c r="O1613" t="str" cm="1">
        <f t="array" ref="O1613">_xlfn.IFS([1]!orders[[#This Row],[Customer Gender]]="M","Male", [1]!orders[[#This Row],[Customer Gender]]="F","Female", [1]!orders[[#This Row],[Customer Gender]]="O","Other", TRUE,"Unknown")</f>
        <v>Male</v>
      </c>
    </row>
    <row r="1614" spans="1:15" x14ac:dyDescent="0.25">
      <c r="A1614" s="1" t="s">
        <v>1698</v>
      </c>
      <c r="B1614" s="1" t="s">
        <v>54</v>
      </c>
      <c r="C1614" s="1">
        <v>4</v>
      </c>
      <c r="D1614" s="1">
        <v>68.8</v>
      </c>
      <c r="E1614" s="1">
        <v>275.2</v>
      </c>
      <c r="F1614" s="2">
        <v>45717</v>
      </c>
      <c r="G1614" s="2">
        <v>45721</v>
      </c>
      <c r="H1614" s="1" t="s">
        <v>12</v>
      </c>
      <c r="I1614" s="1" t="s">
        <v>55</v>
      </c>
      <c r="J1614" s="1">
        <v>5</v>
      </c>
      <c r="K1614" s="1" t="s">
        <v>4</v>
      </c>
      <c r="L1614" s="1" t="s">
        <v>18</v>
      </c>
      <c r="M1614" s="1">
        <f>[1]!orders[[#This Row],[Ship Date]]-[1]!orders[[#This Row],[Order Date]]</f>
        <v>4</v>
      </c>
      <c r="N1614" s="1">
        <f>WEEKNUM([1]!orders[[#This Row],[Order Date]])</f>
        <v>9</v>
      </c>
      <c r="O1614" t="str" cm="1">
        <f t="array" ref="O1614">_xlfn.IFS([1]!orders[[#This Row],[Customer Gender]]="M","Male", [1]!orders[[#This Row],[Customer Gender]]="F","Female", [1]!orders[[#This Row],[Customer Gender]]="O","Other", TRUE,"Unknown")</f>
        <v>Female</v>
      </c>
    </row>
    <row r="1615" spans="1:15" x14ac:dyDescent="0.25">
      <c r="A1615" t="s">
        <v>1699</v>
      </c>
      <c r="B1615" t="s">
        <v>11</v>
      </c>
      <c r="C1615">
        <v>2</v>
      </c>
      <c r="D1615">
        <v>128.80000000000001</v>
      </c>
      <c r="E1615">
        <v>257.60000000000002</v>
      </c>
      <c r="F1615" s="3">
        <v>45718</v>
      </c>
      <c r="G1615" s="3">
        <v>45721</v>
      </c>
      <c r="H1615" t="s">
        <v>12</v>
      </c>
      <c r="I1615" t="s">
        <v>20</v>
      </c>
      <c r="J1615">
        <v>3</v>
      </c>
      <c r="K1615" t="s">
        <v>4</v>
      </c>
      <c r="L1615" t="s">
        <v>18</v>
      </c>
      <c r="M1615">
        <f>[1]!orders[[#This Row],[Ship Date]]-[1]!orders[[#This Row],[Order Date]]</f>
        <v>3</v>
      </c>
      <c r="N1615">
        <f>WEEKNUM([1]!orders[[#This Row],[Order Date]])</f>
        <v>10</v>
      </c>
      <c r="O1615" t="str" cm="1">
        <f t="array" ref="O1615">_xlfn.IFS([1]!orders[[#This Row],[Customer Gender]]="M","Male", [1]!orders[[#This Row],[Customer Gender]]="F","Female", [1]!orders[[#This Row],[Customer Gender]]="O","Other", TRUE,"Unknown")</f>
        <v>Female</v>
      </c>
    </row>
    <row r="1616" spans="1:15" x14ac:dyDescent="0.25">
      <c r="A1616" s="1" t="s">
        <v>1700</v>
      </c>
      <c r="B1616" s="1" t="s">
        <v>108</v>
      </c>
      <c r="C1616" s="1">
        <v>5</v>
      </c>
      <c r="D1616" s="1">
        <v>48.2</v>
      </c>
      <c r="E1616" s="1">
        <v>241</v>
      </c>
      <c r="F1616" s="2">
        <v>45718</v>
      </c>
      <c r="G1616" s="2">
        <v>45720</v>
      </c>
      <c r="H1616" s="1" t="s">
        <v>12</v>
      </c>
      <c r="I1616" s="1" t="s">
        <v>36</v>
      </c>
      <c r="J1616" s="1">
        <v>4</v>
      </c>
      <c r="K1616" s="1" t="s">
        <v>4</v>
      </c>
      <c r="L1616" s="1" t="s">
        <v>18</v>
      </c>
      <c r="M1616" s="1">
        <f>[1]!orders[[#This Row],[Ship Date]]-[1]!orders[[#This Row],[Order Date]]</f>
        <v>2</v>
      </c>
      <c r="N1616" s="1">
        <f>WEEKNUM([1]!orders[[#This Row],[Order Date]])</f>
        <v>10</v>
      </c>
      <c r="O1616" t="str" cm="1">
        <f t="array" ref="O1616">_xlfn.IFS([1]!orders[[#This Row],[Customer Gender]]="M","Male", [1]!orders[[#This Row],[Customer Gender]]="F","Female", [1]!orders[[#This Row],[Customer Gender]]="O","Other", TRUE,"Unknown")</f>
        <v>Female</v>
      </c>
    </row>
    <row r="1617" spans="1:15" x14ac:dyDescent="0.25">
      <c r="A1617" t="s">
        <v>1701</v>
      </c>
      <c r="B1617" t="s">
        <v>39</v>
      </c>
      <c r="C1617">
        <v>1</v>
      </c>
      <c r="D1617">
        <v>39.700000000000003</v>
      </c>
      <c r="E1617">
        <v>39.700000000000003</v>
      </c>
      <c r="F1617" s="3">
        <v>45718</v>
      </c>
      <c r="G1617" s="3">
        <v>45720</v>
      </c>
      <c r="H1617" t="s">
        <v>12</v>
      </c>
      <c r="I1617" t="s">
        <v>3</v>
      </c>
      <c r="J1617">
        <v>3</v>
      </c>
      <c r="K1617" t="s">
        <v>4</v>
      </c>
      <c r="L1617" t="s">
        <v>18</v>
      </c>
      <c r="M1617">
        <f>[1]!orders[[#This Row],[Ship Date]]-[1]!orders[[#This Row],[Order Date]]</f>
        <v>2</v>
      </c>
      <c r="N1617">
        <f>WEEKNUM([1]!orders[[#This Row],[Order Date]])</f>
        <v>10</v>
      </c>
      <c r="O1617" t="str" cm="1">
        <f t="array" ref="O1617">_xlfn.IFS([1]!orders[[#This Row],[Customer Gender]]="M","Male", [1]!orders[[#This Row],[Customer Gender]]="F","Female", [1]!orders[[#This Row],[Customer Gender]]="O","Other", TRUE,"Unknown")</f>
        <v>Female</v>
      </c>
    </row>
    <row r="1618" spans="1:15" x14ac:dyDescent="0.25">
      <c r="A1618" s="1" t="s">
        <v>1702</v>
      </c>
      <c r="B1618" s="1" t="s">
        <v>31</v>
      </c>
      <c r="C1618" s="1">
        <v>1</v>
      </c>
      <c r="D1618" s="1">
        <v>59.7</v>
      </c>
      <c r="E1618" s="1">
        <v>59.7</v>
      </c>
      <c r="F1618" s="2">
        <v>45718</v>
      </c>
      <c r="G1618" s="2">
        <v>45721</v>
      </c>
      <c r="H1618" s="1" t="s">
        <v>12</v>
      </c>
      <c r="I1618" s="1" t="s">
        <v>55</v>
      </c>
      <c r="J1618" s="1">
        <v>4</v>
      </c>
      <c r="K1618" s="1" t="s">
        <v>4</v>
      </c>
      <c r="L1618" s="1" t="s">
        <v>18</v>
      </c>
      <c r="M1618" s="1">
        <f>[1]!orders[[#This Row],[Ship Date]]-[1]!orders[[#This Row],[Order Date]]</f>
        <v>3</v>
      </c>
      <c r="N1618" s="1">
        <f>WEEKNUM([1]!orders[[#This Row],[Order Date]])</f>
        <v>10</v>
      </c>
      <c r="O1618" t="str" cm="1">
        <f t="array" ref="O1618">_xlfn.IFS([1]!orders[[#This Row],[Customer Gender]]="M","Male", [1]!orders[[#This Row],[Customer Gender]]="F","Female", [1]!orders[[#This Row],[Customer Gender]]="O","Other", TRUE,"Unknown")</f>
        <v>Female</v>
      </c>
    </row>
    <row r="1619" spans="1:15" x14ac:dyDescent="0.25">
      <c r="A1619" t="s">
        <v>1703</v>
      </c>
      <c r="B1619" t="s">
        <v>24</v>
      </c>
      <c r="C1619">
        <v>1</v>
      </c>
      <c r="D1619">
        <v>48.3</v>
      </c>
      <c r="E1619">
        <v>48.3</v>
      </c>
      <c r="F1619" s="3">
        <v>45718</v>
      </c>
      <c r="G1619" s="3">
        <v>45732</v>
      </c>
      <c r="H1619" t="s">
        <v>74</v>
      </c>
      <c r="I1619" t="s">
        <v>3</v>
      </c>
      <c r="J1619">
        <v>5</v>
      </c>
      <c r="K1619" t="s">
        <v>4</v>
      </c>
      <c r="L1619" t="s">
        <v>18</v>
      </c>
      <c r="M1619">
        <f>[1]!orders[[#This Row],[Ship Date]]-[1]!orders[[#This Row],[Order Date]]</f>
        <v>14</v>
      </c>
      <c r="N1619">
        <f>WEEKNUM([1]!orders[[#This Row],[Order Date]])</f>
        <v>10</v>
      </c>
      <c r="O1619" t="str" cm="1">
        <f t="array" ref="O1619">_xlfn.IFS([1]!orders[[#This Row],[Customer Gender]]="M","Male", [1]!orders[[#This Row],[Customer Gender]]="F","Female", [1]!orders[[#This Row],[Customer Gender]]="O","Other", TRUE,"Unknown")</f>
        <v>Other</v>
      </c>
    </row>
    <row r="1620" spans="1:15" x14ac:dyDescent="0.25">
      <c r="A1620" s="1" t="s">
        <v>1704</v>
      </c>
      <c r="B1620" s="1" t="s">
        <v>29</v>
      </c>
      <c r="C1620" s="1">
        <v>3</v>
      </c>
      <c r="D1620" s="1">
        <v>45.5</v>
      </c>
      <c r="E1620" s="1">
        <v>136.5</v>
      </c>
      <c r="F1620" s="2">
        <v>45718</v>
      </c>
      <c r="G1620" s="2">
        <v>45720</v>
      </c>
      <c r="H1620" s="1" t="s">
        <v>8</v>
      </c>
      <c r="I1620" s="1" t="s">
        <v>25</v>
      </c>
      <c r="J1620" s="1">
        <v>3</v>
      </c>
      <c r="K1620" s="1" t="s">
        <v>4</v>
      </c>
      <c r="L1620" s="1" t="s">
        <v>18</v>
      </c>
      <c r="M1620" s="1">
        <f>[1]!orders[[#This Row],[Ship Date]]-[1]!orders[[#This Row],[Order Date]]</f>
        <v>2</v>
      </c>
      <c r="N1620" s="1">
        <f>WEEKNUM([1]!orders[[#This Row],[Order Date]])</f>
        <v>10</v>
      </c>
      <c r="O1620" t="str" cm="1">
        <f t="array" ref="O1620">_xlfn.IFS([1]!orders[[#This Row],[Customer Gender]]="M","Male", [1]!orders[[#This Row],[Customer Gender]]="F","Female", [1]!orders[[#This Row],[Customer Gender]]="O","Other", TRUE,"Unknown")</f>
        <v>Male</v>
      </c>
    </row>
    <row r="1621" spans="1:15" x14ac:dyDescent="0.25">
      <c r="A1621" t="s">
        <v>1705</v>
      </c>
      <c r="B1621" t="s">
        <v>31</v>
      </c>
      <c r="C1621">
        <v>27</v>
      </c>
      <c r="D1621">
        <v>51</v>
      </c>
      <c r="E1621">
        <v>1377</v>
      </c>
      <c r="F1621" s="3">
        <v>45718</v>
      </c>
      <c r="G1621" s="3">
        <v>45718</v>
      </c>
      <c r="H1621" t="s">
        <v>12</v>
      </c>
      <c r="I1621" t="s">
        <v>25</v>
      </c>
      <c r="J1621">
        <v>4</v>
      </c>
      <c r="K1621" t="s">
        <v>4</v>
      </c>
      <c r="L1621" t="s">
        <v>18</v>
      </c>
      <c r="M1621">
        <f>[1]!orders[[#This Row],[Ship Date]]-[1]!orders[[#This Row],[Order Date]]</f>
        <v>0</v>
      </c>
      <c r="N1621">
        <f>WEEKNUM([1]!orders[[#This Row],[Order Date]])</f>
        <v>10</v>
      </c>
      <c r="O1621" t="str" cm="1">
        <f t="array" ref="O1621">_xlfn.IFS([1]!orders[[#This Row],[Customer Gender]]="M","Male", [1]!orders[[#This Row],[Customer Gender]]="F","Female", [1]!orders[[#This Row],[Customer Gender]]="O","Other", TRUE,"Unknown")</f>
        <v>Female</v>
      </c>
    </row>
    <row r="1622" spans="1:15" x14ac:dyDescent="0.25">
      <c r="A1622" s="1" t="s">
        <v>1706</v>
      </c>
      <c r="B1622" s="1" t="s">
        <v>17</v>
      </c>
      <c r="C1622" s="1">
        <v>6</v>
      </c>
      <c r="D1622" s="1">
        <v>20.399999999999999</v>
      </c>
      <c r="E1622" s="1">
        <v>122.39999999999999</v>
      </c>
      <c r="F1622" s="2">
        <v>45718</v>
      </c>
      <c r="G1622" s="2">
        <v>45719</v>
      </c>
      <c r="H1622" s="1" t="s">
        <v>8</v>
      </c>
      <c r="I1622" s="1" t="s">
        <v>25</v>
      </c>
      <c r="J1622" s="1">
        <v>4</v>
      </c>
      <c r="K1622" s="1" t="s">
        <v>4</v>
      </c>
      <c r="L1622" s="1" t="s">
        <v>18</v>
      </c>
      <c r="M1622" s="1">
        <f>[1]!orders[[#This Row],[Ship Date]]-[1]!orders[[#This Row],[Order Date]]</f>
        <v>1</v>
      </c>
      <c r="N1622" s="1">
        <f>WEEKNUM([1]!orders[[#This Row],[Order Date]])</f>
        <v>10</v>
      </c>
      <c r="O1622" t="str" cm="1">
        <f t="array" ref="O1622">_xlfn.IFS([1]!orders[[#This Row],[Customer Gender]]="M","Male", [1]!orders[[#This Row],[Customer Gender]]="F","Female", [1]!orders[[#This Row],[Customer Gender]]="O","Other", TRUE,"Unknown")</f>
        <v>Male</v>
      </c>
    </row>
    <row r="1623" spans="1:15" x14ac:dyDescent="0.25">
      <c r="A1623" t="s">
        <v>1707</v>
      </c>
      <c r="B1623" t="s">
        <v>39</v>
      </c>
      <c r="C1623">
        <v>2</v>
      </c>
      <c r="D1623">
        <v>30.4</v>
      </c>
      <c r="E1623">
        <v>60.8</v>
      </c>
      <c r="F1623" s="3">
        <v>45718</v>
      </c>
      <c r="G1623" s="3">
        <v>45720</v>
      </c>
      <c r="H1623" t="s">
        <v>8</v>
      </c>
      <c r="I1623" t="s">
        <v>25</v>
      </c>
      <c r="J1623">
        <v>4</v>
      </c>
      <c r="K1623" t="s">
        <v>4</v>
      </c>
      <c r="L1623" t="s">
        <v>18</v>
      </c>
      <c r="M1623">
        <f>[1]!orders[[#This Row],[Ship Date]]-[1]!orders[[#This Row],[Order Date]]</f>
        <v>2</v>
      </c>
      <c r="N1623">
        <f>WEEKNUM([1]!orders[[#This Row],[Order Date]])</f>
        <v>10</v>
      </c>
      <c r="O1623" t="str" cm="1">
        <f t="array" ref="O1623">_xlfn.IFS([1]!orders[[#This Row],[Customer Gender]]="M","Male", [1]!orders[[#This Row],[Customer Gender]]="F","Female", [1]!orders[[#This Row],[Customer Gender]]="O","Other", TRUE,"Unknown")</f>
        <v>Male</v>
      </c>
    </row>
    <row r="1624" spans="1:15" x14ac:dyDescent="0.25">
      <c r="A1624" s="1" t="s">
        <v>1708</v>
      </c>
      <c r="B1624" s="1" t="s">
        <v>27</v>
      </c>
      <c r="C1624" s="1">
        <v>2</v>
      </c>
      <c r="D1624" s="1">
        <v>71.5</v>
      </c>
      <c r="E1624" s="1">
        <v>143</v>
      </c>
      <c r="F1624" s="2">
        <v>45718</v>
      </c>
      <c r="G1624" s="2">
        <v>45722</v>
      </c>
      <c r="H1624" s="1" t="s">
        <v>12</v>
      </c>
      <c r="I1624" s="1" t="s">
        <v>3</v>
      </c>
      <c r="J1624" s="1">
        <v>4</v>
      </c>
      <c r="K1624" s="1" t="s">
        <v>4</v>
      </c>
      <c r="L1624" s="1" t="s">
        <v>18</v>
      </c>
      <c r="M1624" s="1">
        <f>[1]!orders[[#This Row],[Ship Date]]-[1]!orders[[#This Row],[Order Date]]</f>
        <v>4</v>
      </c>
      <c r="N1624" s="1">
        <f>WEEKNUM([1]!orders[[#This Row],[Order Date]])</f>
        <v>10</v>
      </c>
      <c r="O1624" t="str" cm="1">
        <f t="array" ref="O1624">_xlfn.IFS([1]!orders[[#This Row],[Customer Gender]]="M","Male", [1]!orders[[#This Row],[Customer Gender]]="F","Female", [1]!orders[[#This Row],[Customer Gender]]="O","Other", TRUE,"Unknown")</f>
        <v>Female</v>
      </c>
    </row>
    <row r="1625" spans="1:15" x14ac:dyDescent="0.25">
      <c r="A1625" t="s">
        <v>1709</v>
      </c>
      <c r="B1625" t="s">
        <v>29</v>
      </c>
      <c r="C1625">
        <v>6</v>
      </c>
      <c r="D1625">
        <v>18</v>
      </c>
      <c r="E1625">
        <v>108</v>
      </c>
      <c r="F1625" s="3">
        <v>45718</v>
      </c>
      <c r="G1625" s="3">
        <v>45719</v>
      </c>
      <c r="H1625" t="s">
        <v>74</v>
      </c>
      <c r="I1625" t="s">
        <v>20</v>
      </c>
      <c r="J1625">
        <v>5</v>
      </c>
      <c r="K1625" t="s">
        <v>4</v>
      </c>
      <c r="L1625" t="s">
        <v>40</v>
      </c>
      <c r="M1625">
        <f>[1]!orders[[#This Row],[Ship Date]]-[1]!orders[[#This Row],[Order Date]]</f>
        <v>1</v>
      </c>
      <c r="N1625">
        <f>WEEKNUM([1]!orders[[#This Row],[Order Date]])</f>
        <v>10</v>
      </c>
      <c r="O1625" t="str" cm="1">
        <f t="array" ref="O1625">_xlfn.IFS([1]!orders[[#This Row],[Customer Gender]]="M","Male", [1]!orders[[#This Row],[Customer Gender]]="F","Female", [1]!orders[[#This Row],[Customer Gender]]="O","Other", TRUE,"Unknown")</f>
        <v>Other</v>
      </c>
    </row>
    <row r="1626" spans="1:15" x14ac:dyDescent="0.25">
      <c r="A1626" s="1" t="s">
        <v>1710</v>
      </c>
      <c r="B1626" s="1" t="s">
        <v>108</v>
      </c>
      <c r="C1626" s="1">
        <v>11</v>
      </c>
      <c r="D1626" s="1">
        <v>45.6</v>
      </c>
      <c r="E1626" s="1">
        <v>501.6</v>
      </c>
      <c r="F1626" s="2">
        <v>45718</v>
      </c>
      <c r="G1626" s="2">
        <v>45719</v>
      </c>
      <c r="H1626" s="1" t="s">
        <v>74</v>
      </c>
      <c r="I1626" s="1" t="s">
        <v>20</v>
      </c>
      <c r="J1626" s="1">
        <v>3</v>
      </c>
      <c r="K1626" s="1" t="s">
        <v>4</v>
      </c>
      <c r="L1626" s="1" t="s">
        <v>44</v>
      </c>
      <c r="M1626" s="1">
        <f>[1]!orders[[#This Row],[Ship Date]]-[1]!orders[[#This Row],[Order Date]]</f>
        <v>1</v>
      </c>
      <c r="N1626" s="1">
        <f>WEEKNUM([1]!orders[[#This Row],[Order Date]])</f>
        <v>10</v>
      </c>
      <c r="O1626" t="str" cm="1">
        <f t="array" ref="O1626">_xlfn.IFS([1]!orders[[#This Row],[Customer Gender]]="M","Male", [1]!orders[[#This Row],[Customer Gender]]="F","Female", [1]!orders[[#This Row],[Customer Gender]]="O","Other", TRUE,"Unknown")</f>
        <v>Other</v>
      </c>
    </row>
    <row r="1627" spans="1:15" x14ac:dyDescent="0.25">
      <c r="A1627" t="s">
        <v>1711</v>
      </c>
      <c r="B1627" t="s">
        <v>31</v>
      </c>
      <c r="C1627">
        <v>1</v>
      </c>
      <c r="D1627">
        <v>31.8</v>
      </c>
      <c r="E1627">
        <v>31.8</v>
      </c>
      <c r="F1627" s="3">
        <v>45718</v>
      </c>
      <c r="G1627" s="3">
        <v>45722</v>
      </c>
      <c r="H1627" t="s">
        <v>12</v>
      </c>
      <c r="I1627" t="s">
        <v>3</v>
      </c>
      <c r="J1627">
        <v>5</v>
      </c>
      <c r="K1627" t="s">
        <v>4</v>
      </c>
      <c r="L1627" t="s">
        <v>44</v>
      </c>
      <c r="M1627">
        <f>[1]!orders[[#This Row],[Ship Date]]-[1]!orders[[#This Row],[Order Date]]</f>
        <v>4</v>
      </c>
      <c r="N1627">
        <f>WEEKNUM([1]!orders[[#This Row],[Order Date]])</f>
        <v>10</v>
      </c>
      <c r="O1627" t="str" cm="1">
        <f t="array" ref="O1627">_xlfn.IFS([1]!orders[[#This Row],[Customer Gender]]="M","Male", [1]!orders[[#This Row],[Customer Gender]]="F","Female", [1]!orders[[#This Row],[Customer Gender]]="O","Other", TRUE,"Unknown")</f>
        <v>Female</v>
      </c>
    </row>
    <row r="1628" spans="1:15" x14ac:dyDescent="0.25">
      <c r="A1628" s="1" t="s">
        <v>1712</v>
      </c>
      <c r="B1628" s="1" t="s">
        <v>29</v>
      </c>
      <c r="C1628" s="1">
        <v>5</v>
      </c>
      <c r="D1628" s="1">
        <v>19.899999999999999</v>
      </c>
      <c r="E1628" s="1">
        <v>99.5</v>
      </c>
      <c r="F1628" s="2">
        <v>45718</v>
      </c>
      <c r="G1628" s="2">
        <v>45719</v>
      </c>
      <c r="H1628" s="1" t="s">
        <v>12</v>
      </c>
      <c r="I1628" s="1" t="s">
        <v>20</v>
      </c>
      <c r="J1628" s="1">
        <v>4</v>
      </c>
      <c r="K1628" s="1" t="s">
        <v>4</v>
      </c>
      <c r="L1628" s="1" t="s">
        <v>44</v>
      </c>
      <c r="M1628" s="1">
        <f>[1]!orders[[#This Row],[Ship Date]]-[1]!orders[[#This Row],[Order Date]]</f>
        <v>1</v>
      </c>
      <c r="N1628" s="1">
        <f>WEEKNUM([1]!orders[[#This Row],[Order Date]])</f>
        <v>10</v>
      </c>
      <c r="O1628" t="str" cm="1">
        <f t="array" ref="O1628">_xlfn.IFS([1]!orders[[#This Row],[Customer Gender]]="M","Male", [1]!orders[[#This Row],[Customer Gender]]="F","Female", [1]!orders[[#This Row],[Customer Gender]]="O","Other", TRUE,"Unknown")</f>
        <v>Female</v>
      </c>
    </row>
    <row r="1629" spans="1:15" x14ac:dyDescent="0.25">
      <c r="A1629" t="s">
        <v>1713</v>
      </c>
      <c r="B1629" t="s">
        <v>54</v>
      </c>
      <c r="C1629">
        <v>9</v>
      </c>
      <c r="D1629">
        <v>52.1</v>
      </c>
      <c r="E1629">
        <v>468.90000000000003</v>
      </c>
      <c r="F1629" s="3">
        <v>45718</v>
      </c>
      <c r="G1629" s="3">
        <v>45720</v>
      </c>
      <c r="H1629" t="s">
        <v>8</v>
      </c>
      <c r="I1629" t="s">
        <v>3</v>
      </c>
      <c r="J1629">
        <v>4</v>
      </c>
      <c r="K1629" t="s">
        <v>4</v>
      </c>
      <c r="L1629" t="s">
        <v>47</v>
      </c>
      <c r="M1629">
        <f>[1]!orders[[#This Row],[Ship Date]]-[1]!orders[[#This Row],[Order Date]]</f>
        <v>2</v>
      </c>
      <c r="N1629">
        <f>WEEKNUM([1]!orders[[#This Row],[Order Date]])</f>
        <v>10</v>
      </c>
      <c r="O1629" t="str" cm="1">
        <f t="array" ref="O1629">_xlfn.IFS([1]!orders[[#This Row],[Customer Gender]]="M","Male", [1]!orders[[#This Row],[Customer Gender]]="F","Female", [1]!orders[[#This Row],[Customer Gender]]="O","Other", TRUE,"Unknown")</f>
        <v>Male</v>
      </c>
    </row>
    <row r="1630" spans="1:15" x14ac:dyDescent="0.25">
      <c r="A1630" s="1" t="s">
        <v>1714</v>
      </c>
      <c r="B1630" s="1" t="s">
        <v>7</v>
      </c>
      <c r="C1630" s="1">
        <v>7</v>
      </c>
      <c r="D1630" s="1">
        <v>45.9</v>
      </c>
      <c r="E1630" s="1">
        <v>321.3</v>
      </c>
      <c r="F1630" s="2">
        <v>45718</v>
      </c>
      <c r="G1630" s="2">
        <v>45719</v>
      </c>
      <c r="H1630" s="1" t="s">
        <v>8</v>
      </c>
      <c r="I1630" s="1" t="s">
        <v>3</v>
      </c>
      <c r="J1630" s="1">
        <v>3</v>
      </c>
      <c r="K1630" s="1" t="s">
        <v>4</v>
      </c>
      <c r="L1630" s="1" t="s">
        <v>47</v>
      </c>
      <c r="M1630" s="1">
        <f>[1]!orders[[#This Row],[Ship Date]]-[1]!orders[[#This Row],[Order Date]]</f>
        <v>1</v>
      </c>
      <c r="N1630" s="1">
        <f>WEEKNUM([1]!orders[[#This Row],[Order Date]])</f>
        <v>10</v>
      </c>
      <c r="O1630" t="str" cm="1">
        <f t="array" ref="O1630">_xlfn.IFS([1]!orders[[#This Row],[Customer Gender]]="M","Male", [1]!orders[[#This Row],[Customer Gender]]="F","Female", [1]!orders[[#This Row],[Customer Gender]]="O","Other", TRUE,"Unknown")</f>
        <v>Male</v>
      </c>
    </row>
    <row r="1631" spans="1:15" x14ac:dyDescent="0.25">
      <c r="A1631" t="s">
        <v>1715</v>
      </c>
      <c r="B1631" t="s">
        <v>7</v>
      </c>
      <c r="C1631">
        <v>10</v>
      </c>
      <c r="D1631">
        <v>115.9</v>
      </c>
      <c r="E1631">
        <v>1159</v>
      </c>
      <c r="F1631" s="3">
        <v>45718</v>
      </c>
      <c r="G1631" s="3">
        <v>45721</v>
      </c>
      <c r="H1631" t="s">
        <v>12</v>
      </c>
      <c r="I1631" t="s">
        <v>20</v>
      </c>
      <c r="J1631">
        <v>4</v>
      </c>
      <c r="K1631" t="s">
        <v>4</v>
      </c>
      <c r="L1631" t="s">
        <v>47</v>
      </c>
      <c r="M1631">
        <f>[1]!orders[[#This Row],[Ship Date]]-[1]!orders[[#This Row],[Order Date]]</f>
        <v>3</v>
      </c>
      <c r="N1631">
        <f>WEEKNUM([1]!orders[[#This Row],[Order Date]])</f>
        <v>10</v>
      </c>
      <c r="O1631" t="str" cm="1">
        <f t="array" ref="O1631">_xlfn.IFS([1]!orders[[#This Row],[Customer Gender]]="M","Male", [1]!orders[[#This Row],[Customer Gender]]="F","Female", [1]!orders[[#This Row],[Customer Gender]]="O","Other", TRUE,"Unknown")</f>
        <v>Female</v>
      </c>
    </row>
    <row r="1632" spans="1:15" x14ac:dyDescent="0.25">
      <c r="A1632" s="1" t="s">
        <v>1716</v>
      </c>
      <c r="B1632" s="1" t="s">
        <v>24</v>
      </c>
      <c r="C1632" s="1">
        <v>9</v>
      </c>
      <c r="D1632" s="1">
        <v>86</v>
      </c>
      <c r="E1632" s="1">
        <v>774</v>
      </c>
      <c r="F1632" s="2">
        <v>45718</v>
      </c>
      <c r="G1632" s="2">
        <v>45723</v>
      </c>
      <c r="H1632" s="1" t="s">
        <v>12</v>
      </c>
      <c r="I1632" s="1" t="s">
        <v>3</v>
      </c>
      <c r="J1632" s="1">
        <v>3</v>
      </c>
      <c r="K1632" s="1" t="s">
        <v>4</v>
      </c>
      <c r="L1632" s="1" t="s">
        <v>47</v>
      </c>
      <c r="M1632" s="1">
        <f>[1]!orders[[#This Row],[Ship Date]]-[1]!orders[[#This Row],[Order Date]]</f>
        <v>5</v>
      </c>
      <c r="N1632" s="1">
        <f>WEEKNUM([1]!orders[[#This Row],[Order Date]])</f>
        <v>10</v>
      </c>
      <c r="O1632" t="str" cm="1">
        <f t="array" ref="O1632">_xlfn.IFS([1]!orders[[#This Row],[Customer Gender]]="M","Male", [1]!orders[[#This Row],[Customer Gender]]="F","Female", [1]!orders[[#This Row],[Customer Gender]]="O","Other", TRUE,"Unknown")</f>
        <v>Female</v>
      </c>
    </row>
    <row r="1633" spans="1:15" x14ac:dyDescent="0.25">
      <c r="A1633" t="s">
        <v>1717</v>
      </c>
      <c r="B1633" t="s">
        <v>27</v>
      </c>
      <c r="C1633">
        <v>7</v>
      </c>
      <c r="D1633">
        <v>73.599999999999994</v>
      </c>
      <c r="E1633">
        <v>515.19999999999993</v>
      </c>
      <c r="F1633" s="3">
        <v>45718</v>
      </c>
      <c r="G1633" s="3">
        <v>45720</v>
      </c>
      <c r="H1633" t="s">
        <v>12</v>
      </c>
      <c r="I1633" t="s">
        <v>3</v>
      </c>
      <c r="J1633">
        <v>4</v>
      </c>
      <c r="K1633" t="s">
        <v>4</v>
      </c>
      <c r="L1633" t="s">
        <v>88</v>
      </c>
      <c r="M1633">
        <f>[1]!orders[[#This Row],[Ship Date]]-[1]!orders[[#This Row],[Order Date]]</f>
        <v>2</v>
      </c>
      <c r="N1633">
        <f>WEEKNUM([1]!orders[[#This Row],[Order Date]])</f>
        <v>10</v>
      </c>
      <c r="O1633" t="str" cm="1">
        <f t="array" ref="O1633">_xlfn.IFS([1]!orders[[#This Row],[Customer Gender]]="M","Male", [1]!orders[[#This Row],[Customer Gender]]="F","Female", [1]!orders[[#This Row],[Customer Gender]]="O","Other", TRUE,"Unknown")</f>
        <v>Female</v>
      </c>
    </row>
    <row r="1634" spans="1:15" x14ac:dyDescent="0.25">
      <c r="A1634" s="1" t="s">
        <v>1718</v>
      </c>
      <c r="B1634" s="1" t="s">
        <v>39</v>
      </c>
      <c r="C1634" s="1">
        <v>3</v>
      </c>
      <c r="D1634" s="1">
        <v>26.7</v>
      </c>
      <c r="E1634" s="1">
        <v>80.099999999999994</v>
      </c>
      <c r="F1634" s="2">
        <v>45718</v>
      </c>
      <c r="G1634" s="2">
        <v>45722</v>
      </c>
      <c r="H1634" s="1" t="s">
        <v>12</v>
      </c>
      <c r="I1634" s="1" t="s">
        <v>3</v>
      </c>
      <c r="J1634" s="1">
        <v>4</v>
      </c>
      <c r="K1634" s="1" t="s">
        <v>4</v>
      </c>
      <c r="L1634" s="1" t="s">
        <v>62</v>
      </c>
      <c r="M1634" s="1">
        <f>[1]!orders[[#This Row],[Ship Date]]-[1]!orders[[#This Row],[Order Date]]</f>
        <v>4</v>
      </c>
      <c r="N1634" s="1">
        <f>WEEKNUM([1]!orders[[#This Row],[Order Date]])</f>
        <v>10</v>
      </c>
      <c r="O1634" t="str" cm="1">
        <f t="array" ref="O1634">_xlfn.IFS([1]!orders[[#This Row],[Customer Gender]]="M","Male", [1]!orders[[#This Row],[Customer Gender]]="F","Female", [1]!orders[[#This Row],[Customer Gender]]="O","Other", TRUE,"Unknown")</f>
        <v>Female</v>
      </c>
    </row>
    <row r="1635" spans="1:15" x14ac:dyDescent="0.25">
      <c r="A1635" t="s">
        <v>1719</v>
      </c>
      <c r="B1635" t="s">
        <v>29</v>
      </c>
      <c r="C1635">
        <v>7</v>
      </c>
      <c r="D1635">
        <v>46.6</v>
      </c>
      <c r="E1635">
        <v>326.2</v>
      </c>
      <c r="F1635" s="3">
        <v>45718</v>
      </c>
      <c r="G1635" s="3">
        <v>45720</v>
      </c>
      <c r="H1635" t="s">
        <v>2</v>
      </c>
      <c r="I1635" t="s">
        <v>36</v>
      </c>
      <c r="J1635">
        <v>4</v>
      </c>
      <c r="K1635" t="s">
        <v>4</v>
      </c>
      <c r="L1635" t="s">
        <v>62</v>
      </c>
      <c r="M1635">
        <f>[1]!orders[[#This Row],[Ship Date]]-[1]!orders[[#This Row],[Order Date]]</f>
        <v>2</v>
      </c>
      <c r="N1635">
        <f>WEEKNUM([1]!orders[[#This Row],[Order Date]])</f>
        <v>10</v>
      </c>
      <c r="O1635" t="str" cm="1">
        <f t="array" ref="O1635">_xlfn.IFS([1]!orders[[#This Row],[Customer Gender]]="M","Male", [1]!orders[[#This Row],[Customer Gender]]="F","Female", [1]!orders[[#This Row],[Customer Gender]]="O","Other", TRUE,"Unknown")</f>
        <v>Unknown</v>
      </c>
    </row>
    <row r="1636" spans="1:15" x14ac:dyDescent="0.25">
      <c r="A1636" s="1" t="s">
        <v>1720</v>
      </c>
      <c r="B1636" s="1" t="s">
        <v>15</v>
      </c>
      <c r="C1636" s="1">
        <v>3</v>
      </c>
      <c r="D1636" s="1">
        <v>84.6</v>
      </c>
      <c r="E1636" s="1">
        <v>253.79999999999998</v>
      </c>
      <c r="F1636" s="2">
        <v>45718</v>
      </c>
      <c r="G1636" s="2">
        <v>45720</v>
      </c>
      <c r="H1636" s="1" t="s">
        <v>8</v>
      </c>
      <c r="I1636" s="1" t="s">
        <v>55</v>
      </c>
      <c r="J1636" s="1">
        <v>4</v>
      </c>
      <c r="K1636" s="1" t="s">
        <v>4</v>
      </c>
      <c r="L1636" s="1" t="s">
        <v>62</v>
      </c>
      <c r="M1636" s="1">
        <f>[1]!orders[[#This Row],[Ship Date]]-[1]!orders[[#This Row],[Order Date]]</f>
        <v>2</v>
      </c>
      <c r="N1636" s="1">
        <f>WEEKNUM([1]!orders[[#This Row],[Order Date]])</f>
        <v>10</v>
      </c>
      <c r="O1636" t="str" cm="1">
        <f t="array" ref="O1636">_xlfn.IFS([1]!orders[[#This Row],[Customer Gender]]="M","Male", [1]!orders[[#This Row],[Customer Gender]]="F","Female", [1]!orders[[#This Row],[Customer Gender]]="O","Other", TRUE,"Unknown")</f>
        <v>Male</v>
      </c>
    </row>
    <row r="1637" spans="1:15" x14ac:dyDescent="0.25">
      <c r="A1637" t="s">
        <v>1721</v>
      </c>
      <c r="B1637" t="s">
        <v>27</v>
      </c>
      <c r="C1637">
        <v>14</v>
      </c>
      <c r="D1637">
        <v>41.5</v>
      </c>
      <c r="E1637">
        <v>581</v>
      </c>
      <c r="F1637" s="3">
        <v>45718</v>
      </c>
      <c r="G1637" s="3">
        <v>45732</v>
      </c>
      <c r="H1637" t="s">
        <v>8</v>
      </c>
      <c r="I1637" t="s">
        <v>20</v>
      </c>
      <c r="J1637">
        <v>4</v>
      </c>
      <c r="K1637" t="s">
        <v>4</v>
      </c>
      <c r="L1637" t="s">
        <v>1101</v>
      </c>
      <c r="M1637">
        <f>[1]!orders[[#This Row],[Ship Date]]-[1]!orders[[#This Row],[Order Date]]</f>
        <v>14</v>
      </c>
      <c r="N1637">
        <f>WEEKNUM([1]!orders[[#This Row],[Order Date]])</f>
        <v>10</v>
      </c>
      <c r="O1637" t="str" cm="1">
        <f t="array" ref="O1637">_xlfn.IFS([1]!orders[[#This Row],[Customer Gender]]="M","Male", [1]!orders[[#This Row],[Customer Gender]]="F","Female", [1]!orders[[#This Row],[Customer Gender]]="O","Other", TRUE,"Unknown")</f>
        <v>Male</v>
      </c>
    </row>
    <row r="1638" spans="1:15" x14ac:dyDescent="0.25">
      <c r="A1638" s="1" t="s">
        <v>1722</v>
      </c>
      <c r="B1638" s="1" t="s">
        <v>29</v>
      </c>
      <c r="C1638" s="1">
        <v>1</v>
      </c>
      <c r="D1638" s="1">
        <v>32.799999999999997</v>
      </c>
      <c r="E1638" s="1">
        <v>32.799999999999997</v>
      </c>
      <c r="F1638" s="2">
        <v>45718</v>
      </c>
      <c r="G1638" s="2">
        <v>45721</v>
      </c>
      <c r="H1638" s="1" t="s">
        <v>8</v>
      </c>
      <c r="I1638" s="1" t="s">
        <v>3</v>
      </c>
      <c r="J1638" s="1">
        <v>5</v>
      </c>
      <c r="K1638" s="1" t="s">
        <v>4</v>
      </c>
      <c r="L1638" s="1" t="s">
        <v>253</v>
      </c>
      <c r="M1638" s="1">
        <f>[1]!orders[[#This Row],[Ship Date]]-[1]!orders[[#This Row],[Order Date]]</f>
        <v>3</v>
      </c>
      <c r="N1638" s="1">
        <f>WEEKNUM([1]!orders[[#This Row],[Order Date]])</f>
        <v>10</v>
      </c>
      <c r="O1638" t="str" cm="1">
        <f t="array" ref="O1638">_xlfn.IFS([1]!orders[[#This Row],[Customer Gender]]="M","Male", [1]!orders[[#This Row],[Customer Gender]]="F","Female", [1]!orders[[#This Row],[Customer Gender]]="O","Other", TRUE,"Unknown")</f>
        <v>Male</v>
      </c>
    </row>
    <row r="1639" spans="1:15" x14ac:dyDescent="0.25">
      <c r="A1639" t="s">
        <v>1723</v>
      </c>
      <c r="B1639" t="s">
        <v>17</v>
      </c>
      <c r="C1639">
        <v>7</v>
      </c>
      <c r="D1639">
        <v>46.7</v>
      </c>
      <c r="E1639">
        <v>326.90000000000003</v>
      </c>
      <c r="F1639" s="3">
        <v>45718</v>
      </c>
      <c r="G1639" s="3">
        <v>45720</v>
      </c>
      <c r="H1639" t="s">
        <v>74</v>
      </c>
      <c r="I1639" t="s">
        <v>3</v>
      </c>
      <c r="J1639">
        <v>5</v>
      </c>
      <c r="K1639" t="s">
        <v>4</v>
      </c>
      <c r="L1639" t="s">
        <v>93</v>
      </c>
      <c r="M1639">
        <f>[1]!orders[[#This Row],[Ship Date]]-[1]!orders[[#This Row],[Order Date]]</f>
        <v>2</v>
      </c>
      <c r="N1639">
        <f>WEEKNUM([1]!orders[[#This Row],[Order Date]])</f>
        <v>10</v>
      </c>
      <c r="O1639" t="str" cm="1">
        <f t="array" ref="O1639">_xlfn.IFS([1]!orders[[#This Row],[Customer Gender]]="M","Male", [1]!orders[[#This Row],[Customer Gender]]="F","Female", [1]!orders[[#This Row],[Customer Gender]]="O","Other", TRUE,"Unknown")</f>
        <v>Other</v>
      </c>
    </row>
    <row r="1640" spans="1:15" x14ac:dyDescent="0.25">
      <c r="A1640" s="1" t="s">
        <v>1724</v>
      </c>
      <c r="B1640" s="1" t="s">
        <v>108</v>
      </c>
      <c r="C1640" s="1">
        <v>7</v>
      </c>
      <c r="D1640" s="1">
        <v>21</v>
      </c>
      <c r="E1640" s="1">
        <v>147</v>
      </c>
      <c r="F1640" s="2">
        <v>45718</v>
      </c>
      <c r="G1640" s="2">
        <v>45721</v>
      </c>
      <c r="H1640" s="1" t="s">
        <v>8</v>
      </c>
      <c r="I1640" s="1" t="s">
        <v>25</v>
      </c>
      <c r="J1640" s="1">
        <v>3</v>
      </c>
      <c r="K1640" s="1" t="s">
        <v>4</v>
      </c>
      <c r="L1640" s="1" t="s">
        <v>100</v>
      </c>
      <c r="M1640" s="1">
        <f>[1]!orders[[#This Row],[Ship Date]]-[1]!orders[[#This Row],[Order Date]]</f>
        <v>3</v>
      </c>
      <c r="N1640" s="1">
        <f>WEEKNUM([1]!orders[[#This Row],[Order Date]])</f>
        <v>10</v>
      </c>
      <c r="O1640" t="str" cm="1">
        <f t="array" ref="O1640">_xlfn.IFS([1]!orders[[#This Row],[Customer Gender]]="M","Male", [1]!orders[[#This Row],[Customer Gender]]="F","Female", [1]!orders[[#This Row],[Customer Gender]]="O","Other", TRUE,"Unknown")</f>
        <v>Male</v>
      </c>
    </row>
    <row r="1641" spans="1:15" x14ac:dyDescent="0.25">
      <c r="A1641" t="s">
        <v>1725</v>
      </c>
      <c r="B1641" t="s">
        <v>22</v>
      </c>
      <c r="C1641">
        <v>7</v>
      </c>
      <c r="D1641">
        <v>29.4</v>
      </c>
      <c r="E1641">
        <v>205.79999999999998</v>
      </c>
      <c r="F1641" s="3">
        <v>45718</v>
      </c>
      <c r="G1641" s="3">
        <v>45718</v>
      </c>
      <c r="H1641" t="s">
        <v>8</v>
      </c>
      <c r="I1641" t="s">
        <v>36</v>
      </c>
      <c r="J1641">
        <v>5</v>
      </c>
      <c r="K1641" t="s">
        <v>4</v>
      </c>
      <c r="L1641" t="s">
        <v>100</v>
      </c>
      <c r="M1641">
        <f>[1]!orders[[#This Row],[Ship Date]]-[1]!orders[[#This Row],[Order Date]]</f>
        <v>0</v>
      </c>
      <c r="N1641">
        <f>WEEKNUM([1]!orders[[#This Row],[Order Date]])</f>
        <v>10</v>
      </c>
      <c r="O1641" t="str" cm="1">
        <f t="array" ref="O1641">_xlfn.IFS([1]!orders[[#This Row],[Customer Gender]]="M","Male", [1]!orders[[#This Row],[Customer Gender]]="F","Female", [1]!orders[[#This Row],[Customer Gender]]="O","Other", TRUE,"Unknown")</f>
        <v>Male</v>
      </c>
    </row>
    <row r="1642" spans="1:15" x14ac:dyDescent="0.25">
      <c r="A1642" s="1" t="s">
        <v>1726</v>
      </c>
      <c r="B1642" s="1" t="s">
        <v>108</v>
      </c>
      <c r="C1642" s="1">
        <v>2</v>
      </c>
      <c r="D1642" s="1">
        <v>32.299999999999997</v>
      </c>
      <c r="E1642" s="1">
        <v>64.599999999999994</v>
      </c>
      <c r="F1642" s="2">
        <v>45718</v>
      </c>
      <c r="G1642" s="2">
        <v>45719</v>
      </c>
      <c r="H1642" s="1" t="s">
        <v>8</v>
      </c>
      <c r="I1642" s="1" t="s">
        <v>3</v>
      </c>
      <c r="J1642" s="1">
        <v>5</v>
      </c>
      <c r="K1642" s="1" t="s">
        <v>4</v>
      </c>
      <c r="L1642" s="1" t="s">
        <v>100</v>
      </c>
      <c r="M1642" s="1">
        <f>[1]!orders[[#This Row],[Ship Date]]-[1]!orders[[#This Row],[Order Date]]</f>
        <v>1</v>
      </c>
      <c r="N1642" s="1">
        <f>WEEKNUM([1]!orders[[#This Row],[Order Date]])</f>
        <v>10</v>
      </c>
      <c r="O1642" t="str" cm="1">
        <f t="array" ref="O1642">_xlfn.IFS([1]!orders[[#This Row],[Customer Gender]]="M","Male", [1]!orders[[#This Row],[Customer Gender]]="F","Female", [1]!orders[[#This Row],[Customer Gender]]="O","Other", TRUE,"Unknown")</f>
        <v>Male</v>
      </c>
    </row>
    <row r="1643" spans="1:15" x14ac:dyDescent="0.25">
      <c r="A1643" t="s">
        <v>1727</v>
      </c>
      <c r="B1643" t="s">
        <v>24</v>
      </c>
      <c r="C1643">
        <v>1</v>
      </c>
      <c r="D1643">
        <v>42.2</v>
      </c>
      <c r="E1643">
        <v>42.2</v>
      </c>
      <c r="F1643" s="3">
        <v>45719</v>
      </c>
      <c r="G1643" s="3">
        <v>45721</v>
      </c>
      <c r="H1643" t="s">
        <v>12</v>
      </c>
      <c r="I1643" t="s">
        <v>3</v>
      </c>
      <c r="J1643">
        <v>5</v>
      </c>
      <c r="K1643" t="s">
        <v>4</v>
      </c>
      <c r="L1643" t="s">
        <v>100</v>
      </c>
      <c r="M1643">
        <f>[1]!orders[[#This Row],[Ship Date]]-[1]!orders[[#This Row],[Order Date]]</f>
        <v>2</v>
      </c>
      <c r="N1643">
        <f>WEEKNUM([1]!orders[[#This Row],[Order Date]])</f>
        <v>10</v>
      </c>
      <c r="O1643" t="str" cm="1">
        <f t="array" ref="O1643">_xlfn.IFS([1]!orders[[#This Row],[Customer Gender]]="M","Male", [1]!orders[[#This Row],[Customer Gender]]="F","Female", [1]!orders[[#This Row],[Customer Gender]]="O","Other", TRUE,"Unknown")</f>
        <v>Female</v>
      </c>
    </row>
    <row r="1644" spans="1:15" x14ac:dyDescent="0.25">
      <c r="A1644" s="1" t="s">
        <v>1728</v>
      </c>
      <c r="B1644" s="1" t="s">
        <v>24</v>
      </c>
      <c r="C1644" s="1">
        <v>1</v>
      </c>
      <c r="D1644" s="1">
        <v>53.7</v>
      </c>
      <c r="E1644" s="1">
        <v>53.7</v>
      </c>
      <c r="F1644" s="2">
        <v>45719</v>
      </c>
      <c r="G1644" s="2">
        <v>45721</v>
      </c>
      <c r="H1644" s="1" t="s">
        <v>8</v>
      </c>
      <c r="I1644" s="1" t="s">
        <v>20</v>
      </c>
      <c r="J1644" s="1">
        <v>3</v>
      </c>
      <c r="K1644" s="1" t="s">
        <v>4</v>
      </c>
      <c r="L1644" s="1" t="s">
        <v>9</v>
      </c>
      <c r="M1644" s="1">
        <f>[1]!orders[[#This Row],[Ship Date]]-[1]!orders[[#This Row],[Order Date]]</f>
        <v>2</v>
      </c>
      <c r="N1644" s="1">
        <f>WEEKNUM([1]!orders[[#This Row],[Order Date]])</f>
        <v>10</v>
      </c>
      <c r="O1644" t="str" cm="1">
        <f t="array" ref="O1644">_xlfn.IFS([1]!orders[[#This Row],[Customer Gender]]="M","Male", [1]!orders[[#This Row],[Customer Gender]]="F","Female", [1]!orders[[#This Row],[Customer Gender]]="O","Other", TRUE,"Unknown")</f>
        <v>Male</v>
      </c>
    </row>
    <row r="1645" spans="1:15" x14ac:dyDescent="0.25">
      <c r="A1645" t="s">
        <v>1729</v>
      </c>
      <c r="B1645" t="s">
        <v>11</v>
      </c>
      <c r="C1645">
        <v>2</v>
      </c>
      <c r="D1645">
        <v>123.9</v>
      </c>
      <c r="E1645">
        <v>247.8</v>
      </c>
      <c r="F1645" s="3">
        <v>45719</v>
      </c>
      <c r="G1645" s="3">
        <v>45722</v>
      </c>
      <c r="H1645" t="s">
        <v>8</v>
      </c>
      <c r="I1645" t="s">
        <v>25</v>
      </c>
      <c r="J1645">
        <v>4</v>
      </c>
      <c r="K1645" t="s">
        <v>4</v>
      </c>
      <c r="L1645" t="s">
        <v>9</v>
      </c>
      <c r="M1645">
        <f>[1]!orders[[#This Row],[Ship Date]]-[1]!orders[[#This Row],[Order Date]]</f>
        <v>3</v>
      </c>
      <c r="N1645">
        <f>WEEKNUM([1]!orders[[#This Row],[Order Date]])</f>
        <v>10</v>
      </c>
      <c r="O1645" t="str" cm="1">
        <f t="array" ref="O1645">_xlfn.IFS([1]!orders[[#This Row],[Customer Gender]]="M","Male", [1]!orders[[#This Row],[Customer Gender]]="F","Female", [1]!orders[[#This Row],[Customer Gender]]="O","Other", TRUE,"Unknown")</f>
        <v>Male</v>
      </c>
    </row>
    <row r="1646" spans="1:15" x14ac:dyDescent="0.25">
      <c r="A1646" s="1" t="s">
        <v>1730</v>
      </c>
      <c r="B1646" s="1" t="s">
        <v>17</v>
      </c>
      <c r="C1646" s="1">
        <v>3</v>
      </c>
      <c r="D1646" s="1">
        <v>35.9</v>
      </c>
      <c r="E1646" s="1">
        <v>107.69999999999999</v>
      </c>
      <c r="F1646" s="2">
        <v>45719</v>
      </c>
      <c r="G1646" s="2">
        <v>45721</v>
      </c>
      <c r="H1646" s="1" t="s">
        <v>8</v>
      </c>
      <c r="I1646" s="1" t="s">
        <v>25</v>
      </c>
      <c r="J1646" s="1">
        <v>4</v>
      </c>
      <c r="K1646" s="1" t="s">
        <v>4</v>
      </c>
      <c r="L1646" s="1" t="s">
        <v>132</v>
      </c>
      <c r="M1646" s="1">
        <f>[1]!orders[[#This Row],[Ship Date]]-[1]!orders[[#This Row],[Order Date]]</f>
        <v>2</v>
      </c>
      <c r="N1646" s="1">
        <f>WEEKNUM([1]!orders[[#This Row],[Order Date]])</f>
        <v>10</v>
      </c>
      <c r="O1646" t="str" cm="1">
        <f t="array" ref="O1646">_xlfn.IFS([1]!orders[[#This Row],[Customer Gender]]="M","Male", [1]!orders[[#This Row],[Customer Gender]]="F","Female", [1]!orders[[#This Row],[Customer Gender]]="O","Other", TRUE,"Unknown")</f>
        <v>Male</v>
      </c>
    </row>
    <row r="1647" spans="1:15" x14ac:dyDescent="0.25">
      <c r="A1647" t="s">
        <v>1731</v>
      </c>
      <c r="B1647" t="s">
        <v>17</v>
      </c>
      <c r="C1647">
        <v>2</v>
      </c>
      <c r="D1647">
        <v>23.6</v>
      </c>
      <c r="E1647">
        <v>47.2</v>
      </c>
      <c r="F1647" s="3">
        <v>45719</v>
      </c>
      <c r="G1647" s="3">
        <v>45722</v>
      </c>
      <c r="H1647" t="s">
        <v>8</v>
      </c>
      <c r="I1647" t="s">
        <v>3</v>
      </c>
      <c r="J1647">
        <v>5</v>
      </c>
      <c r="K1647" t="s">
        <v>4</v>
      </c>
      <c r="L1647" t="s">
        <v>18</v>
      </c>
      <c r="M1647">
        <f>[1]!orders[[#This Row],[Ship Date]]-[1]!orders[[#This Row],[Order Date]]</f>
        <v>3</v>
      </c>
      <c r="N1647">
        <f>WEEKNUM([1]!orders[[#This Row],[Order Date]])</f>
        <v>10</v>
      </c>
      <c r="O1647" t="str" cm="1">
        <f t="array" ref="O1647">_xlfn.IFS([1]!orders[[#This Row],[Customer Gender]]="M","Male", [1]!orders[[#This Row],[Customer Gender]]="F","Female", [1]!orders[[#This Row],[Customer Gender]]="O","Other", TRUE,"Unknown")</f>
        <v>Male</v>
      </c>
    </row>
    <row r="1648" spans="1:15" x14ac:dyDescent="0.25">
      <c r="A1648" s="1" t="s">
        <v>1732</v>
      </c>
      <c r="B1648" s="1" t="s">
        <v>108</v>
      </c>
      <c r="C1648" s="1">
        <v>35</v>
      </c>
      <c r="D1648" s="1">
        <v>45.7</v>
      </c>
      <c r="E1648" s="1">
        <v>1599.5</v>
      </c>
      <c r="F1648" s="2">
        <v>45719</v>
      </c>
      <c r="G1648" s="2">
        <v>45720</v>
      </c>
      <c r="H1648" s="1" t="s">
        <v>8</v>
      </c>
      <c r="I1648" s="1" t="s">
        <v>3</v>
      </c>
      <c r="J1648" s="1">
        <v>3</v>
      </c>
      <c r="K1648" s="1" t="s">
        <v>4</v>
      </c>
      <c r="L1648" s="1" t="s">
        <v>18</v>
      </c>
      <c r="M1648" s="1">
        <f>[1]!orders[[#This Row],[Ship Date]]-[1]!orders[[#This Row],[Order Date]]</f>
        <v>1</v>
      </c>
      <c r="N1648" s="1">
        <f>WEEKNUM([1]!orders[[#This Row],[Order Date]])</f>
        <v>10</v>
      </c>
      <c r="O1648" t="str" cm="1">
        <f t="array" ref="O1648">_xlfn.IFS([1]!orders[[#This Row],[Customer Gender]]="M","Male", [1]!orders[[#This Row],[Customer Gender]]="F","Female", [1]!orders[[#This Row],[Customer Gender]]="O","Other", TRUE,"Unknown")</f>
        <v>Male</v>
      </c>
    </row>
    <row r="1649" spans="1:15" x14ac:dyDescent="0.25">
      <c r="A1649" t="s">
        <v>1733</v>
      </c>
      <c r="B1649" t="s">
        <v>24</v>
      </c>
      <c r="C1649">
        <v>11</v>
      </c>
      <c r="D1649">
        <v>118.3</v>
      </c>
      <c r="E1649">
        <v>1301.3</v>
      </c>
      <c r="F1649" s="3">
        <v>45719</v>
      </c>
      <c r="G1649" s="3">
        <v>45721</v>
      </c>
      <c r="H1649" t="s">
        <v>8</v>
      </c>
      <c r="I1649" t="s">
        <v>55</v>
      </c>
      <c r="J1649">
        <v>5</v>
      </c>
      <c r="K1649" t="s">
        <v>4</v>
      </c>
      <c r="L1649" t="s">
        <v>18</v>
      </c>
      <c r="M1649">
        <f>[1]!orders[[#This Row],[Ship Date]]-[1]!orders[[#This Row],[Order Date]]</f>
        <v>2</v>
      </c>
      <c r="N1649">
        <f>WEEKNUM([1]!orders[[#This Row],[Order Date]])</f>
        <v>10</v>
      </c>
      <c r="O1649" t="str" cm="1">
        <f t="array" ref="O1649">_xlfn.IFS([1]!orders[[#This Row],[Customer Gender]]="M","Male", [1]!orders[[#This Row],[Customer Gender]]="F","Female", [1]!orders[[#This Row],[Customer Gender]]="O","Other", TRUE,"Unknown")</f>
        <v>Male</v>
      </c>
    </row>
    <row r="1650" spans="1:15" x14ac:dyDescent="0.25">
      <c r="A1650" s="1" t="s">
        <v>1734</v>
      </c>
      <c r="B1650" s="1" t="s">
        <v>156</v>
      </c>
      <c r="C1650" s="1">
        <v>1</v>
      </c>
      <c r="D1650" s="1">
        <v>36</v>
      </c>
      <c r="E1650" s="1">
        <v>36</v>
      </c>
      <c r="F1650" s="2">
        <v>45719</v>
      </c>
      <c r="G1650" s="2">
        <v>45720</v>
      </c>
      <c r="H1650" s="1" t="s">
        <v>12</v>
      </c>
      <c r="I1650" s="1" t="s">
        <v>3</v>
      </c>
      <c r="J1650" s="1">
        <v>3</v>
      </c>
      <c r="K1650" s="1" t="s">
        <v>4</v>
      </c>
      <c r="L1650" s="1" t="s">
        <v>18</v>
      </c>
      <c r="M1650" s="1">
        <f>[1]!orders[[#This Row],[Ship Date]]-[1]!orders[[#This Row],[Order Date]]</f>
        <v>1</v>
      </c>
      <c r="N1650" s="1">
        <f>WEEKNUM([1]!orders[[#This Row],[Order Date]])</f>
        <v>10</v>
      </c>
      <c r="O1650" t="str" cm="1">
        <f t="array" ref="O1650">_xlfn.IFS([1]!orders[[#This Row],[Customer Gender]]="M","Male", [1]!orders[[#This Row],[Customer Gender]]="F","Female", [1]!orders[[#This Row],[Customer Gender]]="O","Other", TRUE,"Unknown")</f>
        <v>Female</v>
      </c>
    </row>
    <row r="1651" spans="1:15" x14ac:dyDescent="0.25">
      <c r="A1651" t="s">
        <v>1735</v>
      </c>
      <c r="B1651" t="s">
        <v>29</v>
      </c>
      <c r="C1651">
        <v>2</v>
      </c>
      <c r="D1651">
        <v>37.1</v>
      </c>
      <c r="E1651">
        <v>74.2</v>
      </c>
      <c r="F1651" s="3">
        <v>45719</v>
      </c>
      <c r="G1651" s="3">
        <v>45722</v>
      </c>
      <c r="H1651" t="s">
        <v>12</v>
      </c>
      <c r="I1651" t="s">
        <v>25</v>
      </c>
      <c r="J1651">
        <v>4</v>
      </c>
      <c r="K1651" t="s">
        <v>4</v>
      </c>
      <c r="L1651" t="s">
        <v>18</v>
      </c>
      <c r="M1651">
        <f>[1]!orders[[#This Row],[Ship Date]]-[1]!orders[[#This Row],[Order Date]]</f>
        <v>3</v>
      </c>
      <c r="N1651">
        <f>WEEKNUM([1]!orders[[#This Row],[Order Date]])</f>
        <v>10</v>
      </c>
      <c r="O1651" t="str" cm="1">
        <f t="array" ref="O1651">_xlfn.IFS([1]!orders[[#This Row],[Customer Gender]]="M","Male", [1]!orders[[#This Row],[Customer Gender]]="F","Female", [1]!orders[[#This Row],[Customer Gender]]="O","Other", TRUE,"Unknown")</f>
        <v>Female</v>
      </c>
    </row>
    <row r="1652" spans="1:15" x14ac:dyDescent="0.25">
      <c r="A1652" s="1" t="s">
        <v>1736</v>
      </c>
      <c r="B1652" s="1" t="s">
        <v>131</v>
      </c>
      <c r="C1652" s="1">
        <v>3</v>
      </c>
      <c r="D1652" s="1">
        <v>45.1</v>
      </c>
      <c r="E1652" s="1">
        <v>135.30000000000001</v>
      </c>
      <c r="F1652" s="2">
        <v>45719</v>
      </c>
      <c r="G1652" s="2">
        <v>45721</v>
      </c>
      <c r="H1652" s="1" t="s">
        <v>12</v>
      </c>
      <c r="I1652" s="1" t="s">
        <v>20</v>
      </c>
      <c r="J1652" s="1">
        <v>5</v>
      </c>
      <c r="K1652" s="1" t="s">
        <v>4</v>
      </c>
      <c r="L1652" s="1" t="s">
        <v>18</v>
      </c>
      <c r="M1652" s="1">
        <f>[1]!orders[[#This Row],[Ship Date]]-[1]!orders[[#This Row],[Order Date]]</f>
        <v>2</v>
      </c>
      <c r="N1652" s="1">
        <f>WEEKNUM([1]!orders[[#This Row],[Order Date]])</f>
        <v>10</v>
      </c>
      <c r="O1652" t="str" cm="1">
        <f t="array" ref="O1652">_xlfn.IFS([1]!orders[[#This Row],[Customer Gender]]="M","Male", [1]!orders[[#This Row],[Customer Gender]]="F","Female", [1]!orders[[#This Row],[Customer Gender]]="O","Other", TRUE,"Unknown")</f>
        <v>Female</v>
      </c>
    </row>
    <row r="1653" spans="1:15" x14ac:dyDescent="0.25">
      <c r="A1653" t="s">
        <v>1737</v>
      </c>
      <c r="B1653" t="s">
        <v>22</v>
      </c>
      <c r="C1653">
        <v>16</v>
      </c>
      <c r="D1653">
        <v>37.9</v>
      </c>
      <c r="E1653">
        <v>606.4</v>
      </c>
      <c r="F1653" s="3">
        <v>45719</v>
      </c>
      <c r="G1653" s="3">
        <v>45720</v>
      </c>
      <c r="H1653" t="s">
        <v>12</v>
      </c>
      <c r="I1653" t="s">
        <v>36</v>
      </c>
      <c r="J1653">
        <v>5</v>
      </c>
      <c r="K1653" t="s">
        <v>4</v>
      </c>
      <c r="L1653" t="s">
        <v>18</v>
      </c>
      <c r="M1653">
        <f>[1]!orders[[#This Row],[Ship Date]]-[1]!orders[[#This Row],[Order Date]]</f>
        <v>1</v>
      </c>
      <c r="N1653">
        <f>WEEKNUM([1]!orders[[#This Row],[Order Date]])</f>
        <v>10</v>
      </c>
      <c r="O1653" t="str" cm="1">
        <f t="array" ref="O1653">_xlfn.IFS([1]!orders[[#This Row],[Customer Gender]]="M","Male", [1]!orders[[#This Row],[Customer Gender]]="F","Female", [1]!orders[[#This Row],[Customer Gender]]="O","Other", TRUE,"Unknown")</f>
        <v>Female</v>
      </c>
    </row>
    <row r="1654" spans="1:15" x14ac:dyDescent="0.25">
      <c r="A1654" s="1" t="s">
        <v>1738</v>
      </c>
      <c r="B1654" s="1" t="s">
        <v>11</v>
      </c>
      <c r="C1654" s="1">
        <v>2</v>
      </c>
      <c r="D1654" s="1">
        <v>121.6</v>
      </c>
      <c r="E1654" s="1">
        <v>243.2</v>
      </c>
      <c r="F1654" s="2">
        <v>45719</v>
      </c>
      <c r="G1654" s="2">
        <v>45722</v>
      </c>
      <c r="H1654" s="1" t="s">
        <v>8</v>
      </c>
      <c r="I1654" s="1" t="s">
        <v>36</v>
      </c>
      <c r="J1654" s="1">
        <v>5</v>
      </c>
      <c r="K1654" s="1" t="s">
        <v>4</v>
      </c>
      <c r="L1654" s="1" t="s">
        <v>18</v>
      </c>
      <c r="M1654" s="1">
        <f>[1]!orders[[#This Row],[Ship Date]]-[1]!orders[[#This Row],[Order Date]]</f>
        <v>3</v>
      </c>
      <c r="N1654" s="1">
        <f>WEEKNUM([1]!orders[[#This Row],[Order Date]])</f>
        <v>10</v>
      </c>
      <c r="O1654" t="str" cm="1">
        <f t="array" ref="O1654">_xlfn.IFS([1]!orders[[#This Row],[Customer Gender]]="M","Male", [1]!orders[[#This Row],[Customer Gender]]="F","Female", [1]!orders[[#This Row],[Customer Gender]]="O","Other", TRUE,"Unknown")</f>
        <v>Male</v>
      </c>
    </row>
    <row r="1655" spans="1:15" x14ac:dyDescent="0.25">
      <c r="A1655" t="s">
        <v>1739</v>
      </c>
      <c r="B1655" t="s">
        <v>22</v>
      </c>
      <c r="C1655">
        <v>7</v>
      </c>
      <c r="D1655">
        <v>38.200000000000003</v>
      </c>
      <c r="E1655">
        <v>267.40000000000003</v>
      </c>
      <c r="F1655" s="3">
        <v>45719</v>
      </c>
      <c r="G1655" s="3">
        <v>45722</v>
      </c>
      <c r="H1655" t="s">
        <v>12</v>
      </c>
      <c r="I1655" t="s">
        <v>3</v>
      </c>
      <c r="J1655">
        <v>4</v>
      </c>
      <c r="K1655" t="s">
        <v>4</v>
      </c>
      <c r="L1655" t="s">
        <v>18</v>
      </c>
      <c r="M1655">
        <f>[1]!orders[[#This Row],[Ship Date]]-[1]!orders[[#This Row],[Order Date]]</f>
        <v>3</v>
      </c>
      <c r="N1655">
        <f>WEEKNUM([1]!orders[[#This Row],[Order Date]])</f>
        <v>10</v>
      </c>
      <c r="O1655" t="str" cm="1">
        <f t="array" ref="O1655">_xlfn.IFS([1]!orders[[#This Row],[Customer Gender]]="M","Male", [1]!orders[[#This Row],[Customer Gender]]="F","Female", [1]!orders[[#This Row],[Customer Gender]]="O","Other", TRUE,"Unknown")</f>
        <v>Female</v>
      </c>
    </row>
    <row r="1656" spans="1:15" x14ac:dyDescent="0.25">
      <c r="A1656" s="1" t="s">
        <v>1740</v>
      </c>
      <c r="B1656" s="1" t="s">
        <v>120</v>
      </c>
      <c r="C1656" s="1">
        <v>2</v>
      </c>
      <c r="D1656" s="1">
        <v>37.200000000000003</v>
      </c>
      <c r="E1656" s="1">
        <v>74.400000000000006</v>
      </c>
      <c r="F1656" s="2">
        <v>45719</v>
      </c>
      <c r="G1656" s="2">
        <v>45722</v>
      </c>
      <c r="H1656" s="1" t="s">
        <v>8</v>
      </c>
      <c r="I1656" s="1" t="s">
        <v>55</v>
      </c>
      <c r="J1656" s="1">
        <v>4</v>
      </c>
      <c r="K1656" s="1" t="s">
        <v>4</v>
      </c>
      <c r="L1656" s="1" t="s">
        <v>18</v>
      </c>
      <c r="M1656" s="1">
        <f>[1]!orders[[#This Row],[Ship Date]]-[1]!orders[[#This Row],[Order Date]]</f>
        <v>3</v>
      </c>
      <c r="N1656" s="1">
        <f>WEEKNUM([1]!orders[[#This Row],[Order Date]])</f>
        <v>10</v>
      </c>
      <c r="O1656" t="str" cm="1">
        <f t="array" ref="O1656">_xlfn.IFS([1]!orders[[#This Row],[Customer Gender]]="M","Male", [1]!orders[[#This Row],[Customer Gender]]="F","Female", [1]!orders[[#This Row],[Customer Gender]]="O","Other", TRUE,"Unknown")</f>
        <v>Male</v>
      </c>
    </row>
    <row r="1657" spans="1:15" x14ac:dyDescent="0.25">
      <c r="A1657" t="s">
        <v>1741</v>
      </c>
      <c r="B1657" t="s">
        <v>11</v>
      </c>
      <c r="C1657">
        <v>4</v>
      </c>
      <c r="D1657">
        <v>115.7</v>
      </c>
      <c r="E1657">
        <v>462.8</v>
      </c>
      <c r="F1657" s="3">
        <v>45719</v>
      </c>
      <c r="G1657" s="3">
        <v>45722</v>
      </c>
      <c r="H1657" t="s">
        <v>12</v>
      </c>
      <c r="I1657" t="s">
        <v>20</v>
      </c>
      <c r="J1657">
        <v>4</v>
      </c>
      <c r="K1657" t="s">
        <v>4</v>
      </c>
      <c r="L1657" t="s">
        <v>18</v>
      </c>
      <c r="M1657">
        <f>[1]!orders[[#This Row],[Ship Date]]-[1]!orders[[#This Row],[Order Date]]</f>
        <v>3</v>
      </c>
      <c r="N1657">
        <f>WEEKNUM([1]!orders[[#This Row],[Order Date]])</f>
        <v>10</v>
      </c>
      <c r="O1657" t="str" cm="1">
        <f t="array" ref="O1657">_xlfn.IFS([1]!orders[[#This Row],[Customer Gender]]="M","Male", [1]!orders[[#This Row],[Customer Gender]]="F","Female", [1]!orders[[#This Row],[Customer Gender]]="O","Other", TRUE,"Unknown")</f>
        <v>Female</v>
      </c>
    </row>
    <row r="1658" spans="1:15" x14ac:dyDescent="0.25">
      <c r="A1658" s="1" t="s">
        <v>1742</v>
      </c>
      <c r="B1658" s="1" t="s">
        <v>11</v>
      </c>
      <c r="C1658" s="1">
        <v>6</v>
      </c>
      <c r="D1658" s="1">
        <v>99.4</v>
      </c>
      <c r="E1658" s="1">
        <v>596.40000000000009</v>
      </c>
      <c r="F1658" s="2">
        <v>45719</v>
      </c>
      <c r="G1658" s="2">
        <v>45722</v>
      </c>
      <c r="H1658" s="1" t="s">
        <v>8</v>
      </c>
      <c r="I1658" s="1" t="s">
        <v>3</v>
      </c>
      <c r="J1658" s="1">
        <v>5</v>
      </c>
      <c r="K1658" s="1" t="s">
        <v>4</v>
      </c>
      <c r="L1658" s="1" t="s">
        <v>18</v>
      </c>
      <c r="M1658" s="1">
        <f>[1]!orders[[#This Row],[Ship Date]]-[1]!orders[[#This Row],[Order Date]]</f>
        <v>3</v>
      </c>
      <c r="N1658" s="1">
        <f>WEEKNUM([1]!orders[[#This Row],[Order Date]])</f>
        <v>10</v>
      </c>
      <c r="O1658" t="str" cm="1">
        <f t="array" ref="O1658">_xlfn.IFS([1]!orders[[#This Row],[Customer Gender]]="M","Male", [1]!orders[[#This Row],[Customer Gender]]="F","Female", [1]!orders[[#This Row],[Customer Gender]]="O","Other", TRUE,"Unknown")</f>
        <v>Male</v>
      </c>
    </row>
    <row r="1659" spans="1:15" x14ac:dyDescent="0.25">
      <c r="A1659" t="s">
        <v>1743</v>
      </c>
      <c r="B1659" t="s">
        <v>52</v>
      </c>
      <c r="C1659">
        <v>1</v>
      </c>
      <c r="D1659">
        <v>38.700000000000003</v>
      </c>
      <c r="E1659">
        <v>38.700000000000003</v>
      </c>
      <c r="F1659" s="3">
        <v>45719</v>
      </c>
      <c r="G1659" s="3">
        <v>45720</v>
      </c>
      <c r="H1659" t="s">
        <v>12</v>
      </c>
      <c r="I1659" t="s">
        <v>25</v>
      </c>
      <c r="J1659">
        <v>4</v>
      </c>
      <c r="K1659" t="s">
        <v>4</v>
      </c>
      <c r="L1659" t="s">
        <v>173</v>
      </c>
      <c r="M1659">
        <f>[1]!orders[[#This Row],[Ship Date]]-[1]!orders[[#This Row],[Order Date]]</f>
        <v>1</v>
      </c>
      <c r="N1659">
        <f>WEEKNUM([1]!orders[[#This Row],[Order Date]])</f>
        <v>10</v>
      </c>
      <c r="O1659" t="str" cm="1">
        <f t="array" ref="O1659">_xlfn.IFS([1]!orders[[#This Row],[Customer Gender]]="M","Male", [1]!orders[[#This Row],[Customer Gender]]="F","Female", [1]!orders[[#This Row],[Customer Gender]]="O","Other", TRUE,"Unknown")</f>
        <v>Female</v>
      </c>
    </row>
    <row r="1660" spans="1:15" x14ac:dyDescent="0.25">
      <c r="A1660" s="1" t="s">
        <v>1744</v>
      </c>
      <c r="B1660" s="1" t="s">
        <v>17</v>
      </c>
      <c r="C1660" s="1">
        <v>2</v>
      </c>
      <c r="D1660" s="1">
        <v>35.5</v>
      </c>
      <c r="E1660" s="1">
        <v>71</v>
      </c>
      <c r="F1660" s="2">
        <v>45719</v>
      </c>
      <c r="G1660" s="2">
        <v>45722</v>
      </c>
      <c r="H1660" s="1" t="s">
        <v>8</v>
      </c>
      <c r="I1660" s="1" t="s">
        <v>3</v>
      </c>
      <c r="J1660" s="1">
        <v>5</v>
      </c>
      <c r="K1660" s="1" t="s">
        <v>4</v>
      </c>
      <c r="L1660" s="1" t="s">
        <v>173</v>
      </c>
      <c r="M1660" s="1">
        <f>[1]!orders[[#This Row],[Ship Date]]-[1]!orders[[#This Row],[Order Date]]</f>
        <v>3</v>
      </c>
      <c r="N1660" s="1">
        <f>WEEKNUM([1]!orders[[#This Row],[Order Date]])</f>
        <v>10</v>
      </c>
      <c r="O1660" t="str" cm="1">
        <f t="array" ref="O1660">_xlfn.IFS([1]!orders[[#This Row],[Customer Gender]]="M","Male", [1]!orders[[#This Row],[Customer Gender]]="F","Female", [1]!orders[[#This Row],[Customer Gender]]="O","Other", TRUE,"Unknown")</f>
        <v>Male</v>
      </c>
    </row>
    <row r="1661" spans="1:15" x14ac:dyDescent="0.25">
      <c r="A1661" t="s">
        <v>1745</v>
      </c>
      <c r="B1661" t="s">
        <v>11</v>
      </c>
      <c r="C1661">
        <v>4</v>
      </c>
      <c r="D1661">
        <v>93.3</v>
      </c>
      <c r="E1661">
        <v>373.2</v>
      </c>
      <c r="F1661" s="3">
        <v>45719</v>
      </c>
      <c r="G1661" s="3">
        <v>45722</v>
      </c>
      <c r="H1661" t="s">
        <v>12</v>
      </c>
      <c r="I1661" t="s">
        <v>3</v>
      </c>
      <c r="J1661">
        <v>5</v>
      </c>
      <c r="K1661" t="s">
        <v>4</v>
      </c>
      <c r="L1661" t="s">
        <v>40</v>
      </c>
      <c r="M1661">
        <f>[1]!orders[[#This Row],[Ship Date]]-[1]!orders[[#This Row],[Order Date]]</f>
        <v>3</v>
      </c>
      <c r="N1661">
        <f>WEEKNUM([1]!orders[[#This Row],[Order Date]])</f>
        <v>10</v>
      </c>
      <c r="O1661" t="str" cm="1">
        <f t="array" ref="O1661">_xlfn.IFS([1]!orders[[#This Row],[Customer Gender]]="M","Male", [1]!orders[[#This Row],[Customer Gender]]="F","Female", [1]!orders[[#This Row],[Customer Gender]]="O","Other", TRUE,"Unknown")</f>
        <v>Female</v>
      </c>
    </row>
    <row r="1662" spans="1:15" x14ac:dyDescent="0.25">
      <c r="A1662" s="1" t="s">
        <v>1746</v>
      </c>
      <c r="B1662" s="1" t="s">
        <v>113</v>
      </c>
      <c r="C1662" s="1">
        <v>1</v>
      </c>
      <c r="D1662" s="1">
        <v>31.4</v>
      </c>
      <c r="E1662" s="1">
        <v>31.4</v>
      </c>
      <c r="F1662" s="2">
        <v>45719</v>
      </c>
      <c r="G1662" s="2">
        <v>45724</v>
      </c>
      <c r="H1662" s="1" t="s">
        <v>12</v>
      </c>
      <c r="I1662" s="1" t="s">
        <v>25</v>
      </c>
      <c r="J1662" s="1">
        <v>5</v>
      </c>
      <c r="K1662" s="1" t="s">
        <v>4</v>
      </c>
      <c r="L1662" s="1" t="s">
        <v>40</v>
      </c>
      <c r="M1662" s="1">
        <f>[1]!orders[[#This Row],[Ship Date]]-[1]!orders[[#This Row],[Order Date]]</f>
        <v>5</v>
      </c>
      <c r="N1662" s="1">
        <f>WEEKNUM([1]!orders[[#This Row],[Order Date]])</f>
        <v>10</v>
      </c>
      <c r="O1662" t="str" cm="1">
        <f t="array" ref="O1662">_xlfn.IFS([1]!orders[[#This Row],[Customer Gender]]="M","Male", [1]!orders[[#This Row],[Customer Gender]]="F","Female", [1]!orders[[#This Row],[Customer Gender]]="O","Other", TRUE,"Unknown")</f>
        <v>Female</v>
      </c>
    </row>
    <row r="1663" spans="1:15" x14ac:dyDescent="0.25">
      <c r="A1663" t="s">
        <v>1747</v>
      </c>
      <c r="B1663" t="s">
        <v>7</v>
      </c>
      <c r="C1663">
        <v>1</v>
      </c>
      <c r="D1663">
        <v>85.9</v>
      </c>
      <c r="E1663">
        <v>85.9</v>
      </c>
      <c r="F1663" s="3">
        <v>45719</v>
      </c>
      <c r="G1663" s="3">
        <v>45722</v>
      </c>
      <c r="H1663" t="s">
        <v>8</v>
      </c>
      <c r="I1663" t="s">
        <v>20</v>
      </c>
      <c r="J1663">
        <v>4</v>
      </c>
      <c r="K1663" t="s">
        <v>4</v>
      </c>
      <c r="L1663" t="s">
        <v>40</v>
      </c>
      <c r="M1663">
        <f>[1]!orders[[#This Row],[Ship Date]]-[1]!orders[[#This Row],[Order Date]]</f>
        <v>3</v>
      </c>
      <c r="N1663">
        <f>WEEKNUM([1]!orders[[#This Row],[Order Date]])</f>
        <v>10</v>
      </c>
      <c r="O1663" t="str" cm="1">
        <f t="array" ref="O1663">_xlfn.IFS([1]!orders[[#This Row],[Customer Gender]]="M","Male", [1]!orders[[#This Row],[Customer Gender]]="F","Female", [1]!orders[[#This Row],[Customer Gender]]="O","Other", TRUE,"Unknown")</f>
        <v>Male</v>
      </c>
    </row>
    <row r="1664" spans="1:15" x14ac:dyDescent="0.25">
      <c r="A1664" s="1" t="s">
        <v>1748</v>
      </c>
      <c r="B1664" s="1" t="s">
        <v>24</v>
      </c>
      <c r="C1664" s="1">
        <v>8</v>
      </c>
      <c r="D1664" s="1">
        <v>41.7</v>
      </c>
      <c r="E1664" s="1">
        <v>333.6</v>
      </c>
      <c r="F1664" s="2">
        <v>45719</v>
      </c>
      <c r="G1664" s="2">
        <v>45727</v>
      </c>
      <c r="H1664" s="1" t="s">
        <v>8</v>
      </c>
      <c r="I1664" s="1" t="s">
        <v>3</v>
      </c>
      <c r="J1664" s="1">
        <v>5</v>
      </c>
      <c r="K1664" s="1" t="s">
        <v>4</v>
      </c>
      <c r="L1664" s="1" t="s">
        <v>44</v>
      </c>
      <c r="M1664" s="1">
        <f>[1]!orders[[#This Row],[Ship Date]]-[1]!orders[[#This Row],[Order Date]]</f>
        <v>8</v>
      </c>
      <c r="N1664" s="1">
        <f>WEEKNUM([1]!orders[[#This Row],[Order Date]])</f>
        <v>10</v>
      </c>
      <c r="O1664" t="str" cm="1">
        <f t="array" ref="O1664">_xlfn.IFS([1]!orders[[#This Row],[Customer Gender]]="M","Male", [1]!orders[[#This Row],[Customer Gender]]="F","Female", [1]!orders[[#This Row],[Customer Gender]]="O","Other", TRUE,"Unknown")</f>
        <v>Male</v>
      </c>
    </row>
    <row r="1665" spans="1:15" x14ac:dyDescent="0.25">
      <c r="A1665" t="s">
        <v>1749</v>
      </c>
      <c r="B1665" t="s">
        <v>29</v>
      </c>
      <c r="C1665">
        <v>4</v>
      </c>
      <c r="D1665">
        <v>31.5</v>
      </c>
      <c r="E1665">
        <v>126</v>
      </c>
      <c r="F1665" s="3">
        <v>45719</v>
      </c>
      <c r="G1665" s="3">
        <v>45720</v>
      </c>
      <c r="H1665" t="s">
        <v>12</v>
      </c>
      <c r="I1665" t="s">
        <v>3</v>
      </c>
      <c r="J1665">
        <v>4</v>
      </c>
      <c r="K1665" t="s">
        <v>4</v>
      </c>
      <c r="L1665" t="s">
        <v>44</v>
      </c>
      <c r="M1665">
        <f>[1]!orders[[#This Row],[Ship Date]]-[1]!orders[[#This Row],[Order Date]]</f>
        <v>1</v>
      </c>
      <c r="N1665">
        <f>WEEKNUM([1]!orders[[#This Row],[Order Date]])</f>
        <v>10</v>
      </c>
      <c r="O1665" t="str" cm="1">
        <f t="array" ref="O1665">_xlfn.IFS([1]!orders[[#This Row],[Customer Gender]]="M","Male", [1]!orders[[#This Row],[Customer Gender]]="F","Female", [1]!orders[[#This Row],[Customer Gender]]="O","Other", TRUE,"Unknown")</f>
        <v>Female</v>
      </c>
    </row>
    <row r="1666" spans="1:15" x14ac:dyDescent="0.25">
      <c r="A1666" s="1" t="s">
        <v>1750</v>
      </c>
      <c r="B1666" s="1" t="s">
        <v>29</v>
      </c>
      <c r="C1666" s="1">
        <v>2</v>
      </c>
      <c r="D1666" s="1">
        <v>36.299999999999997</v>
      </c>
      <c r="E1666" s="1">
        <v>72.599999999999994</v>
      </c>
      <c r="F1666" s="2">
        <v>45719</v>
      </c>
      <c r="G1666" s="2">
        <v>45720</v>
      </c>
      <c r="H1666" s="1" t="s">
        <v>12</v>
      </c>
      <c r="I1666" s="1" t="s">
        <v>3</v>
      </c>
      <c r="J1666" s="1">
        <v>2</v>
      </c>
      <c r="K1666" s="1" t="s">
        <v>4</v>
      </c>
      <c r="L1666" s="1" t="s">
        <v>47</v>
      </c>
      <c r="M1666" s="1">
        <f>[1]!orders[[#This Row],[Ship Date]]-[1]!orders[[#This Row],[Order Date]]</f>
        <v>1</v>
      </c>
      <c r="N1666" s="1">
        <f>WEEKNUM([1]!orders[[#This Row],[Order Date]])</f>
        <v>10</v>
      </c>
      <c r="O1666" t="str" cm="1">
        <f t="array" ref="O1666">_xlfn.IFS([1]!orders[[#This Row],[Customer Gender]]="M","Male", [1]!orders[[#This Row],[Customer Gender]]="F","Female", [1]!orders[[#This Row],[Customer Gender]]="O","Other", TRUE,"Unknown")</f>
        <v>Female</v>
      </c>
    </row>
    <row r="1667" spans="1:15" x14ac:dyDescent="0.25">
      <c r="A1667" t="s">
        <v>1751</v>
      </c>
      <c r="B1667" t="s">
        <v>29</v>
      </c>
      <c r="C1667">
        <v>3</v>
      </c>
      <c r="D1667">
        <v>33.4</v>
      </c>
      <c r="E1667">
        <v>100.19999999999999</v>
      </c>
      <c r="F1667" s="3">
        <v>45719</v>
      </c>
      <c r="G1667" s="3">
        <v>45720</v>
      </c>
      <c r="H1667" t="s">
        <v>12</v>
      </c>
      <c r="I1667" t="s">
        <v>36</v>
      </c>
      <c r="J1667">
        <v>4</v>
      </c>
      <c r="K1667" t="s">
        <v>4</v>
      </c>
      <c r="L1667" t="s">
        <v>88</v>
      </c>
      <c r="M1667">
        <f>[1]!orders[[#This Row],[Ship Date]]-[1]!orders[[#This Row],[Order Date]]</f>
        <v>1</v>
      </c>
      <c r="N1667">
        <f>WEEKNUM([1]!orders[[#This Row],[Order Date]])</f>
        <v>10</v>
      </c>
      <c r="O1667" t="str" cm="1">
        <f t="array" ref="O1667">_xlfn.IFS([1]!orders[[#This Row],[Customer Gender]]="M","Male", [1]!orders[[#This Row],[Customer Gender]]="F","Female", [1]!orders[[#This Row],[Customer Gender]]="O","Other", TRUE,"Unknown")</f>
        <v>Female</v>
      </c>
    </row>
    <row r="1668" spans="1:15" x14ac:dyDescent="0.25">
      <c r="A1668" s="1" t="s">
        <v>1752</v>
      </c>
      <c r="B1668" s="1" t="s">
        <v>11</v>
      </c>
      <c r="C1668" s="1">
        <v>3</v>
      </c>
      <c r="D1668" s="1">
        <v>65.2</v>
      </c>
      <c r="E1668" s="1">
        <v>195.60000000000002</v>
      </c>
      <c r="F1668" s="2">
        <v>45719</v>
      </c>
      <c r="G1668" s="2">
        <v>45720</v>
      </c>
      <c r="H1668" s="1" t="s">
        <v>12</v>
      </c>
      <c r="I1668" s="1" t="s">
        <v>25</v>
      </c>
      <c r="J1668" s="1">
        <v>5</v>
      </c>
      <c r="K1668" s="1" t="s">
        <v>4</v>
      </c>
      <c r="L1668" s="1" t="s">
        <v>186</v>
      </c>
      <c r="M1668" s="1">
        <f>[1]!orders[[#This Row],[Ship Date]]-[1]!orders[[#This Row],[Order Date]]</f>
        <v>1</v>
      </c>
      <c r="N1668" s="1">
        <f>WEEKNUM([1]!orders[[#This Row],[Order Date]])</f>
        <v>10</v>
      </c>
      <c r="O1668" t="str" cm="1">
        <f t="array" ref="O1668">_xlfn.IFS([1]!orders[[#This Row],[Customer Gender]]="M","Male", [1]!orders[[#This Row],[Customer Gender]]="F","Female", [1]!orders[[#This Row],[Customer Gender]]="O","Other", TRUE,"Unknown")</f>
        <v>Female</v>
      </c>
    </row>
    <row r="1669" spans="1:15" x14ac:dyDescent="0.25">
      <c r="A1669" t="s">
        <v>1753</v>
      </c>
      <c r="B1669" t="s">
        <v>29</v>
      </c>
      <c r="C1669">
        <v>9</v>
      </c>
      <c r="D1669">
        <v>65.5</v>
      </c>
      <c r="E1669">
        <v>589.5</v>
      </c>
      <c r="F1669" s="3">
        <v>45719</v>
      </c>
      <c r="G1669" s="3">
        <v>45722</v>
      </c>
      <c r="H1669" t="s">
        <v>12</v>
      </c>
      <c r="I1669" t="s">
        <v>3</v>
      </c>
      <c r="J1669">
        <v>5</v>
      </c>
      <c r="K1669" t="s">
        <v>4</v>
      </c>
      <c r="L1669" t="s">
        <v>57</v>
      </c>
      <c r="M1669">
        <f>[1]!orders[[#This Row],[Ship Date]]-[1]!orders[[#This Row],[Order Date]]</f>
        <v>3</v>
      </c>
      <c r="N1669">
        <f>WEEKNUM([1]!orders[[#This Row],[Order Date]])</f>
        <v>10</v>
      </c>
      <c r="O1669" t="str" cm="1">
        <f t="array" ref="O1669">_xlfn.IFS([1]!orders[[#This Row],[Customer Gender]]="M","Male", [1]!orders[[#This Row],[Customer Gender]]="F","Female", [1]!orders[[#This Row],[Customer Gender]]="O","Other", TRUE,"Unknown")</f>
        <v>Female</v>
      </c>
    </row>
    <row r="1670" spans="1:15" x14ac:dyDescent="0.25">
      <c r="A1670" s="1" t="s">
        <v>1754</v>
      </c>
      <c r="B1670" s="1" t="s">
        <v>24</v>
      </c>
      <c r="C1670" s="1">
        <v>3</v>
      </c>
      <c r="D1670" s="1">
        <v>52.8</v>
      </c>
      <c r="E1670" s="1">
        <v>158.39999999999998</v>
      </c>
      <c r="F1670" s="2">
        <v>45719</v>
      </c>
      <c r="G1670" s="2">
        <v>45722</v>
      </c>
      <c r="H1670" s="1" t="s">
        <v>8</v>
      </c>
      <c r="I1670" s="1" t="s">
        <v>25</v>
      </c>
      <c r="J1670" s="1">
        <v>4</v>
      </c>
      <c r="K1670" s="1" t="s">
        <v>4</v>
      </c>
      <c r="L1670" s="1" t="s">
        <v>57</v>
      </c>
      <c r="M1670" s="1">
        <f>[1]!orders[[#This Row],[Ship Date]]-[1]!orders[[#This Row],[Order Date]]</f>
        <v>3</v>
      </c>
      <c r="N1670" s="1">
        <f>WEEKNUM([1]!orders[[#This Row],[Order Date]])</f>
        <v>10</v>
      </c>
      <c r="O1670" t="str" cm="1">
        <f t="array" ref="O1670">_xlfn.IFS([1]!orders[[#This Row],[Customer Gender]]="M","Male", [1]!orders[[#This Row],[Customer Gender]]="F","Female", [1]!orders[[#This Row],[Customer Gender]]="O","Other", TRUE,"Unknown")</f>
        <v>Male</v>
      </c>
    </row>
    <row r="1671" spans="1:15" x14ac:dyDescent="0.25">
      <c r="A1671" t="s">
        <v>1755</v>
      </c>
      <c r="B1671" t="s">
        <v>31</v>
      </c>
      <c r="C1671">
        <v>5</v>
      </c>
      <c r="D1671">
        <v>24</v>
      </c>
      <c r="E1671">
        <v>120</v>
      </c>
      <c r="F1671" s="3">
        <v>45719</v>
      </c>
      <c r="G1671" s="3">
        <v>45723</v>
      </c>
      <c r="H1671" t="s">
        <v>8</v>
      </c>
      <c r="I1671" t="s">
        <v>3</v>
      </c>
      <c r="J1671">
        <v>3</v>
      </c>
      <c r="K1671" t="s">
        <v>4</v>
      </c>
      <c r="L1671" t="s">
        <v>62</v>
      </c>
      <c r="M1671">
        <f>[1]!orders[[#This Row],[Ship Date]]-[1]!orders[[#This Row],[Order Date]]</f>
        <v>4</v>
      </c>
      <c r="N1671">
        <f>WEEKNUM([1]!orders[[#This Row],[Order Date]])</f>
        <v>10</v>
      </c>
      <c r="O1671" t="str" cm="1">
        <f t="array" ref="O1671">_xlfn.IFS([1]!orders[[#This Row],[Customer Gender]]="M","Male", [1]!orders[[#This Row],[Customer Gender]]="F","Female", [1]!orders[[#This Row],[Customer Gender]]="O","Other", TRUE,"Unknown")</f>
        <v>Male</v>
      </c>
    </row>
    <row r="1672" spans="1:15" x14ac:dyDescent="0.25">
      <c r="A1672" s="1" t="s">
        <v>1756</v>
      </c>
      <c r="B1672" s="1" t="s">
        <v>15</v>
      </c>
      <c r="C1672" s="1">
        <v>3</v>
      </c>
      <c r="D1672" s="1">
        <v>51.2</v>
      </c>
      <c r="E1672" s="1">
        <v>153.60000000000002</v>
      </c>
      <c r="F1672" s="2">
        <v>45719</v>
      </c>
      <c r="G1672" s="2">
        <v>45720</v>
      </c>
      <c r="H1672" s="1" t="s">
        <v>12</v>
      </c>
      <c r="I1672" s="1" t="s">
        <v>3</v>
      </c>
      <c r="J1672" s="1">
        <v>4</v>
      </c>
      <c r="K1672" s="1" t="s">
        <v>4</v>
      </c>
      <c r="L1672" s="1" t="s">
        <v>294</v>
      </c>
      <c r="M1672" s="1">
        <f>[1]!orders[[#This Row],[Ship Date]]-[1]!orders[[#This Row],[Order Date]]</f>
        <v>1</v>
      </c>
      <c r="N1672" s="1">
        <f>WEEKNUM([1]!orders[[#This Row],[Order Date]])</f>
        <v>10</v>
      </c>
      <c r="O1672" t="str" cm="1">
        <f t="array" ref="O1672">_xlfn.IFS([1]!orders[[#This Row],[Customer Gender]]="M","Male", [1]!orders[[#This Row],[Customer Gender]]="F","Female", [1]!orders[[#This Row],[Customer Gender]]="O","Other", TRUE,"Unknown")</f>
        <v>Female</v>
      </c>
    </row>
    <row r="1673" spans="1:15" x14ac:dyDescent="0.25">
      <c r="A1673" t="s">
        <v>1757</v>
      </c>
      <c r="B1673" t="s">
        <v>22</v>
      </c>
      <c r="C1673">
        <v>3</v>
      </c>
      <c r="D1673">
        <v>28.3</v>
      </c>
      <c r="E1673">
        <v>84.9</v>
      </c>
      <c r="F1673" s="3">
        <v>45719</v>
      </c>
      <c r="G1673" s="3">
        <v>45721</v>
      </c>
      <c r="H1673" t="s">
        <v>8</v>
      </c>
      <c r="I1673" t="s">
        <v>55</v>
      </c>
      <c r="J1673">
        <v>4</v>
      </c>
      <c r="K1673" t="s">
        <v>4</v>
      </c>
      <c r="L1673" t="s">
        <v>95</v>
      </c>
      <c r="M1673">
        <f>[1]!orders[[#This Row],[Ship Date]]-[1]!orders[[#This Row],[Order Date]]</f>
        <v>2</v>
      </c>
      <c r="N1673">
        <f>WEEKNUM([1]!orders[[#This Row],[Order Date]])</f>
        <v>10</v>
      </c>
      <c r="O1673" t="str" cm="1">
        <f t="array" ref="O1673">_xlfn.IFS([1]!orders[[#This Row],[Customer Gender]]="M","Male", [1]!orders[[#This Row],[Customer Gender]]="F","Female", [1]!orders[[#This Row],[Customer Gender]]="O","Other", TRUE,"Unknown")</f>
        <v>Male</v>
      </c>
    </row>
    <row r="1674" spans="1:15" x14ac:dyDescent="0.25">
      <c r="A1674" s="1" t="s">
        <v>1758</v>
      </c>
      <c r="B1674" s="1" t="s">
        <v>24</v>
      </c>
      <c r="C1674" s="1">
        <v>3</v>
      </c>
      <c r="D1674" s="1">
        <v>42.3</v>
      </c>
      <c r="E1674" s="1">
        <v>126.89999999999999</v>
      </c>
      <c r="F1674" s="2">
        <v>45719</v>
      </c>
      <c r="G1674" s="2">
        <v>45719</v>
      </c>
      <c r="H1674" s="1" t="s">
        <v>12</v>
      </c>
      <c r="I1674" s="1" t="s">
        <v>25</v>
      </c>
      <c r="J1674" s="1">
        <v>3</v>
      </c>
      <c r="K1674" s="1" t="s">
        <v>4</v>
      </c>
      <c r="L1674" s="1" t="s">
        <v>95</v>
      </c>
      <c r="M1674" s="1">
        <f>[1]!orders[[#This Row],[Ship Date]]-[1]!orders[[#This Row],[Order Date]]</f>
        <v>0</v>
      </c>
      <c r="N1674" s="1">
        <f>WEEKNUM([1]!orders[[#This Row],[Order Date]])</f>
        <v>10</v>
      </c>
      <c r="O1674" t="str" cm="1">
        <f t="array" ref="O1674">_xlfn.IFS([1]!orders[[#This Row],[Customer Gender]]="M","Male", [1]!orders[[#This Row],[Customer Gender]]="F","Female", [1]!orders[[#This Row],[Customer Gender]]="O","Other", TRUE,"Unknown")</f>
        <v>Female</v>
      </c>
    </row>
    <row r="1675" spans="1:15" x14ac:dyDescent="0.25">
      <c r="A1675" t="s">
        <v>1759</v>
      </c>
      <c r="B1675" t="s">
        <v>11</v>
      </c>
      <c r="C1675">
        <v>8</v>
      </c>
      <c r="D1675">
        <v>163.30000000000001</v>
      </c>
      <c r="E1675">
        <v>1306.4000000000001</v>
      </c>
      <c r="F1675" s="3">
        <v>45720</v>
      </c>
      <c r="G1675" s="3">
        <v>45721</v>
      </c>
      <c r="H1675" t="s">
        <v>12</v>
      </c>
      <c r="I1675" t="s">
        <v>20</v>
      </c>
      <c r="J1675">
        <v>4</v>
      </c>
      <c r="K1675" t="s">
        <v>4</v>
      </c>
      <c r="L1675" t="s">
        <v>67</v>
      </c>
      <c r="M1675">
        <f>[1]!orders[[#This Row],[Ship Date]]-[1]!orders[[#This Row],[Order Date]]</f>
        <v>1</v>
      </c>
      <c r="N1675">
        <f>WEEKNUM([1]!orders[[#This Row],[Order Date]])</f>
        <v>10</v>
      </c>
      <c r="O1675" t="str" cm="1">
        <f t="array" ref="O1675">_xlfn.IFS([1]!orders[[#This Row],[Customer Gender]]="M","Male", [1]!orders[[#This Row],[Customer Gender]]="F","Female", [1]!orders[[#This Row],[Customer Gender]]="O","Other", TRUE,"Unknown")</f>
        <v>Female</v>
      </c>
    </row>
    <row r="1676" spans="1:15" x14ac:dyDescent="0.25">
      <c r="A1676" s="1" t="s">
        <v>1760</v>
      </c>
      <c r="B1676" s="1" t="s">
        <v>24</v>
      </c>
      <c r="C1676" s="1">
        <v>7</v>
      </c>
      <c r="D1676" s="1">
        <v>47.3</v>
      </c>
      <c r="E1676" s="1">
        <v>331.09999999999997</v>
      </c>
      <c r="F1676" s="2">
        <v>45720</v>
      </c>
      <c r="G1676" s="2">
        <v>45723</v>
      </c>
      <c r="H1676" s="1" t="s">
        <v>12</v>
      </c>
      <c r="I1676" s="1" t="s">
        <v>55</v>
      </c>
      <c r="J1676" s="1">
        <v>3</v>
      </c>
      <c r="K1676" s="1" t="s">
        <v>4</v>
      </c>
      <c r="L1676" s="1" t="s">
        <v>100</v>
      </c>
      <c r="M1676" s="1">
        <f>[1]!orders[[#This Row],[Ship Date]]-[1]!orders[[#This Row],[Order Date]]</f>
        <v>3</v>
      </c>
      <c r="N1676" s="1">
        <f>WEEKNUM([1]!orders[[#This Row],[Order Date]])</f>
        <v>10</v>
      </c>
      <c r="O1676" t="str" cm="1">
        <f t="array" ref="O1676">_xlfn.IFS([1]!orders[[#This Row],[Customer Gender]]="M","Male", [1]!orders[[#This Row],[Customer Gender]]="F","Female", [1]!orders[[#This Row],[Customer Gender]]="O","Other", TRUE,"Unknown")</f>
        <v>Female</v>
      </c>
    </row>
    <row r="1677" spans="1:15" x14ac:dyDescent="0.25">
      <c r="A1677" t="s">
        <v>1761</v>
      </c>
      <c r="B1677" t="s">
        <v>29</v>
      </c>
      <c r="C1677">
        <v>16</v>
      </c>
      <c r="D1677">
        <v>27.3</v>
      </c>
      <c r="E1677">
        <v>436.8</v>
      </c>
      <c r="F1677" s="3">
        <v>45720</v>
      </c>
      <c r="G1677" s="3">
        <v>45721</v>
      </c>
      <c r="H1677" t="s">
        <v>12</v>
      </c>
      <c r="I1677" t="s">
        <v>25</v>
      </c>
      <c r="J1677">
        <v>4</v>
      </c>
      <c r="K1677" t="s">
        <v>4</v>
      </c>
      <c r="L1677" t="s">
        <v>100</v>
      </c>
      <c r="M1677">
        <f>[1]!orders[[#This Row],[Ship Date]]-[1]!orders[[#This Row],[Order Date]]</f>
        <v>1</v>
      </c>
      <c r="N1677">
        <f>WEEKNUM([1]!orders[[#This Row],[Order Date]])</f>
        <v>10</v>
      </c>
      <c r="O1677" t="str" cm="1">
        <f t="array" ref="O1677">_xlfn.IFS([1]!orders[[#This Row],[Customer Gender]]="M","Male", [1]!orders[[#This Row],[Customer Gender]]="F","Female", [1]!orders[[#This Row],[Customer Gender]]="O","Other", TRUE,"Unknown")</f>
        <v>Female</v>
      </c>
    </row>
    <row r="1678" spans="1:15" x14ac:dyDescent="0.25">
      <c r="A1678" s="1" t="s">
        <v>1762</v>
      </c>
      <c r="B1678" s="1" t="s">
        <v>39</v>
      </c>
      <c r="C1678" s="1">
        <v>6</v>
      </c>
      <c r="D1678" s="1">
        <v>34.9</v>
      </c>
      <c r="E1678" s="1">
        <v>209.39999999999998</v>
      </c>
      <c r="F1678" s="2">
        <v>45720</v>
      </c>
      <c r="G1678" s="2">
        <v>45731</v>
      </c>
      <c r="H1678" s="1" t="s">
        <v>12</v>
      </c>
      <c r="I1678" s="1" t="s">
        <v>3</v>
      </c>
      <c r="J1678" s="1">
        <v>4</v>
      </c>
      <c r="K1678" s="1" t="s">
        <v>4</v>
      </c>
      <c r="L1678" s="1" t="s">
        <v>100</v>
      </c>
      <c r="M1678" s="1">
        <f>[1]!orders[[#This Row],[Ship Date]]-[1]!orders[[#This Row],[Order Date]]</f>
        <v>11</v>
      </c>
      <c r="N1678" s="1">
        <f>WEEKNUM([1]!orders[[#This Row],[Order Date]])</f>
        <v>10</v>
      </c>
      <c r="O1678" t="str" cm="1">
        <f t="array" ref="O1678">_xlfn.IFS([1]!orders[[#This Row],[Customer Gender]]="M","Male", [1]!orders[[#This Row],[Customer Gender]]="F","Female", [1]!orders[[#This Row],[Customer Gender]]="O","Other", TRUE,"Unknown")</f>
        <v>Female</v>
      </c>
    </row>
    <row r="1679" spans="1:15" x14ac:dyDescent="0.25">
      <c r="A1679" t="s">
        <v>1763</v>
      </c>
      <c r="B1679" t="s">
        <v>24</v>
      </c>
      <c r="C1679">
        <v>2</v>
      </c>
      <c r="D1679">
        <v>53.9</v>
      </c>
      <c r="E1679">
        <v>107.8</v>
      </c>
      <c r="F1679" s="3">
        <v>45720</v>
      </c>
      <c r="G1679" s="3">
        <v>45723</v>
      </c>
      <c r="H1679" t="s">
        <v>74</v>
      </c>
      <c r="I1679" t="s">
        <v>3</v>
      </c>
      <c r="J1679">
        <v>2</v>
      </c>
      <c r="K1679" t="s">
        <v>4</v>
      </c>
      <c r="L1679" t="s">
        <v>9</v>
      </c>
      <c r="M1679">
        <f>[1]!orders[[#This Row],[Ship Date]]-[1]!orders[[#This Row],[Order Date]]</f>
        <v>3</v>
      </c>
      <c r="N1679">
        <f>WEEKNUM([1]!orders[[#This Row],[Order Date]])</f>
        <v>10</v>
      </c>
      <c r="O1679" t="str" cm="1">
        <f t="array" ref="O1679">_xlfn.IFS([1]!orders[[#This Row],[Customer Gender]]="M","Male", [1]!orders[[#This Row],[Customer Gender]]="F","Female", [1]!orders[[#This Row],[Customer Gender]]="O","Other", TRUE,"Unknown")</f>
        <v>Other</v>
      </c>
    </row>
    <row r="1680" spans="1:15" x14ac:dyDescent="0.25">
      <c r="A1680" s="1" t="s">
        <v>1764</v>
      </c>
      <c r="B1680" s="1" t="s">
        <v>11</v>
      </c>
      <c r="C1680" s="1">
        <v>2</v>
      </c>
      <c r="D1680" s="1">
        <v>87.2</v>
      </c>
      <c r="E1680" s="1">
        <v>174.4</v>
      </c>
      <c r="F1680" s="2">
        <v>45720</v>
      </c>
      <c r="G1680" s="2">
        <v>45721</v>
      </c>
      <c r="H1680" s="1" t="s">
        <v>12</v>
      </c>
      <c r="I1680" s="1" t="s">
        <v>3</v>
      </c>
      <c r="J1680" s="1">
        <v>3</v>
      </c>
      <c r="K1680" s="1" t="s">
        <v>4</v>
      </c>
      <c r="L1680" s="1" t="s">
        <v>9</v>
      </c>
      <c r="M1680" s="1">
        <f>[1]!orders[[#This Row],[Ship Date]]-[1]!orders[[#This Row],[Order Date]]</f>
        <v>1</v>
      </c>
      <c r="N1680" s="1">
        <f>WEEKNUM([1]!orders[[#This Row],[Order Date]])</f>
        <v>10</v>
      </c>
      <c r="O1680" t="str" cm="1">
        <f t="array" ref="O1680">_xlfn.IFS([1]!orders[[#This Row],[Customer Gender]]="M","Male", [1]!orders[[#This Row],[Customer Gender]]="F","Female", [1]!orders[[#This Row],[Customer Gender]]="O","Other", TRUE,"Unknown")</f>
        <v>Female</v>
      </c>
    </row>
    <row r="1681" spans="1:15" x14ac:dyDescent="0.25">
      <c r="A1681" t="s">
        <v>1765</v>
      </c>
      <c r="B1681" t="s">
        <v>108</v>
      </c>
      <c r="C1681">
        <v>1</v>
      </c>
      <c r="D1681">
        <v>58.8</v>
      </c>
      <c r="E1681">
        <v>58.8</v>
      </c>
      <c r="F1681" s="3">
        <v>45720</v>
      </c>
      <c r="G1681" s="3">
        <v>45722</v>
      </c>
      <c r="H1681" t="s">
        <v>12</v>
      </c>
      <c r="I1681" t="s">
        <v>25</v>
      </c>
      <c r="J1681">
        <v>4</v>
      </c>
      <c r="K1681" t="s">
        <v>4</v>
      </c>
      <c r="L1681" t="s">
        <v>572</v>
      </c>
      <c r="M1681">
        <f>[1]!orders[[#This Row],[Ship Date]]-[1]!orders[[#This Row],[Order Date]]</f>
        <v>2</v>
      </c>
      <c r="N1681">
        <f>WEEKNUM([1]!orders[[#This Row],[Order Date]])</f>
        <v>10</v>
      </c>
      <c r="O1681" t="str" cm="1">
        <f t="array" ref="O1681">_xlfn.IFS([1]!orders[[#This Row],[Customer Gender]]="M","Male", [1]!orders[[#This Row],[Customer Gender]]="F","Female", [1]!orders[[#This Row],[Customer Gender]]="O","Other", TRUE,"Unknown")</f>
        <v>Female</v>
      </c>
    </row>
    <row r="1682" spans="1:15" x14ac:dyDescent="0.25">
      <c r="A1682" s="1" t="s">
        <v>1766</v>
      </c>
      <c r="B1682" s="1" t="s">
        <v>11</v>
      </c>
      <c r="C1682" s="1">
        <v>7</v>
      </c>
      <c r="D1682" s="1">
        <v>125.5</v>
      </c>
      <c r="E1682" s="1">
        <v>878.5</v>
      </c>
      <c r="F1682" s="2">
        <v>45720</v>
      </c>
      <c r="G1682" s="2">
        <v>45721</v>
      </c>
      <c r="H1682" s="1" t="s">
        <v>8</v>
      </c>
      <c r="I1682" s="1" t="s">
        <v>25</v>
      </c>
      <c r="J1682" s="1">
        <v>2</v>
      </c>
      <c r="K1682" s="1" t="s">
        <v>4</v>
      </c>
      <c r="L1682" s="1" t="s">
        <v>132</v>
      </c>
      <c r="M1682" s="1">
        <f>[1]!orders[[#This Row],[Ship Date]]-[1]!orders[[#This Row],[Order Date]]</f>
        <v>1</v>
      </c>
      <c r="N1682" s="1">
        <f>WEEKNUM([1]!orders[[#This Row],[Order Date]])</f>
        <v>10</v>
      </c>
      <c r="O1682" t="str" cm="1">
        <f t="array" ref="O1682">_xlfn.IFS([1]!orders[[#This Row],[Customer Gender]]="M","Male", [1]!orders[[#This Row],[Customer Gender]]="F","Female", [1]!orders[[#This Row],[Customer Gender]]="O","Other", TRUE,"Unknown")</f>
        <v>Male</v>
      </c>
    </row>
    <row r="1683" spans="1:15" x14ac:dyDescent="0.25">
      <c r="A1683" t="s">
        <v>1767</v>
      </c>
      <c r="B1683" t="s">
        <v>7</v>
      </c>
      <c r="C1683">
        <v>4</v>
      </c>
      <c r="D1683">
        <v>124.6</v>
      </c>
      <c r="E1683">
        <v>498.4</v>
      </c>
      <c r="F1683" s="3">
        <v>45720</v>
      </c>
      <c r="G1683" s="3">
        <v>45722</v>
      </c>
      <c r="H1683" t="s">
        <v>12</v>
      </c>
      <c r="I1683" t="s">
        <v>3</v>
      </c>
      <c r="J1683">
        <v>3</v>
      </c>
      <c r="K1683" t="s">
        <v>4</v>
      </c>
      <c r="L1683" t="s">
        <v>132</v>
      </c>
      <c r="M1683">
        <f>[1]!orders[[#This Row],[Ship Date]]-[1]!orders[[#This Row],[Order Date]]</f>
        <v>2</v>
      </c>
      <c r="N1683">
        <f>WEEKNUM([1]!orders[[#This Row],[Order Date]])</f>
        <v>10</v>
      </c>
      <c r="O1683" t="str" cm="1">
        <f t="array" ref="O1683">_xlfn.IFS([1]!orders[[#This Row],[Customer Gender]]="M","Male", [1]!orders[[#This Row],[Customer Gender]]="F","Female", [1]!orders[[#This Row],[Customer Gender]]="O","Other", TRUE,"Unknown")</f>
        <v>Female</v>
      </c>
    </row>
    <row r="1684" spans="1:15" x14ac:dyDescent="0.25">
      <c r="A1684" s="1" t="s">
        <v>1768</v>
      </c>
      <c r="B1684" s="1" t="s">
        <v>7</v>
      </c>
      <c r="C1684" s="1">
        <v>7</v>
      </c>
      <c r="D1684" s="1">
        <v>39.9</v>
      </c>
      <c r="E1684" s="1">
        <v>279.3</v>
      </c>
      <c r="F1684" s="2">
        <v>45720</v>
      </c>
      <c r="G1684" s="2">
        <v>45721</v>
      </c>
      <c r="H1684" s="1" t="s">
        <v>8</v>
      </c>
      <c r="I1684" s="1" t="s">
        <v>25</v>
      </c>
      <c r="J1684" s="1">
        <v>3</v>
      </c>
      <c r="K1684" s="1" t="s">
        <v>4</v>
      </c>
      <c r="L1684" s="1" t="s">
        <v>18</v>
      </c>
      <c r="M1684" s="1">
        <f>[1]!orders[[#This Row],[Ship Date]]-[1]!orders[[#This Row],[Order Date]]</f>
        <v>1</v>
      </c>
      <c r="N1684" s="1">
        <f>WEEKNUM([1]!orders[[#This Row],[Order Date]])</f>
        <v>10</v>
      </c>
      <c r="O1684" t="str" cm="1">
        <f t="array" ref="O1684">_xlfn.IFS([1]!orders[[#This Row],[Customer Gender]]="M","Male", [1]!orders[[#This Row],[Customer Gender]]="F","Female", [1]!orders[[#This Row],[Customer Gender]]="O","Other", TRUE,"Unknown")</f>
        <v>Male</v>
      </c>
    </row>
    <row r="1685" spans="1:15" x14ac:dyDescent="0.25">
      <c r="A1685" t="s">
        <v>1769</v>
      </c>
      <c r="B1685" t="s">
        <v>24</v>
      </c>
      <c r="C1685">
        <v>1</v>
      </c>
      <c r="D1685">
        <v>94.6</v>
      </c>
      <c r="E1685">
        <v>94.6</v>
      </c>
      <c r="F1685" s="3">
        <v>45720</v>
      </c>
      <c r="G1685" s="3">
        <v>45734</v>
      </c>
      <c r="H1685" t="s">
        <v>12</v>
      </c>
      <c r="I1685" t="s">
        <v>3</v>
      </c>
      <c r="J1685">
        <v>3</v>
      </c>
      <c r="K1685" t="s">
        <v>4</v>
      </c>
      <c r="L1685" t="s">
        <v>18</v>
      </c>
      <c r="M1685">
        <f>[1]!orders[[#This Row],[Ship Date]]-[1]!orders[[#This Row],[Order Date]]</f>
        <v>14</v>
      </c>
      <c r="N1685">
        <f>WEEKNUM([1]!orders[[#This Row],[Order Date]])</f>
        <v>10</v>
      </c>
      <c r="O1685" t="str" cm="1">
        <f t="array" ref="O1685">_xlfn.IFS([1]!orders[[#This Row],[Customer Gender]]="M","Male", [1]!orders[[#This Row],[Customer Gender]]="F","Female", [1]!orders[[#This Row],[Customer Gender]]="O","Other", TRUE,"Unknown")</f>
        <v>Female</v>
      </c>
    </row>
    <row r="1686" spans="1:15" x14ac:dyDescent="0.25">
      <c r="A1686" s="1" t="s">
        <v>1770</v>
      </c>
      <c r="B1686" s="1" t="s">
        <v>11</v>
      </c>
      <c r="C1686" s="1">
        <v>2</v>
      </c>
      <c r="D1686" s="1">
        <v>149.6</v>
      </c>
      <c r="E1686" s="1">
        <v>299.2</v>
      </c>
      <c r="F1686" s="2">
        <v>45720</v>
      </c>
      <c r="G1686" s="2">
        <v>45721</v>
      </c>
      <c r="H1686" s="1" t="s">
        <v>12</v>
      </c>
      <c r="I1686" s="1" t="s">
        <v>3</v>
      </c>
      <c r="J1686" s="1">
        <v>4</v>
      </c>
      <c r="K1686" s="1" t="s">
        <v>4</v>
      </c>
      <c r="L1686" s="1" t="s">
        <v>18</v>
      </c>
      <c r="M1686" s="1">
        <f>[1]!orders[[#This Row],[Ship Date]]-[1]!orders[[#This Row],[Order Date]]</f>
        <v>1</v>
      </c>
      <c r="N1686" s="1">
        <f>WEEKNUM([1]!orders[[#This Row],[Order Date]])</f>
        <v>10</v>
      </c>
      <c r="O1686" t="str" cm="1">
        <f t="array" ref="O1686">_xlfn.IFS([1]!orders[[#This Row],[Customer Gender]]="M","Male", [1]!orders[[#This Row],[Customer Gender]]="F","Female", [1]!orders[[#This Row],[Customer Gender]]="O","Other", TRUE,"Unknown")</f>
        <v>Female</v>
      </c>
    </row>
    <row r="1687" spans="1:15" x14ac:dyDescent="0.25">
      <c r="A1687" t="s">
        <v>1771</v>
      </c>
      <c r="B1687" t="s">
        <v>29</v>
      </c>
      <c r="C1687">
        <v>1</v>
      </c>
      <c r="D1687">
        <v>52.2</v>
      </c>
      <c r="E1687">
        <v>52.2</v>
      </c>
      <c r="F1687" s="3">
        <v>45720</v>
      </c>
      <c r="G1687" s="3">
        <v>45721</v>
      </c>
      <c r="H1687" t="s">
        <v>2</v>
      </c>
      <c r="I1687" t="s">
        <v>20</v>
      </c>
      <c r="J1687">
        <v>4</v>
      </c>
      <c r="K1687" t="s">
        <v>4</v>
      </c>
      <c r="L1687" t="s">
        <v>18</v>
      </c>
      <c r="M1687">
        <f>[1]!orders[[#This Row],[Ship Date]]-[1]!orders[[#This Row],[Order Date]]</f>
        <v>1</v>
      </c>
      <c r="N1687">
        <f>WEEKNUM([1]!orders[[#This Row],[Order Date]])</f>
        <v>10</v>
      </c>
      <c r="O1687" t="str" cm="1">
        <f t="array" ref="O1687">_xlfn.IFS([1]!orders[[#This Row],[Customer Gender]]="M","Male", [1]!orders[[#This Row],[Customer Gender]]="F","Female", [1]!orders[[#This Row],[Customer Gender]]="O","Other", TRUE,"Unknown")</f>
        <v>Unknown</v>
      </c>
    </row>
    <row r="1688" spans="1:15" x14ac:dyDescent="0.25">
      <c r="A1688" s="1" t="s">
        <v>1772</v>
      </c>
      <c r="B1688" s="1" t="s">
        <v>24</v>
      </c>
      <c r="C1688" s="1">
        <v>2</v>
      </c>
      <c r="D1688" s="1">
        <v>96.5</v>
      </c>
      <c r="E1688" s="1">
        <v>193</v>
      </c>
      <c r="F1688" s="2">
        <v>45720</v>
      </c>
      <c r="G1688" s="2">
        <v>45721</v>
      </c>
      <c r="H1688" s="1" t="s">
        <v>12</v>
      </c>
      <c r="I1688" s="1" t="s">
        <v>20</v>
      </c>
      <c r="J1688" s="1">
        <v>3</v>
      </c>
      <c r="K1688" s="1" t="s">
        <v>4</v>
      </c>
      <c r="L1688" s="1" t="s">
        <v>18</v>
      </c>
      <c r="M1688" s="1">
        <f>[1]!orders[[#This Row],[Ship Date]]-[1]!orders[[#This Row],[Order Date]]</f>
        <v>1</v>
      </c>
      <c r="N1688" s="1">
        <f>WEEKNUM([1]!orders[[#This Row],[Order Date]])</f>
        <v>10</v>
      </c>
      <c r="O1688" t="str" cm="1">
        <f t="array" ref="O1688">_xlfn.IFS([1]!orders[[#This Row],[Customer Gender]]="M","Male", [1]!orders[[#This Row],[Customer Gender]]="F","Female", [1]!orders[[#This Row],[Customer Gender]]="O","Other", TRUE,"Unknown")</f>
        <v>Female</v>
      </c>
    </row>
    <row r="1689" spans="1:15" x14ac:dyDescent="0.25">
      <c r="A1689" t="s">
        <v>1773</v>
      </c>
      <c r="B1689" t="s">
        <v>29</v>
      </c>
      <c r="C1689">
        <v>2</v>
      </c>
      <c r="D1689">
        <v>79.8</v>
      </c>
      <c r="E1689">
        <v>159.6</v>
      </c>
      <c r="F1689" s="3">
        <v>45720</v>
      </c>
      <c r="G1689" s="3">
        <v>45722</v>
      </c>
      <c r="H1689" t="s">
        <v>12</v>
      </c>
      <c r="I1689" t="s">
        <v>3</v>
      </c>
      <c r="J1689">
        <v>3</v>
      </c>
      <c r="K1689" t="s">
        <v>4</v>
      </c>
      <c r="L1689" t="s">
        <v>18</v>
      </c>
      <c r="M1689">
        <f>[1]!orders[[#This Row],[Ship Date]]-[1]!orders[[#This Row],[Order Date]]</f>
        <v>2</v>
      </c>
      <c r="N1689">
        <f>WEEKNUM([1]!orders[[#This Row],[Order Date]])</f>
        <v>10</v>
      </c>
      <c r="O1689" t="str" cm="1">
        <f t="array" ref="O1689">_xlfn.IFS([1]!orders[[#This Row],[Customer Gender]]="M","Male", [1]!orders[[#This Row],[Customer Gender]]="F","Female", [1]!orders[[#This Row],[Customer Gender]]="O","Other", TRUE,"Unknown")</f>
        <v>Female</v>
      </c>
    </row>
    <row r="1690" spans="1:15" x14ac:dyDescent="0.25">
      <c r="A1690" s="1" t="s">
        <v>1774</v>
      </c>
      <c r="B1690" s="1" t="s">
        <v>29</v>
      </c>
      <c r="C1690" s="1">
        <v>3</v>
      </c>
      <c r="D1690" s="1">
        <v>35.6</v>
      </c>
      <c r="E1690" s="1">
        <v>106.80000000000001</v>
      </c>
      <c r="F1690" s="2">
        <v>45720</v>
      </c>
      <c r="G1690" s="2">
        <v>45721</v>
      </c>
      <c r="H1690" s="1" t="s">
        <v>12</v>
      </c>
      <c r="I1690" s="1" t="s">
        <v>25</v>
      </c>
      <c r="J1690" s="1">
        <v>4</v>
      </c>
      <c r="K1690" s="1" t="s">
        <v>4</v>
      </c>
      <c r="L1690" s="1" t="s">
        <v>18</v>
      </c>
      <c r="M1690" s="1">
        <f>[1]!orders[[#This Row],[Ship Date]]-[1]!orders[[#This Row],[Order Date]]</f>
        <v>1</v>
      </c>
      <c r="N1690" s="1">
        <f>WEEKNUM([1]!orders[[#This Row],[Order Date]])</f>
        <v>10</v>
      </c>
      <c r="O1690" t="str" cm="1">
        <f t="array" ref="O1690">_xlfn.IFS([1]!orders[[#This Row],[Customer Gender]]="M","Male", [1]!orders[[#This Row],[Customer Gender]]="F","Female", [1]!orders[[#This Row],[Customer Gender]]="O","Other", TRUE,"Unknown")</f>
        <v>Female</v>
      </c>
    </row>
    <row r="1691" spans="1:15" x14ac:dyDescent="0.25">
      <c r="A1691" t="s">
        <v>1775</v>
      </c>
      <c r="B1691" t="s">
        <v>113</v>
      </c>
      <c r="C1691">
        <v>1</v>
      </c>
      <c r="D1691">
        <v>50.2</v>
      </c>
      <c r="E1691">
        <v>50.2</v>
      </c>
      <c r="F1691" s="3">
        <v>45720</v>
      </c>
      <c r="G1691" s="3">
        <v>45721</v>
      </c>
      <c r="H1691" t="s">
        <v>12</v>
      </c>
      <c r="I1691" t="s">
        <v>20</v>
      </c>
      <c r="J1691">
        <v>5</v>
      </c>
      <c r="K1691" t="s">
        <v>4</v>
      </c>
      <c r="L1691" t="s">
        <v>18</v>
      </c>
      <c r="M1691">
        <f>[1]!orders[[#This Row],[Ship Date]]-[1]!orders[[#This Row],[Order Date]]</f>
        <v>1</v>
      </c>
      <c r="N1691">
        <f>WEEKNUM([1]!orders[[#This Row],[Order Date]])</f>
        <v>10</v>
      </c>
      <c r="O1691" t="str" cm="1">
        <f t="array" ref="O1691">_xlfn.IFS([1]!orders[[#This Row],[Customer Gender]]="M","Male", [1]!orders[[#This Row],[Customer Gender]]="F","Female", [1]!orders[[#This Row],[Customer Gender]]="O","Other", TRUE,"Unknown")</f>
        <v>Female</v>
      </c>
    </row>
    <row r="1692" spans="1:15" x14ac:dyDescent="0.25">
      <c r="A1692" s="1" t="s">
        <v>1776</v>
      </c>
      <c r="B1692" s="1" t="s">
        <v>7</v>
      </c>
      <c r="C1692" s="1">
        <v>3</v>
      </c>
      <c r="D1692" s="1">
        <v>55.3</v>
      </c>
      <c r="E1692" s="1">
        <v>165.89999999999998</v>
      </c>
      <c r="F1692" s="2">
        <v>45720</v>
      </c>
      <c r="G1692" s="2">
        <v>45723</v>
      </c>
      <c r="H1692" s="1" t="s">
        <v>12</v>
      </c>
      <c r="I1692" s="1" t="s">
        <v>3</v>
      </c>
      <c r="J1692" s="1">
        <v>2</v>
      </c>
      <c r="K1692" s="1" t="s">
        <v>4</v>
      </c>
      <c r="L1692" s="1" t="s">
        <v>401</v>
      </c>
      <c r="M1692" s="1">
        <f>[1]!orders[[#This Row],[Ship Date]]-[1]!orders[[#This Row],[Order Date]]</f>
        <v>3</v>
      </c>
      <c r="N1692" s="1">
        <f>WEEKNUM([1]!orders[[#This Row],[Order Date]])</f>
        <v>10</v>
      </c>
      <c r="O1692" t="str" cm="1">
        <f t="array" ref="O1692">_xlfn.IFS([1]!orders[[#This Row],[Customer Gender]]="M","Male", [1]!orders[[#This Row],[Customer Gender]]="F","Female", [1]!orders[[#This Row],[Customer Gender]]="O","Other", TRUE,"Unknown")</f>
        <v>Female</v>
      </c>
    </row>
    <row r="1693" spans="1:15" x14ac:dyDescent="0.25">
      <c r="A1693" t="s">
        <v>1777</v>
      </c>
      <c r="B1693" t="s">
        <v>24</v>
      </c>
      <c r="C1693">
        <v>7</v>
      </c>
      <c r="D1693">
        <v>104.5</v>
      </c>
      <c r="E1693">
        <v>731.5</v>
      </c>
      <c r="F1693" s="3">
        <v>45720</v>
      </c>
      <c r="G1693" s="3">
        <v>45724</v>
      </c>
      <c r="H1693" t="s">
        <v>12</v>
      </c>
      <c r="I1693" t="s">
        <v>20</v>
      </c>
      <c r="J1693">
        <v>4</v>
      </c>
      <c r="K1693" t="s">
        <v>4</v>
      </c>
      <c r="L1693" t="s">
        <v>44</v>
      </c>
      <c r="M1693">
        <f>[1]!orders[[#This Row],[Ship Date]]-[1]!orders[[#This Row],[Order Date]]</f>
        <v>4</v>
      </c>
      <c r="N1693">
        <f>WEEKNUM([1]!orders[[#This Row],[Order Date]])</f>
        <v>10</v>
      </c>
      <c r="O1693" t="str" cm="1">
        <f t="array" ref="O1693">_xlfn.IFS([1]!orders[[#This Row],[Customer Gender]]="M","Male", [1]!orders[[#This Row],[Customer Gender]]="F","Female", [1]!orders[[#This Row],[Customer Gender]]="O","Other", TRUE,"Unknown")</f>
        <v>Female</v>
      </c>
    </row>
    <row r="1694" spans="1:15" x14ac:dyDescent="0.25">
      <c r="A1694" s="1" t="s">
        <v>1778</v>
      </c>
      <c r="B1694" s="1" t="s">
        <v>24</v>
      </c>
      <c r="C1694" s="1">
        <v>4</v>
      </c>
      <c r="D1694" s="1">
        <v>66.5</v>
      </c>
      <c r="E1694" s="1">
        <v>266</v>
      </c>
      <c r="F1694" s="2">
        <v>45720</v>
      </c>
      <c r="G1694" s="2">
        <v>45722</v>
      </c>
      <c r="H1694" s="1" t="s">
        <v>8</v>
      </c>
      <c r="I1694" s="1" t="s">
        <v>20</v>
      </c>
      <c r="J1694" s="1">
        <v>4</v>
      </c>
      <c r="K1694" s="1" t="s">
        <v>4</v>
      </c>
      <c r="L1694" s="1" t="s">
        <v>44</v>
      </c>
      <c r="M1694" s="1">
        <f>[1]!orders[[#This Row],[Ship Date]]-[1]!orders[[#This Row],[Order Date]]</f>
        <v>2</v>
      </c>
      <c r="N1694" s="1">
        <f>WEEKNUM([1]!orders[[#This Row],[Order Date]])</f>
        <v>10</v>
      </c>
      <c r="O1694" t="str" cm="1">
        <f t="array" ref="O1694">_xlfn.IFS([1]!orders[[#This Row],[Customer Gender]]="M","Male", [1]!orders[[#This Row],[Customer Gender]]="F","Female", [1]!orders[[#This Row],[Customer Gender]]="O","Other", TRUE,"Unknown")</f>
        <v>Male</v>
      </c>
    </row>
    <row r="1695" spans="1:15" x14ac:dyDescent="0.25">
      <c r="A1695" t="s">
        <v>1779</v>
      </c>
      <c r="B1695" t="s">
        <v>39</v>
      </c>
      <c r="C1695">
        <v>8</v>
      </c>
      <c r="D1695">
        <v>38.299999999999997</v>
      </c>
      <c r="E1695">
        <v>306.39999999999998</v>
      </c>
      <c r="F1695" s="3">
        <v>45720</v>
      </c>
      <c r="G1695" s="3">
        <v>45721</v>
      </c>
      <c r="H1695" t="s">
        <v>12</v>
      </c>
      <c r="I1695" t="s">
        <v>3</v>
      </c>
      <c r="J1695">
        <v>4</v>
      </c>
      <c r="K1695" t="s">
        <v>4</v>
      </c>
      <c r="L1695" t="s">
        <v>44</v>
      </c>
      <c r="M1695">
        <f>[1]!orders[[#This Row],[Ship Date]]-[1]!orders[[#This Row],[Order Date]]</f>
        <v>1</v>
      </c>
      <c r="N1695">
        <f>WEEKNUM([1]!orders[[#This Row],[Order Date]])</f>
        <v>10</v>
      </c>
      <c r="O1695" t="str" cm="1">
        <f t="array" ref="O1695">_xlfn.IFS([1]!orders[[#This Row],[Customer Gender]]="M","Male", [1]!orders[[#This Row],[Customer Gender]]="F","Female", [1]!orders[[#This Row],[Customer Gender]]="O","Other", TRUE,"Unknown")</f>
        <v>Female</v>
      </c>
    </row>
    <row r="1696" spans="1:15" x14ac:dyDescent="0.25">
      <c r="A1696" s="1" t="s">
        <v>1780</v>
      </c>
      <c r="B1696" s="1" t="s">
        <v>24</v>
      </c>
      <c r="C1696" s="1">
        <v>3</v>
      </c>
      <c r="D1696" s="1">
        <v>63.8</v>
      </c>
      <c r="E1696" s="1">
        <v>191.39999999999998</v>
      </c>
      <c r="F1696" s="2">
        <v>45720</v>
      </c>
      <c r="G1696" s="2">
        <v>45723</v>
      </c>
      <c r="H1696" s="1" t="s">
        <v>12</v>
      </c>
      <c r="I1696" s="1" t="s">
        <v>20</v>
      </c>
      <c r="J1696" s="1">
        <v>4</v>
      </c>
      <c r="K1696" s="1" t="s">
        <v>4</v>
      </c>
      <c r="L1696" s="1" t="s">
        <v>47</v>
      </c>
      <c r="M1696" s="1">
        <f>[1]!orders[[#This Row],[Ship Date]]-[1]!orders[[#This Row],[Order Date]]</f>
        <v>3</v>
      </c>
      <c r="N1696" s="1">
        <f>WEEKNUM([1]!orders[[#This Row],[Order Date]])</f>
        <v>10</v>
      </c>
      <c r="O1696" t="str" cm="1">
        <f t="array" ref="O1696">_xlfn.IFS([1]!orders[[#This Row],[Customer Gender]]="M","Male", [1]!orders[[#This Row],[Customer Gender]]="F","Female", [1]!orders[[#This Row],[Customer Gender]]="O","Other", TRUE,"Unknown")</f>
        <v>Female</v>
      </c>
    </row>
    <row r="1697" spans="1:15" x14ac:dyDescent="0.25">
      <c r="A1697" t="s">
        <v>1781</v>
      </c>
      <c r="B1697" t="s">
        <v>108</v>
      </c>
      <c r="C1697">
        <v>1</v>
      </c>
      <c r="D1697">
        <v>21.4</v>
      </c>
      <c r="E1697">
        <v>21.4</v>
      </c>
      <c r="F1697" s="3">
        <v>45720</v>
      </c>
      <c r="G1697" s="3">
        <v>45720</v>
      </c>
      <c r="H1697" t="s">
        <v>8</v>
      </c>
      <c r="I1697" t="s">
        <v>55</v>
      </c>
      <c r="J1697">
        <v>4</v>
      </c>
      <c r="K1697" t="s">
        <v>4</v>
      </c>
      <c r="L1697" t="s">
        <v>47</v>
      </c>
      <c r="M1697">
        <f>[1]!orders[[#This Row],[Ship Date]]-[1]!orders[[#This Row],[Order Date]]</f>
        <v>0</v>
      </c>
      <c r="N1697">
        <f>WEEKNUM([1]!orders[[#This Row],[Order Date]])</f>
        <v>10</v>
      </c>
      <c r="O1697" t="str" cm="1">
        <f t="array" ref="O1697">_xlfn.IFS([1]!orders[[#This Row],[Customer Gender]]="M","Male", [1]!orders[[#This Row],[Customer Gender]]="F","Female", [1]!orders[[#This Row],[Customer Gender]]="O","Other", TRUE,"Unknown")</f>
        <v>Male</v>
      </c>
    </row>
    <row r="1698" spans="1:15" x14ac:dyDescent="0.25">
      <c r="A1698" s="1" t="s">
        <v>1782</v>
      </c>
      <c r="B1698" s="1" t="s">
        <v>29</v>
      </c>
      <c r="C1698" s="1">
        <v>4</v>
      </c>
      <c r="D1698" s="1">
        <v>44.1</v>
      </c>
      <c r="E1698" s="1">
        <v>176.4</v>
      </c>
      <c r="F1698" s="2">
        <v>45720</v>
      </c>
      <c r="G1698" s="2">
        <v>45722</v>
      </c>
      <c r="H1698" s="1" t="s">
        <v>12</v>
      </c>
      <c r="I1698" s="1" t="s">
        <v>25</v>
      </c>
      <c r="J1698" s="1">
        <v>4</v>
      </c>
      <c r="K1698" s="1" t="s">
        <v>4</v>
      </c>
      <c r="L1698" s="1" t="s">
        <v>47</v>
      </c>
      <c r="M1698" s="1">
        <f>[1]!orders[[#This Row],[Ship Date]]-[1]!orders[[#This Row],[Order Date]]</f>
        <v>2</v>
      </c>
      <c r="N1698" s="1">
        <f>WEEKNUM([1]!orders[[#This Row],[Order Date]])</f>
        <v>10</v>
      </c>
      <c r="O1698" t="str" cm="1">
        <f t="array" ref="O1698">_xlfn.IFS([1]!orders[[#This Row],[Customer Gender]]="M","Male", [1]!orders[[#This Row],[Customer Gender]]="F","Female", [1]!orders[[#This Row],[Customer Gender]]="O","Other", TRUE,"Unknown")</f>
        <v>Female</v>
      </c>
    </row>
    <row r="1699" spans="1:15" x14ac:dyDescent="0.25">
      <c r="A1699" t="s">
        <v>1783</v>
      </c>
      <c r="B1699" t="s">
        <v>22</v>
      </c>
      <c r="C1699">
        <v>8</v>
      </c>
      <c r="D1699">
        <v>57.6</v>
      </c>
      <c r="E1699">
        <v>460.8</v>
      </c>
      <c r="F1699" s="3">
        <v>45720</v>
      </c>
      <c r="G1699" s="3">
        <v>45722</v>
      </c>
      <c r="H1699" t="s">
        <v>8</v>
      </c>
      <c r="I1699" t="s">
        <v>20</v>
      </c>
      <c r="J1699">
        <v>5</v>
      </c>
      <c r="K1699" t="s">
        <v>4</v>
      </c>
      <c r="L1699" t="s">
        <v>47</v>
      </c>
      <c r="M1699">
        <f>[1]!orders[[#This Row],[Ship Date]]-[1]!orders[[#This Row],[Order Date]]</f>
        <v>2</v>
      </c>
      <c r="N1699">
        <f>WEEKNUM([1]!orders[[#This Row],[Order Date]])</f>
        <v>10</v>
      </c>
      <c r="O1699" t="str" cm="1">
        <f t="array" ref="O1699">_xlfn.IFS([1]!orders[[#This Row],[Customer Gender]]="M","Male", [1]!orders[[#This Row],[Customer Gender]]="F","Female", [1]!orders[[#This Row],[Customer Gender]]="O","Other", TRUE,"Unknown")</f>
        <v>Male</v>
      </c>
    </row>
    <row r="1700" spans="1:15" x14ac:dyDescent="0.25">
      <c r="A1700" s="1" t="s">
        <v>1784</v>
      </c>
      <c r="B1700" s="1" t="s">
        <v>31</v>
      </c>
      <c r="C1700" s="1">
        <v>2</v>
      </c>
      <c r="D1700" s="1">
        <v>20.3</v>
      </c>
      <c r="E1700" s="1">
        <v>40.6</v>
      </c>
      <c r="F1700" s="2">
        <v>45720</v>
      </c>
      <c r="G1700" s="2">
        <v>45726</v>
      </c>
      <c r="H1700" s="1" t="s">
        <v>12</v>
      </c>
      <c r="I1700" s="1" t="s">
        <v>36</v>
      </c>
      <c r="J1700" s="1">
        <v>4</v>
      </c>
      <c r="K1700" s="1" t="s">
        <v>4</v>
      </c>
      <c r="L1700" s="1" t="s">
        <v>47</v>
      </c>
      <c r="M1700" s="1">
        <f>[1]!orders[[#This Row],[Ship Date]]-[1]!orders[[#This Row],[Order Date]]</f>
        <v>6</v>
      </c>
      <c r="N1700" s="1">
        <f>WEEKNUM([1]!orders[[#This Row],[Order Date]])</f>
        <v>10</v>
      </c>
      <c r="O1700" t="str" cm="1">
        <f t="array" ref="O1700">_xlfn.IFS([1]!orders[[#This Row],[Customer Gender]]="M","Male", [1]!orders[[#This Row],[Customer Gender]]="F","Female", [1]!orders[[#This Row],[Customer Gender]]="O","Other", TRUE,"Unknown")</f>
        <v>Female</v>
      </c>
    </row>
    <row r="1701" spans="1:15" x14ac:dyDescent="0.25">
      <c r="A1701" t="s">
        <v>1785</v>
      </c>
      <c r="B1701" t="s">
        <v>29</v>
      </c>
      <c r="C1701">
        <v>1</v>
      </c>
      <c r="D1701">
        <v>22.9</v>
      </c>
      <c r="E1701">
        <v>22.9</v>
      </c>
      <c r="F1701" s="3">
        <v>45720</v>
      </c>
      <c r="G1701" s="3">
        <v>45722</v>
      </c>
      <c r="H1701" t="s">
        <v>12</v>
      </c>
      <c r="I1701" t="s">
        <v>25</v>
      </c>
      <c r="J1701">
        <v>5</v>
      </c>
      <c r="K1701" t="s">
        <v>4</v>
      </c>
      <c r="L1701" t="s">
        <v>47</v>
      </c>
      <c r="M1701">
        <f>[1]!orders[[#This Row],[Ship Date]]-[1]!orders[[#This Row],[Order Date]]</f>
        <v>2</v>
      </c>
      <c r="N1701">
        <f>WEEKNUM([1]!orders[[#This Row],[Order Date]])</f>
        <v>10</v>
      </c>
      <c r="O1701" t="str" cm="1">
        <f t="array" ref="O1701">_xlfn.IFS([1]!orders[[#This Row],[Customer Gender]]="M","Male", [1]!orders[[#This Row],[Customer Gender]]="F","Female", [1]!orders[[#This Row],[Customer Gender]]="O","Other", TRUE,"Unknown")</f>
        <v>Female</v>
      </c>
    </row>
    <row r="1702" spans="1:15" x14ac:dyDescent="0.25">
      <c r="A1702" s="1" t="s">
        <v>1786</v>
      </c>
      <c r="B1702" s="1" t="s">
        <v>24</v>
      </c>
      <c r="C1702" s="1">
        <v>4</v>
      </c>
      <c r="D1702" s="1">
        <v>105.9</v>
      </c>
      <c r="E1702" s="1">
        <v>423.6</v>
      </c>
      <c r="F1702" s="2">
        <v>45720</v>
      </c>
      <c r="G1702" s="2">
        <v>45721</v>
      </c>
      <c r="H1702" s="1" t="s">
        <v>12</v>
      </c>
      <c r="I1702" s="1" t="s">
        <v>20</v>
      </c>
      <c r="J1702" s="1">
        <v>5</v>
      </c>
      <c r="K1702" s="1" t="s">
        <v>4</v>
      </c>
      <c r="L1702" s="1" t="s">
        <v>88</v>
      </c>
      <c r="M1702" s="1">
        <f>[1]!orders[[#This Row],[Ship Date]]-[1]!orders[[#This Row],[Order Date]]</f>
        <v>1</v>
      </c>
      <c r="N1702" s="1">
        <f>WEEKNUM([1]!orders[[#This Row],[Order Date]])</f>
        <v>10</v>
      </c>
      <c r="O1702" t="str" cm="1">
        <f t="array" ref="O1702">_xlfn.IFS([1]!orders[[#This Row],[Customer Gender]]="M","Male", [1]!orders[[#This Row],[Customer Gender]]="F","Female", [1]!orders[[#This Row],[Customer Gender]]="O","Other", TRUE,"Unknown")</f>
        <v>Female</v>
      </c>
    </row>
    <row r="1703" spans="1:15" x14ac:dyDescent="0.25">
      <c r="A1703" t="s">
        <v>1787</v>
      </c>
      <c r="B1703" t="s">
        <v>7</v>
      </c>
      <c r="C1703">
        <v>9</v>
      </c>
      <c r="D1703">
        <v>37.4</v>
      </c>
      <c r="E1703">
        <v>336.59999999999997</v>
      </c>
      <c r="F1703" s="3">
        <v>45720</v>
      </c>
      <c r="G1703" s="3">
        <v>45724</v>
      </c>
      <c r="H1703" t="s">
        <v>8</v>
      </c>
      <c r="I1703" t="s">
        <v>20</v>
      </c>
      <c r="J1703">
        <v>4</v>
      </c>
      <c r="K1703" t="s">
        <v>4</v>
      </c>
      <c r="L1703" t="s">
        <v>62</v>
      </c>
      <c r="M1703">
        <f>[1]!orders[[#This Row],[Ship Date]]-[1]!orders[[#This Row],[Order Date]]</f>
        <v>4</v>
      </c>
      <c r="N1703">
        <f>WEEKNUM([1]!orders[[#This Row],[Order Date]])</f>
        <v>10</v>
      </c>
      <c r="O1703" t="str" cm="1">
        <f t="array" ref="O1703">_xlfn.IFS([1]!orders[[#This Row],[Customer Gender]]="M","Male", [1]!orders[[#This Row],[Customer Gender]]="F","Female", [1]!orders[[#This Row],[Customer Gender]]="O","Other", TRUE,"Unknown")</f>
        <v>Male</v>
      </c>
    </row>
    <row r="1704" spans="1:15" x14ac:dyDescent="0.25">
      <c r="A1704" s="1" t="s">
        <v>1788</v>
      </c>
      <c r="B1704" s="1" t="s">
        <v>131</v>
      </c>
      <c r="C1704" s="1">
        <v>2</v>
      </c>
      <c r="D1704" s="1">
        <v>79</v>
      </c>
      <c r="E1704" s="1">
        <v>158</v>
      </c>
      <c r="F1704" s="2">
        <v>45720</v>
      </c>
      <c r="G1704" s="2">
        <v>45721</v>
      </c>
      <c r="H1704" s="1" t="s">
        <v>8</v>
      </c>
      <c r="I1704" s="1" t="s">
        <v>25</v>
      </c>
      <c r="J1704" s="1">
        <v>4</v>
      </c>
      <c r="K1704" s="1" t="s">
        <v>4</v>
      </c>
      <c r="L1704" s="1" t="s">
        <v>228</v>
      </c>
      <c r="M1704" s="1">
        <f>[1]!orders[[#This Row],[Ship Date]]-[1]!orders[[#This Row],[Order Date]]</f>
        <v>1</v>
      </c>
      <c r="N1704" s="1">
        <f>WEEKNUM([1]!orders[[#This Row],[Order Date]])</f>
        <v>10</v>
      </c>
      <c r="O1704" t="str" cm="1">
        <f t="array" ref="O1704">_xlfn.IFS([1]!orders[[#This Row],[Customer Gender]]="M","Male", [1]!orders[[#This Row],[Customer Gender]]="F","Female", [1]!orders[[#This Row],[Customer Gender]]="O","Other", TRUE,"Unknown")</f>
        <v>Male</v>
      </c>
    </row>
    <row r="1705" spans="1:15" x14ac:dyDescent="0.25">
      <c r="A1705" t="s">
        <v>1789</v>
      </c>
      <c r="B1705" t="s">
        <v>1</v>
      </c>
      <c r="C1705">
        <v>3</v>
      </c>
      <c r="D1705">
        <v>19.3</v>
      </c>
      <c r="E1705">
        <v>57.900000000000006</v>
      </c>
      <c r="F1705" s="3">
        <v>45720</v>
      </c>
      <c r="G1705" s="3">
        <v>45721</v>
      </c>
      <c r="H1705" t="s">
        <v>12</v>
      </c>
      <c r="I1705" t="s">
        <v>55</v>
      </c>
      <c r="J1705">
        <v>4</v>
      </c>
      <c r="K1705" t="s">
        <v>4</v>
      </c>
      <c r="L1705" t="s">
        <v>100</v>
      </c>
      <c r="M1705">
        <f>[1]!orders[[#This Row],[Ship Date]]-[1]!orders[[#This Row],[Order Date]]</f>
        <v>1</v>
      </c>
      <c r="N1705">
        <f>WEEKNUM([1]!orders[[#This Row],[Order Date]])</f>
        <v>10</v>
      </c>
      <c r="O1705" t="str" cm="1">
        <f t="array" ref="O1705">_xlfn.IFS([1]!orders[[#This Row],[Customer Gender]]="M","Male", [1]!orders[[#This Row],[Customer Gender]]="F","Female", [1]!orders[[#This Row],[Customer Gender]]="O","Other", TRUE,"Unknown")</f>
        <v>Female</v>
      </c>
    </row>
    <row r="1706" spans="1:15" x14ac:dyDescent="0.25">
      <c r="A1706" s="1" t="s">
        <v>1790</v>
      </c>
      <c r="B1706" s="1" t="s">
        <v>1</v>
      </c>
      <c r="C1706" s="1">
        <v>1</v>
      </c>
      <c r="D1706" s="1">
        <v>24</v>
      </c>
      <c r="E1706" s="1">
        <v>24</v>
      </c>
      <c r="F1706" s="2">
        <v>45720</v>
      </c>
      <c r="G1706" s="2">
        <v>45721</v>
      </c>
      <c r="H1706" s="1" t="s">
        <v>12</v>
      </c>
      <c r="I1706" s="1" t="s">
        <v>20</v>
      </c>
      <c r="J1706" s="1">
        <v>4</v>
      </c>
      <c r="K1706" s="1" t="s">
        <v>4</v>
      </c>
      <c r="L1706" s="1" t="s">
        <v>9</v>
      </c>
      <c r="M1706" s="1">
        <f>[1]!orders[[#This Row],[Ship Date]]-[1]!orders[[#This Row],[Order Date]]</f>
        <v>1</v>
      </c>
      <c r="N1706" s="1">
        <f>WEEKNUM([1]!orders[[#This Row],[Order Date]])</f>
        <v>10</v>
      </c>
      <c r="O1706" t="str" cm="1">
        <f t="array" ref="O1706">_xlfn.IFS([1]!orders[[#This Row],[Customer Gender]]="M","Male", [1]!orders[[#This Row],[Customer Gender]]="F","Female", [1]!orders[[#This Row],[Customer Gender]]="O","Other", TRUE,"Unknown")</f>
        <v>Female</v>
      </c>
    </row>
    <row r="1707" spans="1:15" x14ac:dyDescent="0.25">
      <c r="A1707" t="s">
        <v>1791</v>
      </c>
      <c r="B1707" t="s">
        <v>24</v>
      </c>
      <c r="C1707">
        <v>5</v>
      </c>
      <c r="D1707">
        <v>71.3</v>
      </c>
      <c r="E1707">
        <v>356.5</v>
      </c>
      <c r="F1707" s="3">
        <v>45720</v>
      </c>
      <c r="G1707" s="3">
        <v>45723</v>
      </c>
      <c r="H1707" t="s">
        <v>12</v>
      </c>
      <c r="I1707" t="s">
        <v>25</v>
      </c>
      <c r="J1707">
        <v>4</v>
      </c>
      <c r="K1707" t="s">
        <v>4</v>
      </c>
      <c r="L1707" t="s">
        <v>13</v>
      </c>
      <c r="M1707">
        <f>[1]!orders[[#This Row],[Ship Date]]-[1]!orders[[#This Row],[Order Date]]</f>
        <v>3</v>
      </c>
      <c r="N1707">
        <f>WEEKNUM([1]!orders[[#This Row],[Order Date]])</f>
        <v>10</v>
      </c>
      <c r="O1707" t="str" cm="1">
        <f t="array" ref="O1707">_xlfn.IFS([1]!orders[[#This Row],[Customer Gender]]="M","Male", [1]!orders[[#This Row],[Customer Gender]]="F","Female", [1]!orders[[#This Row],[Customer Gender]]="O","Other", TRUE,"Unknown")</f>
        <v>Female</v>
      </c>
    </row>
    <row r="1708" spans="1:15" x14ac:dyDescent="0.25">
      <c r="A1708" s="1" t="s">
        <v>1792</v>
      </c>
      <c r="B1708" s="1" t="s">
        <v>22</v>
      </c>
      <c r="C1708" s="1">
        <v>2</v>
      </c>
      <c r="D1708" s="1">
        <v>166.2</v>
      </c>
      <c r="E1708" s="1">
        <v>332.4</v>
      </c>
      <c r="F1708" s="2">
        <v>45720</v>
      </c>
      <c r="G1708" s="2">
        <v>45721</v>
      </c>
      <c r="H1708" s="1" t="s">
        <v>8</v>
      </c>
      <c r="I1708" s="1" t="s">
        <v>3</v>
      </c>
      <c r="J1708" s="1">
        <v>5</v>
      </c>
      <c r="K1708" s="1" t="s">
        <v>4</v>
      </c>
      <c r="L1708" s="1" t="s">
        <v>934</v>
      </c>
      <c r="M1708" s="1">
        <f>[1]!orders[[#This Row],[Ship Date]]-[1]!orders[[#This Row],[Order Date]]</f>
        <v>1</v>
      </c>
      <c r="N1708" s="1">
        <f>WEEKNUM([1]!orders[[#This Row],[Order Date]])</f>
        <v>10</v>
      </c>
      <c r="O1708" t="str" cm="1">
        <f t="array" ref="O1708">_xlfn.IFS([1]!orders[[#This Row],[Customer Gender]]="M","Male", [1]!orders[[#This Row],[Customer Gender]]="F","Female", [1]!orders[[#This Row],[Customer Gender]]="O","Other", TRUE,"Unknown")</f>
        <v>Male</v>
      </c>
    </row>
    <row r="1709" spans="1:15" x14ac:dyDescent="0.25">
      <c r="A1709" t="s">
        <v>1793</v>
      </c>
      <c r="B1709" t="s">
        <v>24</v>
      </c>
      <c r="C1709">
        <v>1</v>
      </c>
      <c r="D1709">
        <v>81</v>
      </c>
      <c r="E1709">
        <v>81</v>
      </c>
      <c r="F1709" s="3">
        <v>45720</v>
      </c>
      <c r="G1709" s="3">
        <v>45721</v>
      </c>
      <c r="H1709" t="s">
        <v>12</v>
      </c>
      <c r="I1709" t="s">
        <v>25</v>
      </c>
      <c r="J1709">
        <v>3</v>
      </c>
      <c r="K1709" t="s">
        <v>4</v>
      </c>
      <c r="L1709" t="s">
        <v>18</v>
      </c>
      <c r="M1709">
        <f>[1]!orders[[#This Row],[Ship Date]]-[1]!orders[[#This Row],[Order Date]]</f>
        <v>1</v>
      </c>
      <c r="N1709">
        <f>WEEKNUM([1]!orders[[#This Row],[Order Date]])</f>
        <v>10</v>
      </c>
      <c r="O1709" t="str" cm="1">
        <f t="array" ref="O1709">_xlfn.IFS([1]!orders[[#This Row],[Customer Gender]]="M","Male", [1]!orders[[#This Row],[Customer Gender]]="F","Female", [1]!orders[[#This Row],[Customer Gender]]="O","Other", TRUE,"Unknown")</f>
        <v>Female</v>
      </c>
    </row>
    <row r="1710" spans="1:15" x14ac:dyDescent="0.25">
      <c r="A1710" s="1" t="s">
        <v>1794</v>
      </c>
      <c r="B1710" s="1" t="s">
        <v>39</v>
      </c>
      <c r="C1710" s="1">
        <v>6</v>
      </c>
      <c r="D1710" s="1">
        <v>38.5</v>
      </c>
      <c r="E1710" s="1">
        <v>231</v>
      </c>
      <c r="F1710" s="2">
        <v>45720</v>
      </c>
      <c r="G1710" s="2">
        <v>45724</v>
      </c>
      <c r="H1710" s="1" t="s">
        <v>12</v>
      </c>
      <c r="I1710" s="1" t="s">
        <v>3</v>
      </c>
      <c r="J1710" s="1">
        <v>4</v>
      </c>
      <c r="K1710" s="1" t="s">
        <v>4</v>
      </c>
      <c r="L1710" s="1" t="s">
        <v>18</v>
      </c>
      <c r="M1710" s="1">
        <f>[1]!orders[[#This Row],[Ship Date]]-[1]!orders[[#This Row],[Order Date]]</f>
        <v>4</v>
      </c>
      <c r="N1710" s="1">
        <f>WEEKNUM([1]!orders[[#This Row],[Order Date]])</f>
        <v>10</v>
      </c>
      <c r="O1710" t="str" cm="1">
        <f t="array" ref="O1710">_xlfn.IFS([1]!orders[[#This Row],[Customer Gender]]="M","Male", [1]!orders[[#This Row],[Customer Gender]]="F","Female", [1]!orders[[#This Row],[Customer Gender]]="O","Other", TRUE,"Unknown")</f>
        <v>Female</v>
      </c>
    </row>
    <row r="1711" spans="1:15" x14ac:dyDescent="0.25">
      <c r="A1711" t="s">
        <v>1795</v>
      </c>
      <c r="B1711" t="s">
        <v>24</v>
      </c>
      <c r="C1711">
        <v>1</v>
      </c>
      <c r="D1711">
        <v>86.1</v>
      </c>
      <c r="E1711">
        <v>86.1</v>
      </c>
      <c r="F1711" s="3">
        <v>45720</v>
      </c>
      <c r="G1711" s="3">
        <v>45722</v>
      </c>
      <c r="H1711" t="s">
        <v>12</v>
      </c>
      <c r="I1711" t="s">
        <v>36</v>
      </c>
      <c r="J1711">
        <v>4</v>
      </c>
      <c r="K1711" t="s">
        <v>4</v>
      </c>
      <c r="L1711" t="s">
        <v>18</v>
      </c>
      <c r="M1711">
        <f>[1]!orders[[#This Row],[Ship Date]]-[1]!orders[[#This Row],[Order Date]]</f>
        <v>2</v>
      </c>
      <c r="N1711">
        <f>WEEKNUM([1]!orders[[#This Row],[Order Date]])</f>
        <v>10</v>
      </c>
      <c r="O1711" t="str" cm="1">
        <f t="array" ref="O1711">_xlfn.IFS([1]!orders[[#This Row],[Customer Gender]]="M","Male", [1]!orders[[#This Row],[Customer Gender]]="F","Female", [1]!orders[[#This Row],[Customer Gender]]="O","Other", TRUE,"Unknown")</f>
        <v>Female</v>
      </c>
    </row>
    <row r="1712" spans="1:15" x14ac:dyDescent="0.25">
      <c r="A1712" s="1" t="s">
        <v>1796</v>
      </c>
      <c r="B1712" s="1" t="s">
        <v>11</v>
      </c>
      <c r="C1712" s="1">
        <v>5</v>
      </c>
      <c r="D1712" s="1">
        <v>51</v>
      </c>
      <c r="E1712" s="1">
        <v>255</v>
      </c>
      <c r="F1712" s="2">
        <v>45720</v>
      </c>
      <c r="G1712" s="2">
        <v>45721</v>
      </c>
      <c r="H1712" s="1" t="s">
        <v>8</v>
      </c>
      <c r="I1712" s="1" t="s">
        <v>3</v>
      </c>
      <c r="J1712" s="1">
        <v>3</v>
      </c>
      <c r="K1712" s="1" t="s">
        <v>4</v>
      </c>
      <c r="L1712" s="1" t="s">
        <v>18</v>
      </c>
      <c r="M1712" s="1">
        <f>[1]!orders[[#This Row],[Ship Date]]-[1]!orders[[#This Row],[Order Date]]</f>
        <v>1</v>
      </c>
      <c r="N1712" s="1">
        <f>WEEKNUM([1]!orders[[#This Row],[Order Date]])</f>
        <v>10</v>
      </c>
      <c r="O1712" t="str" cm="1">
        <f t="array" ref="O1712">_xlfn.IFS([1]!orders[[#This Row],[Customer Gender]]="M","Male", [1]!orders[[#This Row],[Customer Gender]]="F","Female", [1]!orders[[#This Row],[Customer Gender]]="O","Other", TRUE,"Unknown")</f>
        <v>Male</v>
      </c>
    </row>
    <row r="1713" spans="1:15" x14ac:dyDescent="0.25">
      <c r="A1713" t="s">
        <v>1797</v>
      </c>
      <c r="B1713" t="s">
        <v>15</v>
      </c>
      <c r="C1713">
        <v>5</v>
      </c>
      <c r="D1713">
        <v>115.4</v>
      </c>
      <c r="E1713">
        <v>577</v>
      </c>
      <c r="F1713" s="3">
        <v>45720</v>
      </c>
      <c r="G1713" s="3">
        <v>45721</v>
      </c>
      <c r="H1713" t="s">
        <v>8</v>
      </c>
      <c r="I1713" t="s">
        <v>3</v>
      </c>
      <c r="J1713">
        <v>4</v>
      </c>
      <c r="K1713" t="s">
        <v>4</v>
      </c>
      <c r="L1713" t="s">
        <v>18</v>
      </c>
      <c r="M1713">
        <f>[1]!orders[[#This Row],[Ship Date]]-[1]!orders[[#This Row],[Order Date]]</f>
        <v>1</v>
      </c>
      <c r="N1713">
        <f>WEEKNUM([1]!orders[[#This Row],[Order Date]])</f>
        <v>10</v>
      </c>
      <c r="O1713" t="str" cm="1">
        <f t="array" ref="O1713">_xlfn.IFS([1]!orders[[#This Row],[Customer Gender]]="M","Male", [1]!orders[[#This Row],[Customer Gender]]="F","Female", [1]!orders[[#This Row],[Customer Gender]]="O","Other", TRUE,"Unknown")</f>
        <v>Male</v>
      </c>
    </row>
    <row r="1714" spans="1:15" x14ac:dyDescent="0.25">
      <c r="A1714" s="1" t="s">
        <v>1798</v>
      </c>
      <c r="B1714" s="1" t="s">
        <v>24</v>
      </c>
      <c r="C1714" s="1">
        <v>4</v>
      </c>
      <c r="D1714" s="1">
        <v>176.5</v>
      </c>
      <c r="E1714" s="1">
        <v>706</v>
      </c>
      <c r="F1714" s="2">
        <v>45720</v>
      </c>
      <c r="G1714" s="2">
        <v>45721</v>
      </c>
      <c r="H1714" s="1" t="s">
        <v>12</v>
      </c>
      <c r="I1714" s="1" t="s">
        <v>25</v>
      </c>
      <c r="J1714" s="1">
        <v>5</v>
      </c>
      <c r="K1714" s="1" t="s">
        <v>4</v>
      </c>
      <c r="L1714" s="1" t="s">
        <v>18</v>
      </c>
      <c r="M1714" s="1">
        <f>[1]!orders[[#This Row],[Ship Date]]-[1]!orders[[#This Row],[Order Date]]</f>
        <v>1</v>
      </c>
      <c r="N1714" s="1">
        <f>WEEKNUM([1]!orders[[#This Row],[Order Date]])</f>
        <v>10</v>
      </c>
      <c r="O1714" t="str" cm="1">
        <f t="array" ref="O1714">_xlfn.IFS([1]!orders[[#This Row],[Customer Gender]]="M","Male", [1]!orders[[#This Row],[Customer Gender]]="F","Female", [1]!orders[[#This Row],[Customer Gender]]="O","Other", TRUE,"Unknown")</f>
        <v>Female</v>
      </c>
    </row>
    <row r="1715" spans="1:15" x14ac:dyDescent="0.25">
      <c r="A1715" t="s">
        <v>1799</v>
      </c>
      <c r="B1715" t="s">
        <v>27</v>
      </c>
      <c r="C1715">
        <v>3</v>
      </c>
      <c r="D1715">
        <v>48.9</v>
      </c>
      <c r="E1715">
        <v>146.69999999999999</v>
      </c>
      <c r="F1715" s="3">
        <v>45720</v>
      </c>
      <c r="G1715" s="3">
        <v>45721</v>
      </c>
      <c r="H1715" t="s">
        <v>8</v>
      </c>
      <c r="I1715" t="s">
        <v>55</v>
      </c>
      <c r="J1715">
        <v>4</v>
      </c>
      <c r="K1715" t="s">
        <v>4</v>
      </c>
      <c r="L1715" t="s">
        <v>18</v>
      </c>
      <c r="M1715">
        <f>[1]!orders[[#This Row],[Ship Date]]-[1]!orders[[#This Row],[Order Date]]</f>
        <v>1</v>
      </c>
      <c r="N1715">
        <f>WEEKNUM([1]!orders[[#This Row],[Order Date]])</f>
        <v>10</v>
      </c>
      <c r="O1715" t="str" cm="1">
        <f t="array" ref="O1715">_xlfn.IFS([1]!orders[[#This Row],[Customer Gender]]="M","Male", [1]!orders[[#This Row],[Customer Gender]]="F","Female", [1]!orders[[#This Row],[Customer Gender]]="O","Other", TRUE,"Unknown")</f>
        <v>Male</v>
      </c>
    </row>
    <row r="1716" spans="1:15" x14ac:dyDescent="0.25">
      <c r="A1716" s="1" t="s">
        <v>1800</v>
      </c>
      <c r="B1716" s="1" t="s">
        <v>29</v>
      </c>
      <c r="C1716" s="1">
        <v>3</v>
      </c>
      <c r="D1716" s="1">
        <v>18.100000000000001</v>
      </c>
      <c r="E1716" s="1">
        <v>54.300000000000004</v>
      </c>
      <c r="F1716" s="2">
        <v>45720</v>
      </c>
      <c r="G1716" s="2">
        <v>45727</v>
      </c>
      <c r="H1716" s="1" t="s">
        <v>12</v>
      </c>
      <c r="I1716" s="1" t="s">
        <v>20</v>
      </c>
      <c r="J1716" s="1">
        <v>5</v>
      </c>
      <c r="K1716" s="1" t="s">
        <v>4</v>
      </c>
      <c r="L1716" s="1" t="s">
        <v>243</v>
      </c>
      <c r="M1716" s="1">
        <f>[1]!orders[[#This Row],[Ship Date]]-[1]!orders[[#This Row],[Order Date]]</f>
        <v>7</v>
      </c>
      <c r="N1716" s="1">
        <f>WEEKNUM([1]!orders[[#This Row],[Order Date]])</f>
        <v>10</v>
      </c>
      <c r="O1716" t="str" cm="1">
        <f t="array" ref="O1716">_xlfn.IFS([1]!orders[[#This Row],[Customer Gender]]="M","Male", [1]!orders[[#This Row],[Customer Gender]]="F","Female", [1]!orders[[#This Row],[Customer Gender]]="O","Other", TRUE,"Unknown")</f>
        <v>Female</v>
      </c>
    </row>
    <row r="1717" spans="1:15" x14ac:dyDescent="0.25">
      <c r="A1717" t="s">
        <v>1801</v>
      </c>
      <c r="B1717" t="s">
        <v>11</v>
      </c>
      <c r="C1717">
        <v>2</v>
      </c>
      <c r="D1717">
        <v>118.5</v>
      </c>
      <c r="E1717">
        <v>237</v>
      </c>
      <c r="F1717" s="3">
        <v>45720</v>
      </c>
      <c r="G1717" s="3">
        <v>45723</v>
      </c>
      <c r="H1717" t="s">
        <v>8</v>
      </c>
      <c r="I1717" t="s">
        <v>20</v>
      </c>
      <c r="J1717">
        <v>5</v>
      </c>
      <c r="K1717" t="s">
        <v>4</v>
      </c>
      <c r="L1717" t="s">
        <v>83</v>
      </c>
      <c r="M1717">
        <f>[1]!orders[[#This Row],[Ship Date]]-[1]!orders[[#This Row],[Order Date]]</f>
        <v>3</v>
      </c>
      <c r="N1717">
        <f>WEEKNUM([1]!orders[[#This Row],[Order Date]])</f>
        <v>10</v>
      </c>
      <c r="O1717" t="str" cm="1">
        <f t="array" ref="O1717">_xlfn.IFS([1]!orders[[#This Row],[Customer Gender]]="M","Male", [1]!orders[[#This Row],[Customer Gender]]="F","Female", [1]!orders[[#This Row],[Customer Gender]]="O","Other", TRUE,"Unknown")</f>
        <v>Male</v>
      </c>
    </row>
    <row r="1718" spans="1:15" x14ac:dyDescent="0.25">
      <c r="A1718" s="1" t="s">
        <v>1802</v>
      </c>
      <c r="B1718" s="1" t="s">
        <v>108</v>
      </c>
      <c r="C1718" s="1">
        <v>7</v>
      </c>
      <c r="D1718" s="1">
        <v>59.1</v>
      </c>
      <c r="E1718" s="1">
        <v>413.7</v>
      </c>
      <c r="F1718" s="2">
        <v>45720</v>
      </c>
      <c r="G1718" s="2">
        <v>45721</v>
      </c>
      <c r="H1718" s="1" t="s">
        <v>12</v>
      </c>
      <c r="I1718" s="1" t="s">
        <v>36</v>
      </c>
      <c r="J1718" s="1">
        <v>4</v>
      </c>
      <c r="K1718" s="1" t="s">
        <v>4</v>
      </c>
      <c r="L1718" s="1" t="s">
        <v>173</v>
      </c>
      <c r="M1718" s="1">
        <f>[1]!orders[[#This Row],[Ship Date]]-[1]!orders[[#This Row],[Order Date]]</f>
        <v>1</v>
      </c>
      <c r="N1718" s="1">
        <f>WEEKNUM([1]!orders[[#This Row],[Order Date]])</f>
        <v>10</v>
      </c>
      <c r="O1718" t="str" cm="1">
        <f t="array" ref="O1718">_xlfn.IFS([1]!orders[[#This Row],[Customer Gender]]="M","Male", [1]!orders[[#This Row],[Customer Gender]]="F","Female", [1]!orders[[#This Row],[Customer Gender]]="O","Other", TRUE,"Unknown")</f>
        <v>Female</v>
      </c>
    </row>
    <row r="1719" spans="1:15" x14ac:dyDescent="0.25">
      <c r="A1719" t="s">
        <v>1803</v>
      </c>
      <c r="B1719" t="s">
        <v>17</v>
      </c>
      <c r="C1719">
        <v>1</v>
      </c>
      <c r="D1719">
        <v>21.2</v>
      </c>
      <c r="E1719">
        <v>21.2</v>
      </c>
      <c r="F1719" s="3">
        <v>45720</v>
      </c>
      <c r="G1719" s="3">
        <v>45721</v>
      </c>
      <c r="H1719" t="s">
        <v>12</v>
      </c>
      <c r="I1719" t="s">
        <v>3</v>
      </c>
      <c r="J1719">
        <v>3</v>
      </c>
      <c r="K1719" t="s">
        <v>4</v>
      </c>
      <c r="L1719" t="s">
        <v>40</v>
      </c>
      <c r="M1719">
        <f>[1]!orders[[#This Row],[Ship Date]]-[1]!orders[[#This Row],[Order Date]]</f>
        <v>1</v>
      </c>
      <c r="N1719">
        <f>WEEKNUM([1]!orders[[#This Row],[Order Date]])</f>
        <v>10</v>
      </c>
      <c r="O1719" t="str" cm="1">
        <f t="array" ref="O1719">_xlfn.IFS([1]!orders[[#This Row],[Customer Gender]]="M","Male", [1]!orders[[#This Row],[Customer Gender]]="F","Female", [1]!orders[[#This Row],[Customer Gender]]="O","Other", TRUE,"Unknown")</f>
        <v>Female</v>
      </c>
    </row>
    <row r="1720" spans="1:15" x14ac:dyDescent="0.25">
      <c r="A1720" s="1" t="s">
        <v>1804</v>
      </c>
      <c r="B1720" s="1" t="s">
        <v>24</v>
      </c>
      <c r="C1720" s="1">
        <v>2</v>
      </c>
      <c r="D1720" s="1">
        <v>68.8</v>
      </c>
      <c r="E1720" s="1">
        <v>137.6</v>
      </c>
      <c r="F1720" s="2">
        <v>45720</v>
      </c>
      <c r="G1720" s="2">
        <v>45725</v>
      </c>
      <c r="H1720" s="1" t="s">
        <v>12</v>
      </c>
      <c r="I1720" s="1" t="s">
        <v>36</v>
      </c>
      <c r="J1720" s="1">
        <v>5</v>
      </c>
      <c r="K1720" s="1" t="s">
        <v>4</v>
      </c>
      <c r="L1720" s="1" t="s">
        <v>40</v>
      </c>
      <c r="M1720" s="1">
        <f>[1]!orders[[#This Row],[Ship Date]]-[1]!orders[[#This Row],[Order Date]]</f>
        <v>5</v>
      </c>
      <c r="N1720" s="1">
        <f>WEEKNUM([1]!orders[[#This Row],[Order Date]])</f>
        <v>10</v>
      </c>
      <c r="O1720" t="str" cm="1">
        <f t="array" ref="O1720">_xlfn.IFS([1]!orders[[#This Row],[Customer Gender]]="M","Male", [1]!orders[[#This Row],[Customer Gender]]="F","Female", [1]!orders[[#This Row],[Customer Gender]]="O","Other", TRUE,"Unknown")</f>
        <v>Female</v>
      </c>
    </row>
    <row r="1721" spans="1:15" x14ac:dyDescent="0.25">
      <c r="A1721" t="s">
        <v>1805</v>
      </c>
      <c r="B1721" t="s">
        <v>24</v>
      </c>
      <c r="C1721">
        <v>2</v>
      </c>
      <c r="D1721">
        <v>65.400000000000006</v>
      </c>
      <c r="E1721">
        <v>130.80000000000001</v>
      </c>
      <c r="F1721" s="3">
        <v>45720</v>
      </c>
      <c r="G1721" s="3">
        <v>45724</v>
      </c>
      <c r="H1721" t="s">
        <v>12</v>
      </c>
      <c r="I1721" t="s">
        <v>3</v>
      </c>
      <c r="J1721">
        <v>4</v>
      </c>
      <c r="K1721" t="s">
        <v>4</v>
      </c>
      <c r="L1721" t="s">
        <v>40</v>
      </c>
      <c r="M1721">
        <f>[1]!orders[[#This Row],[Ship Date]]-[1]!orders[[#This Row],[Order Date]]</f>
        <v>4</v>
      </c>
      <c r="N1721">
        <f>WEEKNUM([1]!orders[[#This Row],[Order Date]])</f>
        <v>10</v>
      </c>
      <c r="O1721" t="str" cm="1">
        <f t="array" ref="O1721">_xlfn.IFS([1]!orders[[#This Row],[Customer Gender]]="M","Male", [1]!orders[[#This Row],[Customer Gender]]="F","Female", [1]!orders[[#This Row],[Customer Gender]]="O","Other", TRUE,"Unknown")</f>
        <v>Female</v>
      </c>
    </row>
    <row r="1722" spans="1:15" x14ac:dyDescent="0.25">
      <c r="A1722" s="1" t="s">
        <v>1806</v>
      </c>
      <c r="B1722" s="1" t="s">
        <v>54</v>
      </c>
      <c r="C1722" s="1">
        <v>5</v>
      </c>
      <c r="D1722" s="1">
        <v>66.3</v>
      </c>
      <c r="E1722" s="1">
        <v>331.5</v>
      </c>
      <c r="F1722" s="2">
        <v>45721</v>
      </c>
      <c r="G1722" s="2">
        <v>45724</v>
      </c>
      <c r="H1722" s="1" t="s">
        <v>12</v>
      </c>
      <c r="I1722" s="1" t="s">
        <v>55</v>
      </c>
      <c r="J1722" s="1">
        <v>4</v>
      </c>
      <c r="K1722" s="1" t="s">
        <v>4</v>
      </c>
      <c r="L1722" s="1" t="s">
        <v>40</v>
      </c>
      <c r="M1722" s="1">
        <f>[1]!orders[[#This Row],[Ship Date]]-[1]!orders[[#This Row],[Order Date]]</f>
        <v>3</v>
      </c>
      <c r="N1722" s="1">
        <f>WEEKNUM([1]!orders[[#This Row],[Order Date]])</f>
        <v>10</v>
      </c>
      <c r="O1722" t="str" cm="1">
        <f t="array" ref="O1722">_xlfn.IFS([1]!orders[[#This Row],[Customer Gender]]="M","Male", [1]!orders[[#This Row],[Customer Gender]]="F","Female", [1]!orders[[#This Row],[Customer Gender]]="O","Other", TRUE,"Unknown")</f>
        <v>Female</v>
      </c>
    </row>
    <row r="1723" spans="1:15" x14ac:dyDescent="0.25">
      <c r="A1723" t="s">
        <v>1807</v>
      </c>
      <c r="B1723" t="s">
        <v>24</v>
      </c>
      <c r="C1723">
        <v>3</v>
      </c>
      <c r="D1723">
        <v>97.5</v>
      </c>
      <c r="E1723">
        <v>292.5</v>
      </c>
      <c r="F1723" s="3">
        <v>45721</v>
      </c>
      <c r="G1723" s="3">
        <v>45721</v>
      </c>
      <c r="H1723" t="s">
        <v>8</v>
      </c>
      <c r="I1723" t="s">
        <v>36</v>
      </c>
      <c r="J1723">
        <v>4</v>
      </c>
      <c r="K1723" t="s">
        <v>4</v>
      </c>
      <c r="L1723" t="s">
        <v>47</v>
      </c>
      <c r="M1723">
        <f>[1]!orders[[#This Row],[Ship Date]]-[1]!orders[[#This Row],[Order Date]]</f>
        <v>0</v>
      </c>
      <c r="N1723">
        <f>WEEKNUM([1]!orders[[#This Row],[Order Date]])</f>
        <v>10</v>
      </c>
      <c r="O1723" t="str" cm="1">
        <f t="array" ref="O1723">_xlfn.IFS([1]!orders[[#This Row],[Customer Gender]]="M","Male", [1]!orders[[#This Row],[Customer Gender]]="F","Female", [1]!orders[[#This Row],[Customer Gender]]="O","Other", TRUE,"Unknown")</f>
        <v>Male</v>
      </c>
    </row>
    <row r="1724" spans="1:15" x14ac:dyDescent="0.25">
      <c r="A1724" s="1" t="s">
        <v>1808</v>
      </c>
      <c r="B1724" s="1" t="s">
        <v>7</v>
      </c>
      <c r="C1724" s="1">
        <v>2</v>
      </c>
      <c r="D1724" s="1">
        <v>44</v>
      </c>
      <c r="E1724" s="1">
        <v>88</v>
      </c>
      <c r="F1724" s="2">
        <v>45721</v>
      </c>
      <c r="G1724" s="2">
        <v>45724</v>
      </c>
      <c r="H1724" s="1" t="s">
        <v>12</v>
      </c>
      <c r="I1724" s="1" t="s">
        <v>20</v>
      </c>
      <c r="J1724" s="1">
        <v>5</v>
      </c>
      <c r="K1724" s="1" t="s">
        <v>4</v>
      </c>
      <c r="L1724" s="1" t="s">
        <v>47</v>
      </c>
      <c r="M1724" s="1">
        <f>[1]!orders[[#This Row],[Ship Date]]-[1]!orders[[#This Row],[Order Date]]</f>
        <v>3</v>
      </c>
      <c r="N1724" s="1">
        <f>WEEKNUM([1]!orders[[#This Row],[Order Date]])</f>
        <v>10</v>
      </c>
      <c r="O1724" t="str" cm="1">
        <f t="array" ref="O1724">_xlfn.IFS([1]!orders[[#This Row],[Customer Gender]]="M","Male", [1]!orders[[#This Row],[Customer Gender]]="F","Female", [1]!orders[[#This Row],[Customer Gender]]="O","Other", TRUE,"Unknown")</f>
        <v>Female</v>
      </c>
    </row>
    <row r="1725" spans="1:15" x14ac:dyDescent="0.25">
      <c r="A1725" t="s">
        <v>1809</v>
      </c>
      <c r="B1725" t="s">
        <v>1</v>
      </c>
      <c r="C1725">
        <v>1</v>
      </c>
      <c r="D1725">
        <v>21.9</v>
      </c>
      <c r="E1725">
        <v>21.9</v>
      </c>
      <c r="F1725" s="3">
        <v>45721</v>
      </c>
      <c r="G1725" s="3">
        <v>45722</v>
      </c>
      <c r="H1725" t="s">
        <v>8</v>
      </c>
      <c r="I1725" t="s">
        <v>3</v>
      </c>
      <c r="J1725">
        <v>4</v>
      </c>
      <c r="K1725" t="s">
        <v>4</v>
      </c>
      <c r="L1725" t="s">
        <v>47</v>
      </c>
      <c r="M1725">
        <f>[1]!orders[[#This Row],[Ship Date]]-[1]!orders[[#This Row],[Order Date]]</f>
        <v>1</v>
      </c>
      <c r="N1725">
        <f>WEEKNUM([1]!orders[[#This Row],[Order Date]])</f>
        <v>10</v>
      </c>
      <c r="O1725" t="str" cm="1">
        <f t="array" ref="O1725">_xlfn.IFS([1]!orders[[#This Row],[Customer Gender]]="M","Male", [1]!orders[[#This Row],[Customer Gender]]="F","Female", [1]!orders[[#This Row],[Customer Gender]]="O","Other", TRUE,"Unknown")</f>
        <v>Male</v>
      </c>
    </row>
    <row r="1726" spans="1:15" x14ac:dyDescent="0.25">
      <c r="A1726" s="1" t="s">
        <v>1810</v>
      </c>
      <c r="B1726" s="1" t="s">
        <v>17</v>
      </c>
      <c r="C1726" s="1">
        <v>7</v>
      </c>
      <c r="D1726" s="1">
        <v>21.5</v>
      </c>
      <c r="E1726" s="1">
        <v>150.5</v>
      </c>
      <c r="F1726" s="2">
        <v>45721</v>
      </c>
      <c r="G1726" s="2">
        <v>45723</v>
      </c>
      <c r="H1726" s="1" t="s">
        <v>12</v>
      </c>
      <c r="I1726" s="1" t="s">
        <v>20</v>
      </c>
      <c r="J1726" s="1">
        <v>5</v>
      </c>
      <c r="K1726" s="1" t="s">
        <v>4</v>
      </c>
      <c r="L1726" s="1" t="s">
        <v>57</v>
      </c>
      <c r="M1726" s="1">
        <f>[1]!orders[[#This Row],[Ship Date]]-[1]!orders[[#This Row],[Order Date]]</f>
        <v>2</v>
      </c>
      <c r="N1726" s="1">
        <f>WEEKNUM([1]!orders[[#This Row],[Order Date]])</f>
        <v>10</v>
      </c>
      <c r="O1726" t="str" cm="1">
        <f t="array" ref="O1726">_xlfn.IFS([1]!orders[[#This Row],[Customer Gender]]="M","Male", [1]!orders[[#This Row],[Customer Gender]]="F","Female", [1]!orders[[#This Row],[Customer Gender]]="O","Other", TRUE,"Unknown")</f>
        <v>Female</v>
      </c>
    </row>
    <row r="1727" spans="1:15" x14ac:dyDescent="0.25">
      <c r="A1727" t="s">
        <v>1811</v>
      </c>
      <c r="B1727" t="s">
        <v>54</v>
      </c>
      <c r="C1727">
        <v>6</v>
      </c>
      <c r="D1727">
        <v>133</v>
      </c>
      <c r="E1727">
        <v>798</v>
      </c>
      <c r="F1727" s="3">
        <v>45721</v>
      </c>
      <c r="G1727" s="3">
        <v>45722</v>
      </c>
      <c r="H1727" t="s">
        <v>74</v>
      </c>
      <c r="I1727" t="s">
        <v>3</v>
      </c>
      <c r="J1727">
        <v>5</v>
      </c>
      <c r="K1727" t="s">
        <v>4</v>
      </c>
      <c r="L1727" t="s">
        <v>59</v>
      </c>
      <c r="M1727">
        <f>[1]!orders[[#This Row],[Ship Date]]-[1]!orders[[#This Row],[Order Date]]</f>
        <v>1</v>
      </c>
      <c r="N1727">
        <f>WEEKNUM([1]!orders[[#This Row],[Order Date]])</f>
        <v>10</v>
      </c>
      <c r="O1727" t="str" cm="1">
        <f t="array" ref="O1727">_xlfn.IFS([1]!orders[[#This Row],[Customer Gender]]="M","Male", [1]!orders[[#This Row],[Customer Gender]]="F","Female", [1]!orders[[#This Row],[Customer Gender]]="O","Other", TRUE,"Unknown")</f>
        <v>Other</v>
      </c>
    </row>
    <row r="1728" spans="1:15" x14ac:dyDescent="0.25">
      <c r="A1728" s="1" t="s">
        <v>1812</v>
      </c>
      <c r="B1728" s="1" t="s">
        <v>29</v>
      </c>
      <c r="C1728" s="1">
        <v>2</v>
      </c>
      <c r="D1728" s="1">
        <v>47.7</v>
      </c>
      <c r="E1728" s="1">
        <v>95.4</v>
      </c>
      <c r="F1728" s="2">
        <v>45721</v>
      </c>
      <c r="G1728" s="2">
        <v>45725</v>
      </c>
      <c r="H1728" s="1" t="s">
        <v>8</v>
      </c>
      <c r="I1728" s="1" t="s">
        <v>3</v>
      </c>
      <c r="J1728" s="1">
        <v>5</v>
      </c>
      <c r="K1728" s="1" t="s">
        <v>4</v>
      </c>
      <c r="L1728" s="1" t="s">
        <v>59</v>
      </c>
      <c r="M1728" s="1">
        <f>[1]!orders[[#This Row],[Ship Date]]-[1]!orders[[#This Row],[Order Date]]</f>
        <v>4</v>
      </c>
      <c r="N1728" s="1">
        <f>WEEKNUM([1]!orders[[#This Row],[Order Date]])</f>
        <v>10</v>
      </c>
      <c r="O1728" t="str" cm="1">
        <f t="array" ref="O1728">_xlfn.IFS([1]!orders[[#This Row],[Customer Gender]]="M","Male", [1]!orders[[#This Row],[Customer Gender]]="F","Female", [1]!orders[[#This Row],[Customer Gender]]="O","Other", TRUE,"Unknown")</f>
        <v>Male</v>
      </c>
    </row>
    <row r="1729" spans="1:15" x14ac:dyDescent="0.25">
      <c r="A1729" t="s">
        <v>1813</v>
      </c>
      <c r="B1729" t="s">
        <v>113</v>
      </c>
      <c r="C1729">
        <v>3</v>
      </c>
      <c r="D1729">
        <v>58.1</v>
      </c>
      <c r="E1729">
        <v>174.3</v>
      </c>
      <c r="F1729" s="3">
        <v>45721</v>
      </c>
      <c r="G1729" s="3">
        <v>45722</v>
      </c>
      <c r="H1729" t="s">
        <v>12</v>
      </c>
      <c r="I1729" t="s">
        <v>3</v>
      </c>
      <c r="J1729">
        <v>4</v>
      </c>
      <c r="K1729" t="s">
        <v>4</v>
      </c>
      <c r="L1729" t="s">
        <v>62</v>
      </c>
      <c r="M1729">
        <f>[1]!orders[[#This Row],[Ship Date]]-[1]!orders[[#This Row],[Order Date]]</f>
        <v>1</v>
      </c>
      <c r="N1729">
        <f>WEEKNUM([1]!orders[[#This Row],[Order Date]])</f>
        <v>10</v>
      </c>
      <c r="O1729" t="str" cm="1">
        <f t="array" ref="O1729">_xlfn.IFS([1]!orders[[#This Row],[Customer Gender]]="M","Male", [1]!orders[[#This Row],[Customer Gender]]="F","Female", [1]!orders[[#This Row],[Customer Gender]]="O","Other", TRUE,"Unknown")</f>
        <v>Female</v>
      </c>
    </row>
    <row r="1730" spans="1:15" x14ac:dyDescent="0.25">
      <c r="A1730" s="1" t="s">
        <v>1814</v>
      </c>
      <c r="B1730" s="1" t="s">
        <v>54</v>
      </c>
      <c r="C1730" s="1">
        <v>4</v>
      </c>
      <c r="D1730" s="1">
        <v>66.599999999999994</v>
      </c>
      <c r="E1730" s="1">
        <v>266.39999999999998</v>
      </c>
      <c r="F1730" s="2">
        <v>45721</v>
      </c>
      <c r="G1730" s="2">
        <v>45722</v>
      </c>
      <c r="H1730" s="1" t="s">
        <v>2</v>
      </c>
      <c r="I1730" s="1" t="s">
        <v>3</v>
      </c>
      <c r="J1730" s="1">
        <v>4</v>
      </c>
      <c r="K1730" s="1" t="s">
        <v>4</v>
      </c>
      <c r="L1730" s="1" t="s">
        <v>62</v>
      </c>
      <c r="M1730" s="1">
        <f>[1]!orders[[#This Row],[Ship Date]]-[1]!orders[[#This Row],[Order Date]]</f>
        <v>1</v>
      </c>
      <c r="N1730" s="1">
        <f>WEEKNUM([1]!orders[[#This Row],[Order Date]])</f>
        <v>10</v>
      </c>
      <c r="O1730" t="str" cm="1">
        <f t="array" ref="O1730">_xlfn.IFS([1]!orders[[#This Row],[Customer Gender]]="M","Male", [1]!orders[[#This Row],[Customer Gender]]="F","Female", [1]!orders[[#This Row],[Customer Gender]]="O","Other", TRUE,"Unknown")</f>
        <v>Unknown</v>
      </c>
    </row>
    <row r="1731" spans="1:15" x14ac:dyDescent="0.25">
      <c r="A1731" t="s">
        <v>1815</v>
      </c>
      <c r="B1731" t="s">
        <v>31</v>
      </c>
      <c r="C1731">
        <v>1</v>
      </c>
      <c r="D1731">
        <v>24.1</v>
      </c>
      <c r="E1731">
        <v>24.1</v>
      </c>
      <c r="F1731" s="3">
        <v>45721</v>
      </c>
      <c r="G1731" s="3">
        <v>45724</v>
      </c>
      <c r="H1731" t="s">
        <v>8</v>
      </c>
      <c r="I1731" t="s">
        <v>25</v>
      </c>
      <c r="J1731">
        <v>3</v>
      </c>
      <c r="K1731" t="s">
        <v>4</v>
      </c>
      <c r="L1731" t="s">
        <v>95</v>
      </c>
      <c r="M1731">
        <f>[1]!orders[[#This Row],[Ship Date]]-[1]!orders[[#This Row],[Order Date]]</f>
        <v>3</v>
      </c>
      <c r="N1731">
        <f>WEEKNUM([1]!orders[[#This Row],[Order Date]])</f>
        <v>10</v>
      </c>
      <c r="O1731" t="str" cm="1">
        <f t="array" ref="O1731">_xlfn.IFS([1]!orders[[#This Row],[Customer Gender]]="M","Male", [1]!orders[[#This Row],[Customer Gender]]="F","Female", [1]!orders[[#This Row],[Customer Gender]]="O","Other", TRUE,"Unknown")</f>
        <v>Male</v>
      </c>
    </row>
    <row r="1732" spans="1:15" x14ac:dyDescent="0.25">
      <c r="A1732" s="1" t="s">
        <v>1816</v>
      </c>
      <c r="B1732" s="1" t="s">
        <v>39</v>
      </c>
      <c r="C1732" s="1">
        <v>5</v>
      </c>
      <c r="D1732" s="1">
        <v>51.5</v>
      </c>
      <c r="E1732" s="1">
        <v>257.5</v>
      </c>
      <c r="F1732" s="2">
        <v>45721</v>
      </c>
      <c r="G1732" s="2">
        <v>45726</v>
      </c>
      <c r="H1732" s="1" t="s">
        <v>12</v>
      </c>
      <c r="I1732" s="1" t="s">
        <v>3</v>
      </c>
      <c r="J1732" s="1">
        <v>4</v>
      </c>
      <c r="K1732" s="1" t="s">
        <v>4</v>
      </c>
      <c r="L1732" s="1" t="s">
        <v>67</v>
      </c>
      <c r="M1732" s="1">
        <f>[1]!orders[[#This Row],[Ship Date]]-[1]!orders[[#This Row],[Order Date]]</f>
        <v>5</v>
      </c>
      <c r="N1732" s="1">
        <f>WEEKNUM([1]!orders[[#This Row],[Order Date]])</f>
        <v>10</v>
      </c>
      <c r="O1732" t="str" cm="1">
        <f t="array" ref="O1732">_xlfn.IFS([1]!orders[[#This Row],[Customer Gender]]="M","Male", [1]!orders[[#This Row],[Customer Gender]]="F","Female", [1]!orders[[#This Row],[Customer Gender]]="O","Other", TRUE,"Unknown")</f>
        <v>Female</v>
      </c>
    </row>
    <row r="1733" spans="1:15" x14ac:dyDescent="0.25">
      <c r="A1733" t="s">
        <v>1817</v>
      </c>
      <c r="B1733" t="s">
        <v>1</v>
      </c>
      <c r="C1733">
        <v>11</v>
      </c>
      <c r="D1733">
        <v>25.8</v>
      </c>
      <c r="E1733">
        <v>283.8</v>
      </c>
      <c r="F1733" s="3">
        <v>45721</v>
      </c>
      <c r="G1733" s="3">
        <v>45725</v>
      </c>
      <c r="H1733" t="s">
        <v>12</v>
      </c>
      <c r="I1733" t="s">
        <v>36</v>
      </c>
      <c r="J1733">
        <v>2</v>
      </c>
      <c r="K1733" t="s">
        <v>4</v>
      </c>
      <c r="L1733" t="s">
        <v>100</v>
      </c>
      <c r="M1733">
        <f>[1]!orders[[#This Row],[Ship Date]]-[1]!orders[[#This Row],[Order Date]]</f>
        <v>4</v>
      </c>
      <c r="N1733">
        <f>WEEKNUM([1]!orders[[#This Row],[Order Date]])</f>
        <v>10</v>
      </c>
      <c r="O1733" t="str" cm="1">
        <f t="array" ref="O1733">_xlfn.IFS([1]!orders[[#This Row],[Customer Gender]]="M","Male", [1]!orders[[#This Row],[Customer Gender]]="F","Female", [1]!orders[[#This Row],[Customer Gender]]="O","Other", TRUE,"Unknown")</f>
        <v>Female</v>
      </c>
    </row>
    <row r="1734" spans="1:15" x14ac:dyDescent="0.25">
      <c r="A1734" s="1" t="s">
        <v>1818</v>
      </c>
      <c r="B1734" s="1" t="s">
        <v>31</v>
      </c>
      <c r="C1734" s="1">
        <v>4</v>
      </c>
      <c r="D1734" s="1">
        <v>47.7</v>
      </c>
      <c r="E1734" s="1">
        <v>190.8</v>
      </c>
      <c r="F1734" s="2">
        <v>45721</v>
      </c>
      <c r="G1734" s="2">
        <v>45721</v>
      </c>
      <c r="H1734" s="1" t="s">
        <v>12</v>
      </c>
      <c r="I1734" s="1" t="s">
        <v>3</v>
      </c>
      <c r="J1734" s="1">
        <v>3</v>
      </c>
      <c r="K1734" s="1" t="s">
        <v>4</v>
      </c>
      <c r="L1734" s="1" t="s">
        <v>100</v>
      </c>
      <c r="M1734" s="1">
        <f>[1]!orders[[#This Row],[Ship Date]]-[1]!orders[[#This Row],[Order Date]]</f>
        <v>0</v>
      </c>
      <c r="N1734" s="1">
        <f>WEEKNUM([1]!orders[[#This Row],[Order Date]])</f>
        <v>10</v>
      </c>
      <c r="O1734" t="str" cm="1">
        <f t="array" ref="O1734">_xlfn.IFS([1]!orders[[#This Row],[Customer Gender]]="M","Male", [1]!orders[[#This Row],[Customer Gender]]="F","Female", [1]!orders[[#This Row],[Customer Gender]]="O","Other", TRUE,"Unknown")</f>
        <v>Female</v>
      </c>
    </row>
    <row r="1735" spans="1:15" x14ac:dyDescent="0.25">
      <c r="A1735" t="s">
        <v>1819</v>
      </c>
      <c r="B1735" t="s">
        <v>27</v>
      </c>
      <c r="C1735">
        <v>5</v>
      </c>
      <c r="D1735">
        <v>73.599999999999994</v>
      </c>
      <c r="E1735">
        <v>368</v>
      </c>
      <c r="F1735" s="3">
        <v>45721</v>
      </c>
      <c r="G1735" s="3">
        <v>45725</v>
      </c>
      <c r="H1735" t="s">
        <v>8</v>
      </c>
      <c r="I1735" t="s">
        <v>20</v>
      </c>
      <c r="J1735">
        <v>4</v>
      </c>
      <c r="K1735" t="s">
        <v>4</v>
      </c>
      <c r="L1735" t="s">
        <v>100</v>
      </c>
      <c r="M1735">
        <f>[1]!orders[[#This Row],[Ship Date]]-[1]!orders[[#This Row],[Order Date]]</f>
        <v>4</v>
      </c>
      <c r="N1735">
        <f>WEEKNUM([1]!orders[[#This Row],[Order Date]])</f>
        <v>10</v>
      </c>
      <c r="O1735" t="str" cm="1">
        <f t="array" ref="O1735">_xlfn.IFS([1]!orders[[#This Row],[Customer Gender]]="M","Male", [1]!orders[[#This Row],[Customer Gender]]="F","Female", [1]!orders[[#This Row],[Customer Gender]]="O","Other", TRUE,"Unknown")</f>
        <v>Male</v>
      </c>
    </row>
    <row r="1736" spans="1:15" x14ac:dyDescent="0.25">
      <c r="A1736" s="1" t="s">
        <v>1820</v>
      </c>
      <c r="B1736" s="1" t="s">
        <v>22</v>
      </c>
      <c r="C1736" s="1">
        <v>7</v>
      </c>
      <c r="D1736" s="1">
        <v>91.2</v>
      </c>
      <c r="E1736" s="1">
        <v>638.4</v>
      </c>
      <c r="F1736" s="2">
        <v>45721</v>
      </c>
      <c r="G1736" s="2">
        <v>45722</v>
      </c>
      <c r="H1736" s="1" t="s">
        <v>8</v>
      </c>
      <c r="I1736" s="1" t="s">
        <v>20</v>
      </c>
      <c r="J1736" s="1">
        <v>5</v>
      </c>
      <c r="K1736" s="1" t="s">
        <v>4</v>
      </c>
      <c r="L1736" s="1" t="s">
        <v>100</v>
      </c>
      <c r="M1736" s="1">
        <f>[1]!orders[[#This Row],[Ship Date]]-[1]!orders[[#This Row],[Order Date]]</f>
        <v>1</v>
      </c>
      <c r="N1736" s="1">
        <f>WEEKNUM([1]!orders[[#This Row],[Order Date]])</f>
        <v>10</v>
      </c>
      <c r="O1736" t="str" cm="1">
        <f t="array" ref="O1736">_xlfn.IFS([1]!orders[[#This Row],[Customer Gender]]="M","Male", [1]!orders[[#This Row],[Customer Gender]]="F","Female", [1]!orders[[#This Row],[Customer Gender]]="O","Other", TRUE,"Unknown")</f>
        <v>Male</v>
      </c>
    </row>
    <row r="1737" spans="1:15" x14ac:dyDescent="0.25">
      <c r="A1737" t="s">
        <v>1821</v>
      </c>
      <c r="B1737" t="s">
        <v>7</v>
      </c>
      <c r="C1737">
        <v>8</v>
      </c>
      <c r="D1737">
        <v>36.200000000000003</v>
      </c>
      <c r="E1737">
        <v>289.60000000000002</v>
      </c>
      <c r="F1737" s="3">
        <v>45721</v>
      </c>
      <c r="G1737" s="3">
        <v>45721</v>
      </c>
      <c r="H1737" t="s">
        <v>8</v>
      </c>
      <c r="I1737" t="s">
        <v>25</v>
      </c>
      <c r="J1737">
        <v>5</v>
      </c>
      <c r="K1737" t="s">
        <v>4</v>
      </c>
      <c r="L1737" t="s">
        <v>9</v>
      </c>
      <c r="M1737">
        <f>[1]!orders[[#This Row],[Ship Date]]-[1]!orders[[#This Row],[Order Date]]</f>
        <v>0</v>
      </c>
      <c r="N1737">
        <f>WEEKNUM([1]!orders[[#This Row],[Order Date]])</f>
        <v>10</v>
      </c>
      <c r="O1737" t="str" cm="1">
        <f t="array" ref="O1737">_xlfn.IFS([1]!orders[[#This Row],[Customer Gender]]="M","Male", [1]!orders[[#This Row],[Customer Gender]]="F","Female", [1]!orders[[#This Row],[Customer Gender]]="O","Other", TRUE,"Unknown")</f>
        <v>Male</v>
      </c>
    </row>
    <row r="1738" spans="1:15" x14ac:dyDescent="0.25">
      <c r="A1738" s="1" t="s">
        <v>1822</v>
      </c>
      <c r="B1738" s="1" t="s">
        <v>31</v>
      </c>
      <c r="C1738" s="1">
        <v>8</v>
      </c>
      <c r="D1738" s="1">
        <v>98</v>
      </c>
      <c r="E1738" s="1">
        <v>784</v>
      </c>
      <c r="F1738" s="2">
        <v>45721</v>
      </c>
      <c r="G1738" s="2">
        <v>45725</v>
      </c>
      <c r="H1738" s="1" t="s">
        <v>12</v>
      </c>
      <c r="I1738" s="1" t="s">
        <v>25</v>
      </c>
      <c r="J1738" s="1">
        <v>4</v>
      </c>
      <c r="K1738" s="1" t="s">
        <v>4</v>
      </c>
      <c r="L1738" s="1" t="s">
        <v>13</v>
      </c>
      <c r="M1738" s="1">
        <f>[1]!orders[[#This Row],[Ship Date]]-[1]!orders[[#This Row],[Order Date]]</f>
        <v>4</v>
      </c>
      <c r="N1738" s="1">
        <f>WEEKNUM([1]!orders[[#This Row],[Order Date]])</f>
        <v>10</v>
      </c>
      <c r="O1738" t="str" cm="1">
        <f t="array" ref="O1738">_xlfn.IFS([1]!orders[[#This Row],[Customer Gender]]="M","Male", [1]!orders[[#This Row],[Customer Gender]]="F","Female", [1]!orders[[#This Row],[Customer Gender]]="O","Other", TRUE,"Unknown")</f>
        <v>Female</v>
      </c>
    </row>
    <row r="1739" spans="1:15" x14ac:dyDescent="0.25">
      <c r="A1739" t="s">
        <v>1823</v>
      </c>
      <c r="B1739" t="s">
        <v>7</v>
      </c>
      <c r="C1739">
        <v>8</v>
      </c>
      <c r="D1739">
        <v>43.6</v>
      </c>
      <c r="E1739">
        <v>348.8</v>
      </c>
      <c r="F1739" s="3">
        <v>45721</v>
      </c>
      <c r="G1739" s="3">
        <v>45722</v>
      </c>
      <c r="H1739" t="s">
        <v>12</v>
      </c>
      <c r="I1739" t="s">
        <v>25</v>
      </c>
      <c r="J1739">
        <v>4</v>
      </c>
      <c r="K1739" t="s">
        <v>4</v>
      </c>
      <c r="L1739" t="s">
        <v>132</v>
      </c>
      <c r="M1739">
        <f>[1]!orders[[#This Row],[Ship Date]]-[1]!orders[[#This Row],[Order Date]]</f>
        <v>1</v>
      </c>
      <c r="N1739">
        <f>WEEKNUM([1]!orders[[#This Row],[Order Date]])</f>
        <v>10</v>
      </c>
      <c r="O1739" t="str" cm="1">
        <f t="array" ref="O1739">_xlfn.IFS([1]!orders[[#This Row],[Customer Gender]]="M","Male", [1]!orders[[#This Row],[Customer Gender]]="F","Female", [1]!orders[[#This Row],[Customer Gender]]="O","Other", TRUE,"Unknown")</f>
        <v>Female</v>
      </c>
    </row>
    <row r="1740" spans="1:15" x14ac:dyDescent="0.25">
      <c r="A1740" s="1" t="s">
        <v>1824</v>
      </c>
      <c r="B1740" s="1" t="s">
        <v>29</v>
      </c>
      <c r="C1740" s="1">
        <v>10</v>
      </c>
      <c r="D1740" s="1">
        <v>37.799999999999997</v>
      </c>
      <c r="E1740" s="1">
        <v>378</v>
      </c>
      <c r="F1740" s="2">
        <v>45721</v>
      </c>
      <c r="G1740" s="2">
        <v>45721</v>
      </c>
      <c r="H1740" s="1" t="s">
        <v>74</v>
      </c>
      <c r="I1740" s="1" t="s">
        <v>3</v>
      </c>
      <c r="J1740" s="1">
        <v>4</v>
      </c>
      <c r="K1740" s="1" t="s">
        <v>4</v>
      </c>
      <c r="L1740" s="1" t="s">
        <v>934</v>
      </c>
      <c r="M1740" s="1">
        <f>[1]!orders[[#This Row],[Ship Date]]-[1]!orders[[#This Row],[Order Date]]</f>
        <v>0</v>
      </c>
      <c r="N1740" s="1">
        <f>WEEKNUM([1]!orders[[#This Row],[Order Date]])</f>
        <v>10</v>
      </c>
      <c r="O1740" t="str" cm="1">
        <f t="array" ref="O1740">_xlfn.IFS([1]!orders[[#This Row],[Customer Gender]]="M","Male", [1]!orders[[#This Row],[Customer Gender]]="F","Female", [1]!orders[[#This Row],[Customer Gender]]="O","Other", TRUE,"Unknown")</f>
        <v>Other</v>
      </c>
    </row>
    <row r="1741" spans="1:15" x14ac:dyDescent="0.25">
      <c r="A1741" t="s">
        <v>1825</v>
      </c>
      <c r="B1741" t="s">
        <v>120</v>
      </c>
      <c r="C1741">
        <v>5</v>
      </c>
      <c r="D1741">
        <v>63.7</v>
      </c>
      <c r="E1741">
        <v>318.5</v>
      </c>
      <c r="F1741" s="3">
        <v>45721</v>
      </c>
      <c r="G1741" s="3">
        <v>45724</v>
      </c>
      <c r="H1741" t="s">
        <v>12</v>
      </c>
      <c r="I1741" t="s">
        <v>25</v>
      </c>
      <c r="J1741">
        <v>3</v>
      </c>
      <c r="K1741" t="s">
        <v>4</v>
      </c>
      <c r="L1741" t="s">
        <v>18</v>
      </c>
      <c r="M1741">
        <f>[1]!orders[[#This Row],[Ship Date]]-[1]!orders[[#This Row],[Order Date]]</f>
        <v>3</v>
      </c>
      <c r="N1741">
        <f>WEEKNUM([1]!orders[[#This Row],[Order Date]])</f>
        <v>10</v>
      </c>
      <c r="O1741" t="str" cm="1">
        <f t="array" ref="O1741">_xlfn.IFS([1]!orders[[#This Row],[Customer Gender]]="M","Male", [1]!orders[[#This Row],[Customer Gender]]="F","Female", [1]!orders[[#This Row],[Customer Gender]]="O","Other", TRUE,"Unknown")</f>
        <v>Female</v>
      </c>
    </row>
    <row r="1742" spans="1:15" x14ac:dyDescent="0.25">
      <c r="A1742" s="1" t="s">
        <v>1826</v>
      </c>
      <c r="B1742" s="1" t="s">
        <v>22</v>
      </c>
      <c r="C1742" s="1">
        <v>9</v>
      </c>
      <c r="D1742" s="1">
        <v>62.9</v>
      </c>
      <c r="E1742" s="1">
        <v>566.1</v>
      </c>
      <c r="F1742" s="2">
        <v>45721</v>
      </c>
      <c r="G1742" s="2">
        <v>45726</v>
      </c>
      <c r="H1742" s="1" t="s">
        <v>8</v>
      </c>
      <c r="I1742" s="1" t="s">
        <v>36</v>
      </c>
      <c r="J1742" s="1">
        <v>5</v>
      </c>
      <c r="K1742" s="1" t="s">
        <v>4</v>
      </c>
      <c r="L1742" s="1" t="s">
        <v>18</v>
      </c>
      <c r="M1742" s="1">
        <f>[1]!orders[[#This Row],[Ship Date]]-[1]!orders[[#This Row],[Order Date]]</f>
        <v>5</v>
      </c>
      <c r="N1742" s="1">
        <f>WEEKNUM([1]!orders[[#This Row],[Order Date]])</f>
        <v>10</v>
      </c>
      <c r="O1742" t="str" cm="1">
        <f t="array" ref="O1742">_xlfn.IFS([1]!orders[[#This Row],[Customer Gender]]="M","Male", [1]!orders[[#This Row],[Customer Gender]]="F","Female", [1]!orders[[#This Row],[Customer Gender]]="O","Other", TRUE,"Unknown")</f>
        <v>Male</v>
      </c>
    </row>
    <row r="1743" spans="1:15" x14ac:dyDescent="0.25">
      <c r="A1743" t="s">
        <v>1827</v>
      </c>
      <c r="B1743" t="s">
        <v>24</v>
      </c>
      <c r="C1743">
        <v>7</v>
      </c>
      <c r="D1743">
        <v>61.7</v>
      </c>
      <c r="E1743">
        <v>431.90000000000003</v>
      </c>
      <c r="F1743" s="3">
        <v>45721</v>
      </c>
      <c r="G1743" s="3">
        <v>45724</v>
      </c>
      <c r="H1743" t="s">
        <v>12</v>
      </c>
      <c r="I1743" t="s">
        <v>25</v>
      </c>
      <c r="J1743">
        <v>5</v>
      </c>
      <c r="K1743" t="s">
        <v>4</v>
      </c>
      <c r="L1743" t="s">
        <v>18</v>
      </c>
      <c r="M1743">
        <f>[1]!orders[[#This Row],[Ship Date]]-[1]!orders[[#This Row],[Order Date]]</f>
        <v>3</v>
      </c>
      <c r="N1743">
        <f>WEEKNUM([1]!orders[[#This Row],[Order Date]])</f>
        <v>10</v>
      </c>
      <c r="O1743" t="str" cm="1">
        <f t="array" ref="O1743">_xlfn.IFS([1]!orders[[#This Row],[Customer Gender]]="M","Male", [1]!orders[[#This Row],[Customer Gender]]="F","Female", [1]!orders[[#This Row],[Customer Gender]]="O","Other", TRUE,"Unknown")</f>
        <v>Female</v>
      </c>
    </row>
    <row r="1744" spans="1:15" x14ac:dyDescent="0.25">
      <c r="A1744" s="1" t="s">
        <v>1828</v>
      </c>
      <c r="B1744" s="1" t="s">
        <v>131</v>
      </c>
      <c r="C1744" s="1">
        <v>14</v>
      </c>
      <c r="D1744" s="1">
        <v>36.5</v>
      </c>
      <c r="E1744" s="1">
        <v>511</v>
      </c>
      <c r="F1744" s="2">
        <v>45721</v>
      </c>
      <c r="G1744" s="2">
        <v>45722</v>
      </c>
      <c r="H1744" s="1" t="s">
        <v>8</v>
      </c>
      <c r="I1744" s="1" t="s">
        <v>3</v>
      </c>
      <c r="J1744" s="1">
        <v>5</v>
      </c>
      <c r="K1744" s="1" t="s">
        <v>4</v>
      </c>
      <c r="L1744" s="1" t="s">
        <v>18</v>
      </c>
      <c r="M1744" s="1">
        <f>[1]!orders[[#This Row],[Ship Date]]-[1]!orders[[#This Row],[Order Date]]</f>
        <v>1</v>
      </c>
      <c r="N1744" s="1">
        <f>WEEKNUM([1]!orders[[#This Row],[Order Date]])</f>
        <v>10</v>
      </c>
      <c r="O1744" t="str" cm="1">
        <f t="array" ref="O1744">_xlfn.IFS([1]!orders[[#This Row],[Customer Gender]]="M","Male", [1]!orders[[#This Row],[Customer Gender]]="F","Female", [1]!orders[[#This Row],[Customer Gender]]="O","Other", TRUE,"Unknown")</f>
        <v>Male</v>
      </c>
    </row>
    <row r="1745" spans="1:15" x14ac:dyDescent="0.25">
      <c r="A1745" t="s">
        <v>1829</v>
      </c>
      <c r="B1745" t="s">
        <v>52</v>
      </c>
      <c r="C1745">
        <v>3</v>
      </c>
      <c r="D1745">
        <v>98.6</v>
      </c>
      <c r="E1745">
        <v>295.79999999999995</v>
      </c>
      <c r="F1745" s="3">
        <v>45721</v>
      </c>
      <c r="G1745" s="3">
        <v>45724</v>
      </c>
      <c r="H1745" t="s">
        <v>74</v>
      </c>
      <c r="I1745" t="s">
        <v>3</v>
      </c>
      <c r="J1745">
        <v>2</v>
      </c>
      <c r="K1745" t="s">
        <v>4</v>
      </c>
      <c r="L1745" t="s">
        <v>18</v>
      </c>
      <c r="M1745">
        <f>[1]!orders[[#This Row],[Ship Date]]-[1]!orders[[#This Row],[Order Date]]</f>
        <v>3</v>
      </c>
      <c r="N1745">
        <f>WEEKNUM([1]!orders[[#This Row],[Order Date]])</f>
        <v>10</v>
      </c>
      <c r="O1745" t="str" cm="1">
        <f t="array" ref="O1745">_xlfn.IFS([1]!orders[[#This Row],[Customer Gender]]="M","Male", [1]!orders[[#This Row],[Customer Gender]]="F","Female", [1]!orders[[#This Row],[Customer Gender]]="O","Other", TRUE,"Unknown")</f>
        <v>Other</v>
      </c>
    </row>
    <row r="1746" spans="1:15" x14ac:dyDescent="0.25">
      <c r="A1746" s="1" t="s">
        <v>1830</v>
      </c>
      <c r="B1746" s="1" t="s">
        <v>29</v>
      </c>
      <c r="C1746" s="1">
        <v>2</v>
      </c>
      <c r="D1746" s="1">
        <v>19.2</v>
      </c>
      <c r="E1746" s="1">
        <v>38.4</v>
      </c>
      <c r="F1746" s="2">
        <v>45721</v>
      </c>
      <c r="G1746" s="2">
        <v>45731</v>
      </c>
      <c r="H1746" s="1" t="s">
        <v>8</v>
      </c>
      <c r="I1746" s="1" t="s">
        <v>3</v>
      </c>
      <c r="J1746" s="1">
        <v>4</v>
      </c>
      <c r="K1746" s="1" t="s">
        <v>4</v>
      </c>
      <c r="L1746" s="1" t="s">
        <v>18</v>
      </c>
      <c r="M1746" s="1">
        <f>[1]!orders[[#This Row],[Ship Date]]-[1]!orders[[#This Row],[Order Date]]</f>
        <v>10</v>
      </c>
      <c r="N1746" s="1">
        <f>WEEKNUM([1]!orders[[#This Row],[Order Date]])</f>
        <v>10</v>
      </c>
      <c r="O1746" t="str" cm="1">
        <f t="array" ref="O1746">_xlfn.IFS([1]!orders[[#This Row],[Customer Gender]]="M","Male", [1]!orders[[#This Row],[Customer Gender]]="F","Female", [1]!orders[[#This Row],[Customer Gender]]="O","Other", TRUE,"Unknown")</f>
        <v>Male</v>
      </c>
    </row>
    <row r="1747" spans="1:15" x14ac:dyDescent="0.25">
      <c r="A1747" t="s">
        <v>1831</v>
      </c>
      <c r="B1747" t="s">
        <v>15</v>
      </c>
      <c r="C1747">
        <v>6</v>
      </c>
      <c r="D1747">
        <v>55.6</v>
      </c>
      <c r="E1747">
        <v>333.6</v>
      </c>
      <c r="F1747" s="3">
        <v>45721</v>
      </c>
      <c r="G1747" s="3">
        <v>45725</v>
      </c>
      <c r="H1747" t="s">
        <v>12</v>
      </c>
      <c r="I1747" t="s">
        <v>3</v>
      </c>
      <c r="J1747">
        <v>5</v>
      </c>
      <c r="K1747" t="s">
        <v>4</v>
      </c>
      <c r="L1747" t="s">
        <v>18</v>
      </c>
      <c r="M1747">
        <f>[1]!orders[[#This Row],[Ship Date]]-[1]!orders[[#This Row],[Order Date]]</f>
        <v>4</v>
      </c>
      <c r="N1747">
        <f>WEEKNUM([1]!orders[[#This Row],[Order Date]])</f>
        <v>10</v>
      </c>
      <c r="O1747" t="str" cm="1">
        <f t="array" ref="O1747">_xlfn.IFS([1]!orders[[#This Row],[Customer Gender]]="M","Male", [1]!orders[[#This Row],[Customer Gender]]="F","Female", [1]!orders[[#This Row],[Customer Gender]]="O","Other", TRUE,"Unknown")</f>
        <v>Female</v>
      </c>
    </row>
    <row r="1748" spans="1:15" x14ac:dyDescent="0.25">
      <c r="A1748" s="1" t="s">
        <v>1832</v>
      </c>
      <c r="B1748" s="1" t="s">
        <v>22</v>
      </c>
      <c r="C1748" s="1">
        <v>6</v>
      </c>
      <c r="D1748" s="1">
        <v>56.4</v>
      </c>
      <c r="E1748" s="1">
        <v>338.4</v>
      </c>
      <c r="F1748" s="2">
        <v>45721</v>
      </c>
      <c r="G1748" s="2">
        <v>45722</v>
      </c>
      <c r="H1748" s="1" t="s">
        <v>12</v>
      </c>
      <c r="I1748" s="1" t="s">
        <v>20</v>
      </c>
      <c r="J1748" s="1">
        <v>4</v>
      </c>
      <c r="K1748" s="1" t="s">
        <v>4</v>
      </c>
      <c r="L1748" s="1" t="s">
        <v>18</v>
      </c>
      <c r="M1748" s="1">
        <f>[1]!orders[[#This Row],[Ship Date]]-[1]!orders[[#This Row],[Order Date]]</f>
        <v>1</v>
      </c>
      <c r="N1748" s="1">
        <f>WEEKNUM([1]!orders[[#This Row],[Order Date]])</f>
        <v>10</v>
      </c>
      <c r="O1748" t="str" cm="1">
        <f t="array" ref="O1748">_xlfn.IFS([1]!orders[[#This Row],[Customer Gender]]="M","Male", [1]!orders[[#This Row],[Customer Gender]]="F","Female", [1]!orders[[#This Row],[Customer Gender]]="O","Other", TRUE,"Unknown")</f>
        <v>Female</v>
      </c>
    </row>
    <row r="1749" spans="1:15" x14ac:dyDescent="0.25">
      <c r="A1749" t="s">
        <v>1833</v>
      </c>
      <c r="B1749" t="s">
        <v>17</v>
      </c>
      <c r="C1749">
        <v>8</v>
      </c>
      <c r="D1749">
        <v>43.1</v>
      </c>
      <c r="E1749">
        <v>344.8</v>
      </c>
      <c r="F1749" s="3">
        <v>45721</v>
      </c>
      <c r="G1749" s="3">
        <v>45725</v>
      </c>
      <c r="H1749" t="s">
        <v>12</v>
      </c>
      <c r="I1749" t="s">
        <v>55</v>
      </c>
      <c r="J1749">
        <v>4</v>
      </c>
      <c r="K1749" t="s">
        <v>4</v>
      </c>
      <c r="L1749" t="s">
        <v>18</v>
      </c>
      <c r="M1749">
        <f>[1]!orders[[#This Row],[Ship Date]]-[1]!orders[[#This Row],[Order Date]]</f>
        <v>4</v>
      </c>
      <c r="N1749">
        <f>WEEKNUM([1]!orders[[#This Row],[Order Date]])</f>
        <v>10</v>
      </c>
      <c r="O1749" t="str" cm="1">
        <f t="array" ref="O1749">_xlfn.IFS([1]!orders[[#This Row],[Customer Gender]]="M","Male", [1]!orders[[#This Row],[Customer Gender]]="F","Female", [1]!orders[[#This Row],[Customer Gender]]="O","Other", TRUE,"Unknown")</f>
        <v>Female</v>
      </c>
    </row>
    <row r="1750" spans="1:15" x14ac:dyDescent="0.25">
      <c r="A1750" s="1" t="s">
        <v>1834</v>
      </c>
      <c r="B1750" s="1" t="s">
        <v>7</v>
      </c>
      <c r="C1750" s="1">
        <v>2</v>
      </c>
      <c r="D1750" s="1">
        <v>77.3</v>
      </c>
      <c r="E1750" s="1">
        <v>154.6</v>
      </c>
      <c r="F1750" s="2">
        <v>45721</v>
      </c>
      <c r="G1750" s="2">
        <v>45723</v>
      </c>
      <c r="H1750" s="1" t="s">
        <v>8</v>
      </c>
      <c r="I1750" s="1" t="s">
        <v>3</v>
      </c>
      <c r="J1750" s="1">
        <v>4</v>
      </c>
      <c r="K1750" s="1" t="s">
        <v>4</v>
      </c>
      <c r="L1750" s="1" t="s">
        <v>40</v>
      </c>
      <c r="M1750" s="1">
        <f>[1]!orders[[#This Row],[Ship Date]]-[1]!orders[[#This Row],[Order Date]]</f>
        <v>2</v>
      </c>
      <c r="N1750" s="1">
        <f>WEEKNUM([1]!orders[[#This Row],[Order Date]])</f>
        <v>10</v>
      </c>
      <c r="O1750" t="str" cm="1">
        <f t="array" ref="O1750">_xlfn.IFS([1]!orders[[#This Row],[Customer Gender]]="M","Male", [1]!orders[[#This Row],[Customer Gender]]="F","Female", [1]!orders[[#This Row],[Customer Gender]]="O","Other", TRUE,"Unknown")</f>
        <v>Male</v>
      </c>
    </row>
    <row r="1751" spans="1:15" x14ac:dyDescent="0.25">
      <c r="A1751" t="s">
        <v>1835</v>
      </c>
      <c r="B1751" t="s">
        <v>31</v>
      </c>
      <c r="C1751">
        <v>8</v>
      </c>
      <c r="D1751">
        <v>38.299999999999997</v>
      </c>
      <c r="E1751">
        <v>306.39999999999998</v>
      </c>
      <c r="F1751" s="3">
        <v>45721</v>
      </c>
      <c r="G1751" s="3">
        <v>45722</v>
      </c>
      <c r="H1751" t="s">
        <v>8</v>
      </c>
      <c r="I1751" t="s">
        <v>3</v>
      </c>
      <c r="J1751">
        <v>4</v>
      </c>
      <c r="K1751" t="s">
        <v>4</v>
      </c>
      <c r="L1751" t="s">
        <v>44</v>
      </c>
      <c r="M1751">
        <f>[1]!orders[[#This Row],[Ship Date]]-[1]!orders[[#This Row],[Order Date]]</f>
        <v>1</v>
      </c>
      <c r="N1751">
        <f>WEEKNUM([1]!orders[[#This Row],[Order Date]])</f>
        <v>10</v>
      </c>
      <c r="O1751" t="str" cm="1">
        <f t="array" ref="O1751">_xlfn.IFS([1]!orders[[#This Row],[Customer Gender]]="M","Male", [1]!orders[[#This Row],[Customer Gender]]="F","Female", [1]!orders[[#This Row],[Customer Gender]]="O","Other", TRUE,"Unknown")</f>
        <v>Male</v>
      </c>
    </row>
    <row r="1752" spans="1:15" x14ac:dyDescent="0.25">
      <c r="A1752" s="1" t="s">
        <v>1836</v>
      </c>
      <c r="B1752" s="1" t="s">
        <v>1</v>
      </c>
      <c r="C1752" s="1">
        <v>7</v>
      </c>
      <c r="D1752" s="1">
        <v>16.8</v>
      </c>
      <c r="E1752" s="1">
        <v>117.60000000000001</v>
      </c>
      <c r="F1752" s="2">
        <v>45721</v>
      </c>
      <c r="G1752" s="2">
        <v>45724</v>
      </c>
      <c r="H1752" s="1" t="s">
        <v>8</v>
      </c>
      <c r="I1752" s="1" t="s">
        <v>25</v>
      </c>
      <c r="J1752" s="1">
        <v>3</v>
      </c>
      <c r="K1752" s="1" t="s">
        <v>4</v>
      </c>
      <c r="L1752" s="1" t="s">
        <v>47</v>
      </c>
      <c r="M1752" s="1">
        <f>[1]!orders[[#This Row],[Ship Date]]-[1]!orders[[#This Row],[Order Date]]</f>
        <v>3</v>
      </c>
      <c r="N1752" s="1">
        <f>WEEKNUM([1]!orders[[#This Row],[Order Date]])</f>
        <v>10</v>
      </c>
      <c r="O1752" t="str" cm="1">
        <f t="array" ref="O1752">_xlfn.IFS([1]!orders[[#This Row],[Customer Gender]]="M","Male", [1]!orders[[#This Row],[Customer Gender]]="F","Female", [1]!orders[[#This Row],[Customer Gender]]="O","Other", TRUE,"Unknown")</f>
        <v>Male</v>
      </c>
    </row>
    <row r="1753" spans="1:15" x14ac:dyDescent="0.25">
      <c r="A1753" t="s">
        <v>1837</v>
      </c>
      <c r="B1753" t="s">
        <v>11</v>
      </c>
      <c r="C1753">
        <v>3</v>
      </c>
      <c r="D1753">
        <v>63.2</v>
      </c>
      <c r="E1753">
        <v>189.60000000000002</v>
      </c>
      <c r="F1753" s="3">
        <v>45721</v>
      </c>
      <c r="G1753" s="3">
        <v>45722</v>
      </c>
      <c r="H1753" t="s">
        <v>12</v>
      </c>
      <c r="I1753" t="s">
        <v>3</v>
      </c>
      <c r="J1753">
        <v>5</v>
      </c>
      <c r="K1753" t="s">
        <v>4</v>
      </c>
      <c r="L1753" t="s">
        <v>47</v>
      </c>
      <c r="M1753">
        <f>[1]!orders[[#This Row],[Ship Date]]-[1]!orders[[#This Row],[Order Date]]</f>
        <v>1</v>
      </c>
      <c r="N1753">
        <f>WEEKNUM([1]!orders[[#This Row],[Order Date]])</f>
        <v>10</v>
      </c>
      <c r="O1753" t="str" cm="1">
        <f t="array" ref="O1753">_xlfn.IFS([1]!orders[[#This Row],[Customer Gender]]="M","Male", [1]!orders[[#This Row],[Customer Gender]]="F","Female", [1]!orders[[#This Row],[Customer Gender]]="O","Other", TRUE,"Unknown")</f>
        <v>Female</v>
      </c>
    </row>
    <row r="1754" spans="1:15" x14ac:dyDescent="0.25">
      <c r="A1754" s="1" t="s">
        <v>1838</v>
      </c>
      <c r="B1754" s="1" t="s">
        <v>66</v>
      </c>
      <c r="C1754" s="1">
        <v>23</v>
      </c>
      <c r="D1754" s="1">
        <v>39.700000000000003</v>
      </c>
      <c r="E1754" s="1">
        <v>913.1</v>
      </c>
      <c r="F1754" s="2">
        <v>45721</v>
      </c>
      <c r="G1754" s="2">
        <v>45722</v>
      </c>
      <c r="H1754" s="1" t="s">
        <v>8</v>
      </c>
      <c r="I1754" s="1" t="s">
        <v>3</v>
      </c>
      <c r="J1754" s="1">
        <v>4</v>
      </c>
      <c r="K1754" s="1" t="s">
        <v>4</v>
      </c>
      <c r="L1754" s="1" t="s">
        <v>47</v>
      </c>
      <c r="M1754" s="1">
        <f>[1]!orders[[#This Row],[Ship Date]]-[1]!orders[[#This Row],[Order Date]]</f>
        <v>1</v>
      </c>
      <c r="N1754" s="1">
        <f>WEEKNUM([1]!orders[[#This Row],[Order Date]])</f>
        <v>10</v>
      </c>
      <c r="O1754" t="str" cm="1">
        <f t="array" ref="O1754">_xlfn.IFS([1]!orders[[#This Row],[Customer Gender]]="M","Male", [1]!orders[[#This Row],[Customer Gender]]="F","Female", [1]!orders[[#This Row],[Customer Gender]]="O","Other", TRUE,"Unknown")</f>
        <v>Male</v>
      </c>
    </row>
    <row r="1755" spans="1:15" x14ac:dyDescent="0.25">
      <c r="A1755" t="s">
        <v>1839</v>
      </c>
      <c r="B1755" t="s">
        <v>39</v>
      </c>
      <c r="C1755">
        <v>3</v>
      </c>
      <c r="D1755">
        <v>45.8</v>
      </c>
      <c r="E1755">
        <v>137.39999999999998</v>
      </c>
      <c r="F1755" s="3">
        <v>45721</v>
      </c>
      <c r="G1755" s="3">
        <v>45722</v>
      </c>
      <c r="H1755" t="s">
        <v>12</v>
      </c>
      <c r="I1755" t="s">
        <v>20</v>
      </c>
      <c r="J1755">
        <v>5</v>
      </c>
      <c r="K1755" t="s">
        <v>4</v>
      </c>
      <c r="L1755" t="s">
        <v>47</v>
      </c>
      <c r="M1755">
        <f>[1]!orders[[#This Row],[Ship Date]]-[1]!orders[[#This Row],[Order Date]]</f>
        <v>1</v>
      </c>
      <c r="N1755">
        <f>WEEKNUM([1]!orders[[#This Row],[Order Date]])</f>
        <v>10</v>
      </c>
      <c r="O1755" t="str" cm="1">
        <f t="array" ref="O1755">_xlfn.IFS([1]!orders[[#This Row],[Customer Gender]]="M","Male", [1]!orders[[#This Row],[Customer Gender]]="F","Female", [1]!orders[[#This Row],[Customer Gender]]="O","Other", TRUE,"Unknown")</f>
        <v>Female</v>
      </c>
    </row>
    <row r="1756" spans="1:15" x14ac:dyDescent="0.25">
      <c r="A1756" s="1" t="s">
        <v>1840</v>
      </c>
      <c r="B1756" s="1" t="s">
        <v>1</v>
      </c>
      <c r="C1756" s="1">
        <v>6</v>
      </c>
      <c r="D1756" s="1">
        <v>12.4</v>
      </c>
      <c r="E1756" s="1">
        <v>74.400000000000006</v>
      </c>
      <c r="F1756" s="2">
        <v>45721</v>
      </c>
      <c r="G1756" s="2">
        <v>45724</v>
      </c>
      <c r="H1756" s="1" t="s">
        <v>8</v>
      </c>
      <c r="I1756" s="1" t="s">
        <v>3</v>
      </c>
      <c r="J1756" s="1">
        <v>4</v>
      </c>
      <c r="K1756" s="1" t="s">
        <v>4</v>
      </c>
      <c r="L1756" s="1" t="s">
        <v>47</v>
      </c>
      <c r="M1756" s="1">
        <f>[1]!orders[[#This Row],[Ship Date]]-[1]!orders[[#This Row],[Order Date]]</f>
        <v>3</v>
      </c>
      <c r="N1756" s="1">
        <f>WEEKNUM([1]!orders[[#This Row],[Order Date]])</f>
        <v>10</v>
      </c>
      <c r="O1756" t="str" cm="1">
        <f t="array" ref="O1756">_xlfn.IFS([1]!orders[[#This Row],[Customer Gender]]="M","Male", [1]!orders[[#This Row],[Customer Gender]]="F","Female", [1]!orders[[#This Row],[Customer Gender]]="O","Other", TRUE,"Unknown")</f>
        <v>Male</v>
      </c>
    </row>
    <row r="1757" spans="1:15" x14ac:dyDescent="0.25">
      <c r="A1757" t="s">
        <v>1841</v>
      </c>
      <c r="B1757" t="s">
        <v>66</v>
      </c>
      <c r="C1757">
        <v>3</v>
      </c>
      <c r="D1757">
        <v>50.8</v>
      </c>
      <c r="E1757">
        <v>152.39999999999998</v>
      </c>
      <c r="F1757" s="3">
        <v>45722</v>
      </c>
      <c r="G1757" s="3">
        <v>45722</v>
      </c>
      <c r="H1757" t="s">
        <v>12</v>
      </c>
      <c r="I1757" t="s">
        <v>55</v>
      </c>
      <c r="J1757">
        <v>4</v>
      </c>
      <c r="K1757" t="s">
        <v>4</v>
      </c>
      <c r="L1757" t="s">
        <v>88</v>
      </c>
      <c r="M1757">
        <f>[1]!orders[[#This Row],[Ship Date]]-[1]!orders[[#This Row],[Order Date]]</f>
        <v>0</v>
      </c>
      <c r="N1757">
        <f>WEEKNUM([1]!orders[[#This Row],[Order Date]])</f>
        <v>10</v>
      </c>
      <c r="O1757" t="str" cm="1">
        <f t="array" ref="O1757">_xlfn.IFS([1]!orders[[#This Row],[Customer Gender]]="M","Male", [1]!orders[[#This Row],[Customer Gender]]="F","Female", [1]!orders[[#This Row],[Customer Gender]]="O","Other", TRUE,"Unknown")</f>
        <v>Female</v>
      </c>
    </row>
    <row r="1758" spans="1:15" x14ac:dyDescent="0.25">
      <c r="A1758" s="1" t="s">
        <v>1842</v>
      </c>
      <c r="B1758" s="1" t="s">
        <v>31</v>
      </c>
      <c r="C1758" s="1">
        <v>1</v>
      </c>
      <c r="D1758" s="1">
        <v>76</v>
      </c>
      <c r="E1758" s="1">
        <v>76</v>
      </c>
      <c r="F1758" s="2">
        <v>45722</v>
      </c>
      <c r="G1758" s="2">
        <v>45726</v>
      </c>
      <c r="H1758" s="1" t="s">
        <v>74</v>
      </c>
      <c r="I1758" s="1" t="s">
        <v>25</v>
      </c>
      <c r="J1758" s="1">
        <v>5</v>
      </c>
      <c r="K1758" s="1" t="s">
        <v>4</v>
      </c>
      <c r="L1758" s="1" t="s">
        <v>88</v>
      </c>
      <c r="M1758" s="1">
        <f>[1]!orders[[#This Row],[Ship Date]]-[1]!orders[[#This Row],[Order Date]]</f>
        <v>4</v>
      </c>
      <c r="N1758" s="1">
        <f>WEEKNUM([1]!orders[[#This Row],[Order Date]])</f>
        <v>10</v>
      </c>
      <c r="O1758" t="str" cm="1">
        <f t="array" ref="O1758">_xlfn.IFS([1]!orders[[#This Row],[Customer Gender]]="M","Male", [1]!orders[[#This Row],[Customer Gender]]="F","Female", [1]!orders[[#This Row],[Customer Gender]]="O","Other", TRUE,"Unknown")</f>
        <v>Other</v>
      </c>
    </row>
    <row r="1759" spans="1:15" x14ac:dyDescent="0.25">
      <c r="A1759" t="s">
        <v>1843</v>
      </c>
      <c r="B1759" t="s">
        <v>7</v>
      </c>
      <c r="C1759">
        <v>2</v>
      </c>
      <c r="D1759">
        <v>51.9</v>
      </c>
      <c r="E1759">
        <v>103.8</v>
      </c>
      <c r="F1759" s="3">
        <v>45722</v>
      </c>
      <c r="G1759" s="3">
        <v>45723</v>
      </c>
      <c r="H1759" t="s">
        <v>8</v>
      </c>
      <c r="I1759" t="s">
        <v>20</v>
      </c>
      <c r="J1759">
        <v>5</v>
      </c>
      <c r="K1759" t="s">
        <v>4</v>
      </c>
      <c r="L1759" t="s">
        <v>186</v>
      </c>
      <c r="M1759">
        <f>[1]!orders[[#This Row],[Ship Date]]-[1]!orders[[#This Row],[Order Date]]</f>
        <v>1</v>
      </c>
      <c r="N1759">
        <f>WEEKNUM([1]!orders[[#This Row],[Order Date]])</f>
        <v>10</v>
      </c>
      <c r="O1759" t="str" cm="1">
        <f t="array" ref="O1759">_xlfn.IFS([1]!orders[[#This Row],[Customer Gender]]="M","Male", [1]!orders[[#This Row],[Customer Gender]]="F","Female", [1]!orders[[#This Row],[Customer Gender]]="O","Other", TRUE,"Unknown")</f>
        <v>Male</v>
      </c>
    </row>
    <row r="1760" spans="1:15" x14ac:dyDescent="0.25">
      <c r="A1760" s="1" t="s">
        <v>1844</v>
      </c>
      <c r="B1760" s="1" t="s">
        <v>11</v>
      </c>
      <c r="C1760" s="1">
        <v>2</v>
      </c>
      <c r="D1760" s="1">
        <v>93.4</v>
      </c>
      <c r="E1760" s="1">
        <v>186.8</v>
      </c>
      <c r="F1760" s="2">
        <v>45722</v>
      </c>
      <c r="G1760" s="2">
        <v>45729</v>
      </c>
      <c r="H1760" s="1" t="s">
        <v>8</v>
      </c>
      <c r="I1760" s="1" t="s">
        <v>3</v>
      </c>
      <c r="J1760" s="1">
        <v>1</v>
      </c>
      <c r="K1760" s="1" t="s">
        <v>4</v>
      </c>
      <c r="L1760" s="1" t="s">
        <v>62</v>
      </c>
      <c r="M1760" s="1">
        <f>[1]!orders[[#This Row],[Ship Date]]-[1]!orders[[#This Row],[Order Date]]</f>
        <v>7</v>
      </c>
      <c r="N1760" s="1">
        <f>WEEKNUM([1]!orders[[#This Row],[Order Date]])</f>
        <v>10</v>
      </c>
      <c r="O1760" t="str" cm="1">
        <f t="array" ref="O1760">_xlfn.IFS([1]!orders[[#This Row],[Customer Gender]]="M","Male", [1]!orders[[#This Row],[Customer Gender]]="F","Female", [1]!orders[[#This Row],[Customer Gender]]="O","Other", TRUE,"Unknown")</f>
        <v>Male</v>
      </c>
    </row>
    <row r="1761" spans="1:15" x14ac:dyDescent="0.25">
      <c r="A1761" t="s">
        <v>1845</v>
      </c>
      <c r="B1761" t="s">
        <v>27</v>
      </c>
      <c r="C1761">
        <v>6</v>
      </c>
      <c r="D1761">
        <v>30.8</v>
      </c>
      <c r="E1761">
        <v>184.8</v>
      </c>
      <c r="F1761" s="3">
        <v>45722</v>
      </c>
      <c r="G1761" s="3">
        <v>45725</v>
      </c>
      <c r="H1761" t="s">
        <v>12</v>
      </c>
      <c r="I1761" t="s">
        <v>20</v>
      </c>
      <c r="J1761">
        <v>4</v>
      </c>
      <c r="K1761" t="s">
        <v>4</v>
      </c>
      <c r="L1761" t="s">
        <v>62</v>
      </c>
      <c r="M1761">
        <f>[1]!orders[[#This Row],[Ship Date]]-[1]!orders[[#This Row],[Order Date]]</f>
        <v>3</v>
      </c>
      <c r="N1761">
        <f>WEEKNUM([1]!orders[[#This Row],[Order Date]])</f>
        <v>10</v>
      </c>
      <c r="O1761" t="str" cm="1">
        <f t="array" ref="O1761">_xlfn.IFS([1]!orders[[#This Row],[Customer Gender]]="M","Male", [1]!orders[[#This Row],[Customer Gender]]="F","Female", [1]!orders[[#This Row],[Customer Gender]]="O","Other", TRUE,"Unknown")</f>
        <v>Female</v>
      </c>
    </row>
    <row r="1762" spans="1:15" x14ac:dyDescent="0.25">
      <c r="A1762" s="1" t="s">
        <v>1846</v>
      </c>
      <c r="B1762" s="1" t="s">
        <v>11</v>
      </c>
      <c r="C1762" s="1">
        <v>1</v>
      </c>
      <c r="D1762" s="1">
        <v>143.19999999999999</v>
      </c>
      <c r="E1762" s="1">
        <v>143.19999999999999</v>
      </c>
      <c r="F1762" s="2">
        <v>45722</v>
      </c>
      <c r="G1762" s="2">
        <v>45725</v>
      </c>
      <c r="H1762" s="1" t="s">
        <v>8</v>
      </c>
      <c r="I1762" s="1" t="s">
        <v>25</v>
      </c>
      <c r="J1762" s="1">
        <v>4</v>
      </c>
      <c r="K1762" s="1" t="s">
        <v>4</v>
      </c>
      <c r="L1762" s="1" t="s">
        <v>62</v>
      </c>
      <c r="M1762" s="1">
        <f>[1]!orders[[#This Row],[Ship Date]]-[1]!orders[[#This Row],[Order Date]]</f>
        <v>3</v>
      </c>
      <c r="N1762" s="1">
        <f>WEEKNUM([1]!orders[[#This Row],[Order Date]])</f>
        <v>10</v>
      </c>
      <c r="O1762" t="str" cm="1">
        <f t="array" ref="O1762">_xlfn.IFS([1]!orders[[#This Row],[Customer Gender]]="M","Male", [1]!orders[[#This Row],[Customer Gender]]="F","Female", [1]!orders[[#This Row],[Customer Gender]]="O","Other", TRUE,"Unknown")</f>
        <v>Male</v>
      </c>
    </row>
    <row r="1763" spans="1:15" x14ac:dyDescent="0.25">
      <c r="A1763" t="s">
        <v>1847</v>
      </c>
      <c r="B1763" t="s">
        <v>24</v>
      </c>
      <c r="C1763">
        <v>11</v>
      </c>
      <c r="D1763">
        <v>40.4</v>
      </c>
      <c r="E1763">
        <v>444.4</v>
      </c>
      <c r="F1763" s="3">
        <v>45722</v>
      </c>
      <c r="G1763" s="3">
        <v>45724</v>
      </c>
      <c r="H1763" t="s">
        <v>8</v>
      </c>
      <c r="I1763" t="s">
        <v>25</v>
      </c>
      <c r="J1763">
        <v>5</v>
      </c>
      <c r="K1763" t="s">
        <v>4</v>
      </c>
      <c r="L1763" t="s">
        <v>93</v>
      </c>
      <c r="M1763">
        <f>[1]!orders[[#This Row],[Ship Date]]-[1]!orders[[#This Row],[Order Date]]</f>
        <v>2</v>
      </c>
      <c r="N1763">
        <f>WEEKNUM([1]!orders[[#This Row],[Order Date]])</f>
        <v>10</v>
      </c>
      <c r="O1763" t="str" cm="1">
        <f t="array" ref="O1763">_xlfn.IFS([1]!orders[[#This Row],[Customer Gender]]="M","Male", [1]!orders[[#This Row],[Customer Gender]]="F","Female", [1]!orders[[#This Row],[Customer Gender]]="O","Other", TRUE,"Unknown")</f>
        <v>Male</v>
      </c>
    </row>
    <row r="1764" spans="1:15" x14ac:dyDescent="0.25">
      <c r="A1764" s="1" t="s">
        <v>1848</v>
      </c>
      <c r="B1764" s="1" t="s">
        <v>11</v>
      </c>
      <c r="C1764" s="1">
        <v>19</v>
      </c>
      <c r="D1764" s="1">
        <v>131.5</v>
      </c>
      <c r="E1764" s="1">
        <v>2498.5</v>
      </c>
      <c r="F1764" s="2">
        <v>45722</v>
      </c>
      <c r="G1764" s="2">
        <v>45724</v>
      </c>
      <c r="H1764" s="1" t="s">
        <v>8</v>
      </c>
      <c r="I1764" s="1" t="s">
        <v>20</v>
      </c>
      <c r="J1764" s="1">
        <v>3</v>
      </c>
      <c r="K1764" s="1" t="s">
        <v>4</v>
      </c>
      <c r="L1764" s="1" t="s">
        <v>93</v>
      </c>
      <c r="M1764" s="1">
        <f>[1]!orders[[#This Row],[Ship Date]]-[1]!orders[[#This Row],[Order Date]]</f>
        <v>2</v>
      </c>
      <c r="N1764" s="1">
        <f>WEEKNUM([1]!orders[[#This Row],[Order Date]])</f>
        <v>10</v>
      </c>
      <c r="O1764" t="str" cm="1">
        <f t="array" ref="O1764">_xlfn.IFS([1]!orders[[#This Row],[Customer Gender]]="M","Male", [1]!orders[[#This Row],[Customer Gender]]="F","Female", [1]!orders[[#This Row],[Customer Gender]]="O","Other", TRUE,"Unknown")</f>
        <v>Male</v>
      </c>
    </row>
    <row r="1765" spans="1:15" x14ac:dyDescent="0.25">
      <c r="A1765" t="s">
        <v>1849</v>
      </c>
      <c r="B1765" t="s">
        <v>131</v>
      </c>
      <c r="C1765">
        <v>7</v>
      </c>
      <c r="D1765">
        <v>61.6</v>
      </c>
      <c r="E1765">
        <v>431.2</v>
      </c>
      <c r="F1765" s="3">
        <v>45722</v>
      </c>
      <c r="G1765" s="3">
        <v>45723</v>
      </c>
      <c r="H1765" t="s">
        <v>8</v>
      </c>
      <c r="I1765" t="s">
        <v>25</v>
      </c>
      <c r="J1765">
        <v>4</v>
      </c>
      <c r="K1765" t="s">
        <v>4</v>
      </c>
      <c r="L1765" t="s">
        <v>100</v>
      </c>
      <c r="M1765">
        <f>[1]!orders[[#This Row],[Ship Date]]-[1]!orders[[#This Row],[Order Date]]</f>
        <v>1</v>
      </c>
      <c r="N1765">
        <f>WEEKNUM([1]!orders[[#This Row],[Order Date]])</f>
        <v>10</v>
      </c>
      <c r="O1765" t="str" cm="1">
        <f t="array" ref="O1765">_xlfn.IFS([1]!orders[[#This Row],[Customer Gender]]="M","Male", [1]!orders[[#This Row],[Customer Gender]]="F","Female", [1]!orders[[#This Row],[Customer Gender]]="O","Other", TRUE,"Unknown")</f>
        <v>Male</v>
      </c>
    </row>
    <row r="1766" spans="1:15" x14ac:dyDescent="0.25">
      <c r="A1766" s="1" t="s">
        <v>1850</v>
      </c>
      <c r="B1766" s="1" t="s">
        <v>31</v>
      </c>
      <c r="C1766" s="1">
        <v>5</v>
      </c>
      <c r="D1766" s="1">
        <v>32.700000000000003</v>
      </c>
      <c r="E1766" s="1">
        <v>163.5</v>
      </c>
      <c r="F1766" s="2">
        <v>45722</v>
      </c>
      <c r="G1766" s="2">
        <v>45724</v>
      </c>
      <c r="H1766" s="1" t="s">
        <v>8</v>
      </c>
      <c r="I1766" s="1" t="s">
        <v>25</v>
      </c>
      <c r="J1766" s="1">
        <v>4</v>
      </c>
      <c r="K1766" s="1" t="s">
        <v>4</v>
      </c>
      <c r="L1766" s="1" t="s">
        <v>9</v>
      </c>
      <c r="M1766" s="1">
        <f>[1]!orders[[#This Row],[Ship Date]]-[1]!orders[[#This Row],[Order Date]]</f>
        <v>2</v>
      </c>
      <c r="N1766" s="1">
        <f>WEEKNUM([1]!orders[[#This Row],[Order Date]])</f>
        <v>10</v>
      </c>
      <c r="O1766" t="str" cm="1">
        <f t="array" ref="O1766">_xlfn.IFS([1]!orders[[#This Row],[Customer Gender]]="M","Male", [1]!orders[[#This Row],[Customer Gender]]="F","Female", [1]!orders[[#This Row],[Customer Gender]]="O","Other", TRUE,"Unknown")</f>
        <v>Male</v>
      </c>
    </row>
    <row r="1767" spans="1:15" x14ac:dyDescent="0.25">
      <c r="A1767" t="s">
        <v>1851</v>
      </c>
      <c r="B1767" t="s">
        <v>1</v>
      </c>
      <c r="C1767">
        <v>10</v>
      </c>
      <c r="D1767">
        <v>13.7</v>
      </c>
      <c r="E1767">
        <v>137</v>
      </c>
      <c r="F1767" s="3">
        <v>45722</v>
      </c>
      <c r="G1767" s="3">
        <v>45723</v>
      </c>
      <c r="H1767" t="s">
        <v>8</v>
      </c>
      <c r="I1767" t="s">
        <v>3</v>
      </c>
      <c r="J1767">
        <v>5</v>
      </c>
      <c r="K1767" t="s">
        <v>4</v>
      </c>
      <c r="L1767" t="s">
        <v>18</v>
      </c>
      <c r="M1767">
        <f>[1]!orders[[#This Row],[Ship Date]]-[1]!orders[[#This Row],[Order Date]]</f>
        <v>1</v>
      </c>
      <c r="N1767">
        <f>WEEKNUM([1]!orders[[#This Row],[Order Date]])</f>
        <v>10</v>
      </c>
      <c r="O1767" t="str" cm="1">
        <f t="array" ref="O1767">_xlfn.IFS([1]!orders[[#This Row],[Customer Gender]]="M","Male", [1]!orders[[#This Row],[Customer Gender]]="F","Female", [1]!orders[[#This Row],[Customer Gender]]="O","Other", TRUE,"Unknown")</f>
        <v>Male</v>
      </c>
    </row>
    <row r="1768" spans="1:15" x14ac:dyDescent="0.25">
      <c r="A1768" s="1" t="s">
        <v>1852</v>
      </c>
      <c r="B1768" s="1" t="s">
        <v>1</v>
      </c>
      <c r="C1768" s="1">
        <v>4</v>
      </c>
      <c r="D1768" s="1">
        <v>32.1</v>
      </c>
      <c r="E1768" s="1">
        <v>128.4</v>
      </c>
      <c r="F1768" s="2">
        <v>45722</v>
      </c>
      <c r="G1768" s="2">
        <v>45723</v>
      </c>
      <c r="H1768" s="1" t="s">
        <v>8</v>
      </c>
      <c r="I1768" s="1" t="s">
        <v>55</v>
      </c>
      <c r="J1768" s="1">
        <v>3</v>
      </c>
      <c r="K1768" s="1" t="s">
        <v>4</v>
      </c>
      <c r="L1768" s="1" t="s">
        <v>18</v>
      </c>
      <c r="M1768" s="1">
        <f>[1]!orders[[#This Row],[Ship Date]]-[1]!orders[[#This Row],[Order Date]]</f>
        <v>1</v>
      </c>
      <c r="N1768" s="1">
        <f>WEEKNUM([1]!orders[[#This Row],[Order Date]])</f>
        <v>10</v>
      </c>
      <c r="O1768" t="str" cm="1">
        <f t="array" ref="O1768">_xlfn.IFS([1]!orders[[#This Row],[Customer Gender]]="M","Male", [1]!orders[[#This Row],[Customer Gender]]="F","Female", [1]!orders[[#This Row],[Customer Gender]]="O","Other", TRUE,"Unknown")</f>
        <v>Male</v>
      </c>
    </row>
    <row r="1769" spans="1:15" x14ac:dyDescent="0.25">
      <c r="A1769" t="s">
        <v>1853</v>
      </c>
      <c r="B1769" t="s">
        <v>66</v>
      </c>
      <c r="C1769">
        <v>8</v>
      </c>
      <c r="D1769">
        <v>12</v>
      </c>
      <c r="E1769">
        <v>96</v>
      </c>
      <c r="F1769" s="3">
        <v>45722</v>
      </c>
      <c r="G1769" s="3">
        <v>45723</v>
      </c>
      <c r="H1769" t="s">
        <v>8</v>
      </c>
      <c r="I1769" t="s">
        <v>20</v>
      </c>
      <c r="J1769">
        <v>4</v>
      </c>
      <c r="K1769" t="s">
        <v>4</v>
      </c>
      <c r="L1769" t="s">
        <v>171</v>
      </c>
      <c r="M1769">
        <f>[1]!orders[[#This Row],[Ship Date]]-[1]!orders[[#This Row],[Order Date]]</f>
        <v>1</v>
      </c>
      <c r="N1769">
        <f>WEEKNUM([1]!orders[[#This Row],[Order Date]])</f>
        <v>10</v>
      </c>
      <c r="O1769" t="str" cm="1">
        <f t="array" ref="O1769">_xlfn.IFS([1]!orders[[#This Row],[Customer Gender]]="M","Male", [1]!orders[[#This Row],[Customer Gender]]="F","Female", [1]!orders[[#This Row],[Customer Gender]]="O","Other", TRUE,"Unknown")</f>
        <v>Male</v>
      </c>
    </row>
    <row r="1770" spans="1:15" x14ac:dyDescent="0.25">
      <c r="A1770" s="1" t="s">
        <v>1854</v>
      </c>
      <c r="B1770" s="1" t="s">
        <v>54</v>
      </c>
      <c r="C1770" s="1">
        <v>1</v>
      </c>
      <c r="D1770" s="1">
        <v>64.3</v>
      </c>
      <c r="E1770" s="1">
        <v>64.3</v>
      </c>
      <c r="F1770" s="2">
        <v>45722</v>
      </c>
      <c r="G1770" s="2">
        <v>45724</v>
      </c>
      <c r="H1770" s="1" t="s">
        <v>12</v>
      </c>
      <c r="I1770" s="1" t="s">
        <v>25</v>
      </c>
      <c r="J1770" s="1">
        <v>5</v>
      </c>
      <c r="K1770" s="1" t="s">
        <v>4</v>
      </c>
      <c r="L1770" s="1" t="s">
        <v>40</v>
      </c>
      <c r="M1770" s="1">
        <f>[1]!orders[[#This Row],[Ship Date]]-[1]!orders[[#This Row],[Order Date]]</f>
        <v>2</v>
      </c>
      <c r="N1770" s="1">
        <f>WEEKNUM([1]!orders[[#This Row],[Order Date]])</f>
        <v>10</v>
      </c>
      <c r="O1770" t="str" cm="1">
        <f t="array" ref="O1770">_xlfn.IFS([1]!orders[[#This Row],[Customer Gender]]="M","Male", [1]!orders[[#This Row],[Customer Gender]]="F","Female", [1]!orders[[#This Row],[Customer Gender]]="O","Other", TRUE,"Unknown")</f>
        <v>Female</v>
      </c>
    </row>
    <row r="1771" spans="1:15" x14ac:dyDescent="0.25">
      <c r="A1771" t="s">
        <v>1855</v>
      </c>
      <c r="B1771" t="s">
        <v>7</v>
      </c>
      <c r="C1771">
        <v>3</v>
      </c>
      <c r="D1771">
        <v>58.2</v>
      </c>
      <c r="E1771">
        <v>174.60000000000002</v>
      </c>
      <c r="F1771" s="3">
        <v>45722</v>
      </c>
      <c r="G1771" s="3">
        <v>45724</v>
      </c>
      <c r="H1771" t="s">
        <v>12</v>
      </c>
      <c r="I1771" t="s">
        <v>20</v>
      </c>
      <c r="J1771">
        <v>5</v>
      </c>
      <c r="K1771" t="s">
        <v>4</v>
      </c>
      <c r="L1771" t="s">
        <v>40</v>
      </c>
      <c r="M1771">
        <f>[1]!orders[[#This Row],[Ship Date]]-[1]!orders[[#This Row],[Order Date]]</f>
        <v>2</v>
      </c>
      <c r="N1771">
        <f>WEEKNUM([1]!orders[[#This Row],[Order Date]])</f>
        <v>10</v>
      </c>
      <c r="O1771" t="str" cm="1">
        <f t="array" ref="O1771">_xlfn.IFS([1]!orders[[#This Row],[Customer Gender]]="M","Male", [1]!orders[[#This Row],[Customer Gender]]="F","Female", [1]!orders[[#This Row],[Customer Gender]]="O","Other", TRUE,"Unknown")</f>
        <v>Female</v>
      </c>
    </row>
    <row r="1772" spans="1:15" x14ac:dyDescent="0.25">
      <c r="A1772" s="1" t="s">
        <v>1856</v>
      </c>
      <c r="B1772" s="1" t="s">
        <v>24</v>
      </c>
      <c r="C1772" s="1">
        <v>4</v>
      </c>
      <c r="D1772" s="1">
        <v>59.2</v>
      </c>
      <c r="E1772" s="1">
        <v>236.8</v>
      </c>
      <c r="F1772" s="2">
        <v>45722</v>
      </c>
      <c r="G1772" s="2">
        <v>45722</v>
      </c>
      <c r="H1772" s="1" t="s">
        <v>8</v>
      </c>
      <c r="I1772" s="1" t="s">
        <v>20</v>
      </c>
      <c r="J1772" s="1">
        <v>5</v>
      </c>
      <c r="K1772" s="1" t="s">
        <v>4</v>
      </c>
      <c r="L1772" s="1" t="s">
        <v>40</v>
      </c>
      <c r="M1772" s="1">
        <f>[1]!orders[[#This Row],[Ship Date]]-[1]!orders[[#This Row],[Order Date]]</f>
        <v>0</v>
      </c>
      <c r="N1772" s="1">
        <f>WEEKNUM([1]!orders[[#This Row],[Order Date]])</f>
        <v>10</v>
      </c>
      <c r="O1772" t="str" cm="1">
        <f t="array" ref="O1772">_xlfn.IFS([1]!orders[[#This Row],[Customer Gender]]="M","Male", [1]!orders[[#This Row],[Customer Gender]]="F","Female", [1]!orders[[#This Row],[Customer Gender]]="O","Other", TRUE,"Unknown")</f>
        <v>Male</v>
      </c>
    </row>
    <row r="1773" spans="1:15" x14ac:dyDescent="0.25">
      <c r="A1773" t="s">
        <v>1857</v>
      </c>
      <c r="B1773" t="s">
        <v>39</v>
      </c>
      <c r="C1773">
        <v>11</v>
      </c>
      <c r="D1773">
        <v>35.6</v>
      </c>
      <c r="E1773">
        <v>391.6</v>
      </c>
      <c r="F1773" s="3">
        <v>45722</v>
      </c>
      <c r="G1773" s="3">
        <v>45729</v>
      </c>
      <c r="H1773" t="s">
        <v>8</v>
      </c>
      <c r="I1773" t="s">
        <v>3</v>
      </c>
      <c r="J1773">
        <v>5</v>
      </c>
      <c r="K1773" t="s">
        <v>4</v>
      </c>
      <c r="L1773" t="s">
        <v>47</v>
      </c>
      <c r="M1773">
        <f>[1]!orders[[#This Row],[Ship Date]]-[1]!orders[[#This Row],[Order Date]]</f>
        <v>7</v>
      </c>
      <c r="N1773">
        <f>WEEKNUM([1]!orders[[#This Row],[Order Date]])</f>
        <v>10</v>
      </c>
      <c r="O1773" t="str" cm="1">
        <f t="array" ref="O1773">_xlfn.IFS([1]!orders[[#This Row],[Customer Gender]]="M","Male", [1]!orders[[#This Row],[Customer Gender]]="F","Female", [1]!orders[[#This Row],[Customer Gender]]="O","Other", TRUE,"Unknown")</f>
        <v>Male</v>
      </c>
    </row>
    <row r="1774" spans="1:15" x14ac:dyDescent="0.25">
      <c r="A1774" s="1" t="s">
        <v>1858</v>
      </c>
      <c r="B1774" s="1" t="s">
        <v>113</v>
      </c>
      <c r="C1774" s="1">
        <v>8</v>
      </c>
      <c r="D1774" s="1">
        <v>37</v>
      </c>
      <c r="E1774" s="1">
        <v>296</v>
      </c>
      <c r="F1774" s="2">
        <v>45722</v>
      </c>
      <c r="G1774" s="2">
        <v>45726</v>
      </c>
      <c r="H1774" s="1" t="s">
        <v>12</v>
      </c>
      <c r="I1774" s="1" t="s">
        <v>25</v>
      </c>
      <c r="J1774" s="1">
        <v>3</v>
      </c>
      <c r="K1774" s="1" t="s">
        <v>4</v>
      </c>
      <c r="L1774" s="1" t="s">
        <v>47</v>
      </c>
      <c r="M1774" s="1">
        <f>[1]!orders[[#This Row],[Ship Date]]-[1]!orders[[#This Row],[Order Date]]</f>
        <v>4</v>
      </c>
      <c r="N1774" s="1">
        <f>WEEKNUM([1]!orders[[#This Row],[Order Date]])</f>
        <v>10</v>
      </c>
      <c r="O1774" t="str" cm="1">
        <f t="array" ref="O1774">_xlfn.IFS([1]!orders[[#This Row],[Customer Gender]]="M","Male", [1]!orders[[#This Row],[Customer Gender]]="F","Female", [1]!orders[[#This Row],[Customer Gender]]="O","Other", TRUE,"Unknown")</f>
        <v>Female</v>
      </c>
    </row>
    <row r="1775" spans="1:15" x14ac:dyDescent="0.25">
      <c r="A1775" t="s">
        <v>1859</v>
      </c>
      <c r="B1775" t="s">
        <v>7</v>
      </c>
      <c r="C1775">
        <v>13</v>
      </c>
      <c r="D1775">
        <v>80.8</v>
      </c>
      <c r="E1775">
        <v>1050.3999999999999</v>
      </c>
      <c r="F1775" s="3">
        <v>45722</v>
      </c>
      <c r="G1775" s="3">
        <v>45724</v>
      </c>
      <c r="H1775" t="s">
        <v>12</v>
      </c>
      <c r="I1775" t="s">
        <v>3</v>
      </c>
      <c r="J1775">
        <v>4</v>
      </c>
      <c r="K1775" t="s">
        <v>4</v>
      </c>
      <c r="L1775" t="s">
        <v>47</v>
      </c>
      <c r="M1775">
        <f>[1]!orders[[#This Row],[Ship Date]]-[1]!orders[[#This Row],[Order Date]]</f>
        <v>2</v>
      </c>
      <c r="N1775">
        <f>WEEKNUM([1]!orders[[#This Row],[Order Date]])</f>
        <v>10</v>
      </c>
      <c r="O1775" t="str" cm="1">
        <f t="array" ref="O1775">_xlfn.IFS([1]!orders[[#This Row],[Customer Gender]]="M","Male", [1]!orders[[#This Row],[Customer Gender]]="F","Female", [1]!orders[[#This Row],[Customer Gender]]="O","Other", TRUE,"Unknown")</f>
        <v>Female</v>
      </c>
    </row>
    <row r="1776" spans="1:15" x14ac:dyDescent="0.25">
      <c r="A1776" s="1" t="s">
        <v>1860</v>
      </c>
      <c r="B1776" s="1" t="s">
        <v>29</v>
      </c>
      <c r="C1776" s="1">
        <v>2</v>
      </c>
      <c r="D1776" s="1">
        <v>63.2</v>
      </c>
      <c r="E1776" s="1">
        <v>126.4</v>
      </c>
      <c r="F1776" s="2">
        <v>45722</v>
      </c>
      <c r="G1776" s="2">
        <v>45723</v>
      </c>
      <c r="H1776" s="1" t="s">
        <v>8</v>
      </c>
      <c r="I1776" s="1" t="s">
        <v>3</v>
      </c>
      <c r="J1776" s="1">
        <v>3</v>
      </c>
      <c r="K1776" s="1" t="s">
        <v>4</v>
      </c>
      <c r="L1776" s="1" t="s">
        <v>47</v>
      </c>
      <c r="M1776" s="1">
        <f>[1]!orders[[#This Row],[Ship Date]]-[1]!orders[[#This Row],[Order Date]]</f>
        <v>1</v>
      </c>
      <c r="N1776" s="1">
        <f>WEEKNUM([1]!orders[[#This Row],[Order Date]])</f>
        <v>10</v>
      </c>
      <c r="O1776" t="str" cm="1">
        <f t="array" ref="O1776">_xlfn.IFS([1]!orders[[#This Row],[Customer Gender]]="M","Male", [1]!orders[[#This Row],[Customer Gender]]="F","Female", [1]!orders[[#This Row],[Customer Gender]]="O","Other", TRUE,"Unknown")</f>
        <v>Male</v>
      </c>
    </row>
    <row r="1777" spans="1:15" x14ac:dyDescent="0.25">
      <c r="A1777" t="s">
        <v>1861</v>
      </c>
      <c r="B1777" t="s">
        <v>15</v>
      </c>
      <c r="C1777">
        <v>2</v>
      </c>
      <c r="D1777">
        <v>40.799999999999997</v>
      </c>
      <c r="E1777">
        <v>81.599999999999994</v>
      </c>
      <c r="F1777" s="3">
        <v>45722</v>
      </c>
      <c r="G1777" s="3">
        <v>45724</v>
      </c>
      <c r="H1777" t="s">
        <v>8</v>
      </c>
      <c r="I1777" t="s">
        <v>3</v>
      </c>
      <c r="J1777">
        <v>3</v>
      </c>
      <c r="K1777" t="s">
        <v>4</v>
      </c>
      <c r="L1777" t="s">
        <v>88</v>
      </c>
      <c r="M1777">
        <f>[1]!orders[[#This Row],[Ship Date]]-[1]!orders[[#This Row],[Order Date]]</f>
        <v>2</v>
      </c>
      <c r="N1777">
        <f>WEEKNUM([1]!orders[[#This Row],[Order Date]])</f>
        <v>10</v>
      </c>
      <c r="O1777" t="str" cm="1">
        <f t="array" ref="O1777">_xlfn.IFS([1]!orders[[#This Row],[Customer Gender]]="M","Male", [1]!orders[[#This Row],[Customer Gender]]="F","Female", [1]!orders[[#This Row],[Customer Gender]]="O","Other", TRUE,"Unknown")</f>
        <v>Male</v>
      </c>
    </row>
    <row r="1778" spans="1:15" x14ac:dyDescent="0.25">
      <c r="A1778" s="1" t="s">
        <v>1862</v>
      </c>
      <c r="B1778" s="1" t="s">
        <v>61</v>
      </c>
      <c r="C1778" s="1">
        <v>6</v>
      </c>
      <c r="D1778" s="1">
        <v>25.7</v>
      </c>
      <c r="E1778" s="1">
        <v>154.19999999999999</v>
      </c>
      <c r="F1778" s="2">
        <v>45722</v>
      </c>
      <c r="G1778" s="2">
        <v>45724</v>
      </c>
      <c r="H1778" s="1" t="s">
        <v>8</v>
      </c>
      <c r="I1778" s="1" t="s">
        <v>55</v>
      </c>
      <c r="J1778" s="1">
        <v>4</v>
      </c>
      <c r="K1778" s="1" t="s">
        <v>4</v>
      </c>
      <c r="L1778" s="1" t="s">
        <v>93</v>
      </c>
      <c r="M1778" s="1">
        <f>[1]!orders[[#This Row],[Ship Date]]-[1]!orders[[#This Row],[Order Date]]</f>
        <v>2</v>
      </c>
      <c r="N1778" s="1">
        <f>WEEKNUM([1]!orders[[#This Row],[Order Date]])</f>
        <v>10</v>
      </c>
      <c r="O1778" t="str" cm="1">
        <f t="array" ref="O1778">_xlfn.IFS([1]!orders[[#This Row],[Customer Gender]]="M","Male", [1]!orders[[#This Row],[Customer Gender]]="F","Female", [1]!orders[[#This Row],[Customer Gender]]="O","Other", TRUE,"Unknown")</f>
        <v>Male</v>
      </c>
    </row>
    <row r="1779" spans="1:15" x14ac:dyDescent="0.25">
      <c r="A1779" t="s">
        <v>1863</v>
      </c>
      <c r="B1779" t="s">
        <v>113</v>
      </c>
      <c r="C1779">
        <v>2</v>
      </c>
      <c r="D1779">
        <v>49.9</v>
      </c>
      <c r="E1779">
        <v>99.8</v>
      </c>
      <c r="F1779" s="3">
        <v>45722</v>
      </c>
      <c r="G1779" s="3">
        <v>45725</v>
      </c>
      <c r="H1779" t="s">
        <v>8</v>
      </c>
      <c r="I1779" t="s">
        <v>3</v>
      </c>
      <c r="J1779">
        <v>4</v>
      </c>
      <c r="K1779" t="s">
        <v>4</v>
      </c>
      <c r="L1779" t="s">
        <v>98</v>
      </c>
      <c r="M1779">
        <f>[1]!orders[[#This Row],[Ship Date]]-[1]!orders[[#This Row],[Order Date]]</f>
        <v>3</v>
      </c>
      <c r="N1779">
        <f>WEEKNUM([1]!orders[[#This Row],[Order Date]])</f>
        <v>10</v>
      </c>
      <c r="O1779" t="str" cm="1">
        <f t="array" ref="O1779">_xlfn.IFS([1]!orders[[#This Row],[Customer Gender]]="M","Male", [1]!orders[[#This Row],[Customer Gender]]="F","Female", [1]!orders[[#This Row],[Customer Gender]]="O","Other", TRUE,"Unknown")</f>
        <v>Male</v>
      </c>
    </row>
    <row r="1780" spans="1:15" x14ac:dyDescent="0.25">
      <c r="A1780" s="1" t="s">
        <v>1864</v>
      </c>
      <c r="B1780" s="1" t="s">
        <v>29</v>
      </c>
      <c r="C1780" s="1">
        <v>2</v>
      </c>
      <c r="D1780" s="1">
        <v>20.2</v>
      </c>
      <c r="E1780" s="1">
        <v>40.4</v>
      </c>
      <c r="F1780" s="2">
        <v>45722</v>
      </c>
      <c r="G1780" s="2">
        <v>45724</v>
      </c>
      <c r="H1780" s="1" t="s">
        <v>12</v>
      </c>
      <c r="I1780" s="1" t="s">
        <v>36</v>
      </c>
      <c r="J1780" s="1">
        <v>4</v>
      </c>
      <c r="K1780" s="1" t="s">
        <v>4</v>
      </c>
      <c r="L1780" s="1" t="s">
        <v>100</v>
      </c>
      <c r="M1780" s="1">
        <f>[1]!orders[[#This Row],[Ship Date]]-[1]!orders[[#This Row],[Order Date]]</f>
        <v>2</v>
      </c>
      <c r="N1780" s="1">
        <f>WEEKNUM([1]!orders[[#This Row],[Order Date]])</f>
        <v>10</v>
      </c>
      <c r="O1780" t="str" cm="1">
        <f t="array" ref="O1780">_xlfn.IFS([1]!orders[[#This Row],[Customer Gender]]="M","Male", [1]!orders[[#This Row],[Customer Gender]]="F","Female", [1]!orders[[#This Row],[Customer Gender]]="O","Other", TRUE,"Unknown")</f>
        <v>Female</v>
      </c>
    </row>
    <row r="1781" spans="1:15" x14ac:dyDescent="0.25">
      <c r="A1781" t="s">
        <v>1865</v>
      </c>
      <c r="B1781" t="s">
        <v>24</v>
      </c>
      <c r="C1781">
        <v>3</v>
      </c>
      <c r="D1781">
        <v>48.4</v>
      </c>
      <c r="E1781">
        <v>145.19999999999999</v>
      </c>
      <c r="F1781" s="3">
        <v>45722</v>
      </c>
      <c r="G1781" s="3">
        <v>45727</v>
      </c>
      <c r="H1781" t="s">
        <v>12</v>
      </c>
      <c r="I1781" t="s">
        <v>3</v>
      </c>
      <c r="J1781">
        <v>5</v>
      </c>
      <c r="K1781" t="s">
        <v>4</v>
      </c>
      <c r="L1781" t="s">
        <v>100</v>
      </c>
      <c r="M1781">
        <f>[1]!orders[[#This Row],[Ship Date]]-[1]!orders[[#This Row],[Order Date]]</f>
        <v>5</v>
      </c>
      <c r="N1781">
        <f>WEEKNUM([1]!orders[[#This Row],[Order Date]])</f>
        <v>10</v>
      </c>
      <c r="O1781" t="str" cm="1">
        <f t="array" ref="O1781">_xlfn.IFS([1]!orders[[#This Row],[Customer Gender]]="M","Male", [1]!orders[[#This Row],[Customer Gender]]="F","Female", [1]!orders[[#This Row],[Customer Gender]]="O","Other", TRUE,"Unknown")</f>
        <v>Female</v>
      </c>
    </row>
    <row r="1782" spans="1:15" x14ac:dyDescent="0.25">
      <c r="A1782" s="1" t="s">
        <v>1866</v>
      </c>
      <c r="B1782" s="1" t="s">
        <v>24</v>
      </c>
      <c r="C1782" s="1">
        <v>2</v>
      </c>
      <c r="D1782" s="1">
        <v>81</v>
      </c>
      <c r="E1782" s="1">
        <v>162</v>
      </c>
      <c r="F1782" s="2">
        <v>45722</v>
      </c>
      <c r="G1782" s="2">
        <v>45723</v>
      </c>
      <c r="H1782" s="1" t="s">
        <v>12</v>
      </c>
      <c r="I1782" s="1" t="s">
        <v>20</v>
      </c>
      <c r="J1782" s="1">
        <v>5</v>
      </c>
      <c r="K1782" s="1" t="s">
        <v>4</v>
      </c>
      <c r="L1782" s="1" t="s">
        <v>100</v>
      </c>
      <c r="M1782" s="1">
        <f>[1]!orders[[#This Row],[Ship Date]]-[1]!orders[[#This Row],[Order Date]]</f>
        <v>1</v>
      </c>
      <c r="N1782" s="1">
        <f>WEEKNUM([1]!orders[[#This Row],[Order Date]])</f>
        <v>10</v>
      </c>
      <c r="O1782" t="str" cm="1">
        <f t="array" ref="O1782">_xlfn.IFS([1]!orders[[#This Row],[Customer Gender]]="M","Male", [1]!orders[[#This Row],[Customer Gender]]="F","Female", [1]!orders[[#This Row],[Customer Gender]]="O","Other", TRUE,"Unknown")</f>
        <v>Female</v>
      </c>
    </row>
    <row r="1783" spans="1:15" x14ac:dyDescent="0.25">
      <c r="A1783" t="s">
        <v>1867</v>
      </c>
      <c r="B1783" t="s">
        <v>29</v>
      </c>
      <c r="C1783">
        <v>6</v>
      </c>
      <c r="D1783">
        <v>19.899999999999999</v>
      </c>
      <c r="E1783">
        <v>119.39999999999999</v>
      </c>
      <c r="F1783" s="3">
        <v>45722</v>
      </c>
      <c r="G1783" s="3">
        <v>45725</v>
      </c>
      <c r="H1783" t="s">
        <v>12</v>
      </c>
      <c r="I1783" t="s">
        <v>3</v>
      </c>
      <c r="J1783">
        <v>3</v>
      </c>
      <c r="K1783" t="s">
        <v>4</v>
      </c>
      <c r="L1783" t="s">
        <v>132</v>
      </c>
      <c r="M1783">
        <f>[1]!orders[[#This Row],[Ship Date]]-[1]!orders[[#This Row],[Order Date]]</f>
        <v>3</v>
      </c>
      <c r="N1783">
        <f>WEEKNUM([1]!orders[[#This Row],[Order Date]])</f>
        <v>10</v>
      </c>
      <c r="O1783" t="str" cm="1">
        <f t="array" ref="O1783">_xlfn.IFS([1]!orders[[#This Row],[Customer Gender]]="M","Male", [1]!orders[[#This Row],[Customer Gender]]="F","Female", [1]!orders[[#This Row],[Customer Gender]]="O","Other", TRUE,"Unknown")</f>
        <v>Female</v>
      </c>
    </row>
    <row r="1784" spans="1:15" x14ac:dyDescent="0.25">
      <c r="A1784" s="1" t="s">
        <v>1868</v>
      </c>
      <c r="B1784" s="1" t="s">
        <v>17</v>
      </c>
      <c r="C1784" s="1">
        <v>4</v>
      </c>
      <c r="D1784" s="1">
        <v>32.200000000000003</v>
      </c>
      <c r="E1784" s="1">
        <v>128.80000000000001</v>
      </c>
      <c r="F1784" s="2">
        <v>45722</v>
      </c>
      <c r="G1784" s="2">
        <v>45732</v>
      </c>
      <c r="H1784" s="1" t="s">
        <v>8</v>
      </c>
      <c r="I1784" s="1" t="s">
        <v>3</v>
      </c>
      <c r="J1784" s="1">
        <v>4</v>
      </c>
      <c r="K1784" s="1" t="s">
        <v>4</v>
      </c>
      <c r="L1784" s="1" t="s">
        <v>132</v>
      </c>
      <c r="M1784" s="1">
        <f>[1]!orders[[#This Row],[Ship Date]]-[1]!orders[[#This Row],[Order Date]]</f>
        <v>10</v>
      </c>
      <c r="N1784" s="1">
        <f>WEEKNUM([1]!orders[[#This Row],[Order Date]])</f>
        <v>10</v>
      </c>
      <c r="O1784" t="str" cm="1">
        <f t="array" ref="O1784">_xlfn.IFS([1]!orders[[#This Row],[Customer Gender]]="M","Male", [1]!orders[[#This Row],[Customer Gender]]="F","Female", [1]!orders[[#This Row],[Customer Gender]]="O","Other", TRUE,"Unknown")</f>
        <v>Male</v>
      </c>
    </row>
    <row r="1785" spans="1:15" x14ac:dyDescent="0.25">
      <c r="A1785" t="s">
        <v>1869</v>
      </c>
      <c r="B1785" t="s">
        <v>22</v>
      </c>
      <c r="C1785">
        <v>3</v>
      </c>
      <c r="D1785">
        <v>76.8</v>
      </c>
      <c r="E1785">
        <v>230.39999999999998</v>
      </c>
      <c r="F1785" s="3">
        <v>45722</v>
      </c>
      <c r="G1785" s="3">
        <v>45723</v>
      </c>
      <c r="H1785" t="s">
        <v>12</v>
      </c>
      <c r="I1785" t="s">
        <v>3</v>
      </c>
      <c r="J1785">
        <v>3</v>
      </c>
      <c r="K1785" t="s">
        <v>4</v>
      </c>
      <c r="L1785" t="s">
        <v>18</v>
      </c>
      <c r="M1785">
        <f>[1]!orders[[#This Row],[Ship Date]]-[1]!orders[[#This Row],[Order Date]]</f>
        <v>1</v>
      </c>
      <c r="N1785">
        <f>WEEKNUM([1]!orders[[#This Row],[Order Date]])</f>
        <v>10</v>
      </c>
      <c r="O1785" t="str" cm="1">
        <f t="array" ref="O1785">_xlfn.IFS([1]!orders[[#This Row],[Customer Gender]]="M","Male", [1]!orders[[#This Row],[Customer Gender]]="F","Female", [1]!orders[[#This Row],[Customer Gender]]="O","Other", TRUE,"Unknown")</f>
        <v>Female</v>
      </c>
    </row>
    <row r="1786" spans="1:15" x14ac:dyDescent="0.25">
      <c r="A1786" s="1" t="s">
        <v>1870</v>
      </c>
      <c r="B1786" s="1" t="s">
        <v>24</v>
      </c>
      <c r="C1786" s="1">
        <v>2</v>
      </c>
      <c r="D1786" s="1">
        <v>41.9</v>
      </c>
      <c r="E1786" s="1">
        <v>83.8</v>
      </c>
      <c r="F1786" s="2">
        <v>45722</v>
      </c>
      <c r="G1786" s="2">
        <v>45724</v>
      </c>
      <c r="H1786" s="1" t="s">
        <v>12</v>
      </c>
      <c r="I1786" s="1" t="s">
        <v>3</v>
      </c>
      <c r="J1786" s="1">
        <v>4</v>
      </c>
      <c r="K1786" s="1" t="s">
        <v>4</v>
      </c>
      <c r="L1786" s="1" t="s">
        <v>18</v>
      </c>
      <c r="M1786" s="1">
        <f>[1]!orders[[#This Row],[Ship Date]]-[1]!orders[[#This Row],[Order Date]]</f>
        <v>2</v>
      </c>
      <c r="N1786" s="1">
        <f>WEEKNUM([1]!orders[[#This Row],[Order Date]])</f>
        <v>10</v>
      </c>
      <c r="O1786" t="str" cm="1">
        <f t="array" ref="O1786">_xlfn.IFS([1]!orders[[#This Row],[Customer Gender]]="M","Male", [1]!orders[[#This Row],[Customer Gender]]="F","Female", [1]!orders[[#This Row],[Customer Gender]]="O","Other", TRUE,"Unknown")</f>
        <v>Female</v>
      </c>
    </row>
    <row r="1787" spans="1:15" x14ac:dyDescent="0.25">
      <c r="A1787" t="s">
        <v>1871</v>
      </c>
      <c r="B1787" t="s">
        <v>1</v>
      </c>
      <c r="C1787">
        <v>7</v>
      </c>
      <c r="D1787">
        <v>34</v>
      </c>
      <c r="E1787">
        <v>238</v>
      </c>
      <c r="F1787" s="3">
        <v>45722</v>
      </c>
      <c r="G1787" s="3">
        <v>45724</v>
      </c>
      <c r="H1787" t="s">
        <v>12</v>
      </c>
      <c r="I1787" t="s">
        <v>20</v>
      </c>
      <c r="J1787">
        <v>5</v>
      </c>
      <c r="K1787" t="s">
        <v>4</v>
      </c>
      <c r="L1787" t="s">
        <v>18</v>
      </c>
      <c r="M1787">
        <f>[1]!orders[[#This Row],[Ship Date]]-[1]!orders[[#This Row],[Order Date]]</f>
        <v>2</v>
      </c>
      <c r="N1787">
        <f>WEEKNUM([1]!orders[[#This Row],[Order Date]])</f>
        <v>10</v>
      </c>
      <c r="O1787" t="str" cm="1">
        <f t="array" ref="O1787">_xlfn.IFS([1]!orders[[#This Row],[Customer Gender]]="M","Male", [1]!orders[[#This Row],[Customer Gender]]="F","Female", [1]!orders[[#This Row],[Customer Gender]]="O","Other", TRUE,"Unknown")</f>
        <v>Female</v>
      </c>
    </row>
    <row r="1788" spans="1:15" x14ac:dyDescent="0.25">
      <c r="A1788" s="1" t="s">
        <v>1872</v>
      </c>
      <c r="B1788" s="1" t="s">
        <v>27</v>
      </c>
      <c r="C1788" s="1">
        <v>7</v>
      </c>
      <c r="D1788" s="1">
        <v>61.3</v>
      </c>
      <c r="E1788" s="1">
        <v>429.09999999999997</v>
      </c>
      <c r="F1788" s="2">
        <v>45722</v>
      </c>
      <c r="G1788" s="2">
        <v>45722</v>
      </c>
      <c r="H1788" s="1" t="s">
        <v>12</v>
      </c>
      <c r="I1788" s="1" t="s">
        <v>55</v>
      </c>
      <c r="J1788" s="1">
        <v>5</v>
      </c>
      <c r="K1788" s="1" t="s">
        <v>4</v>
      </c>
      <c r="L1788" s="1" t="s">
        <v>18</v>
      </c>
      <c r="M1788" s="1">
        <f>[1]!orders[[#This Row],[Ship Date]]-[1]!orders[[#This Row],[Order Date]]</f>
        <v>0</v>
      </c>
      <c r="N1788" s="1">
        <f>WEEKNUM([1]!orders[[#This Row],[Order Date]])</f>
        <v>10</v>
      </c>
      <c r="O1788" t="str" cm="1">
        <f t="array" ref="O1788">_xlfn.IFS([1]!orders[[#This Row],[Customer Gender]]="M","Male", [1]!orders[[#This Row],[Customer Gender]]="F","Female", [1]!orders[[#This Row],[Customer Gender]]="O","Other", TRUE,"Unknown")</f>
        <v>Female</v>
      </c>
    </row>
    <row r="1789" spans="1:15" x14ac:dyDescent="0.25">
      <c r="A1789" t="s">
        <v>1873</v>
      </c>
      <c r="B1789" t="s">
        <v>31</v>
      </c>
      <c r="C1789">
        <v>1</v>
      </c>
      <c r="D1789">
        <v>54.7</v>
      </c>
      <c r="E1789">
        <v>54.7</v>
      </c>
      <c r="F1789" s="3">
        <v>45723</v>
      </c>
      <c r="G1789" s="3">
        <v>45724</v>
      </c>
      <c r="H1789" t="s">
        <v>8</v>
      </c>
      <c r="I1789" t="s">
        <v>3</v>
      </c>
      <c r="J1789">
        <v>3</v>
      </c>
      <c r="K1789" t="s">
        <v>4</v>
      </c>
      <c r="L1789" t="s">
        <v>18</v>
      </c>
      <c r="M1789">
        <f>[1]!orders[[#This Row],[Ship Date]]-[1]!orders[[#This Row],[Order Date]]</f>
        <v>1</v>
      </c>
      <c r="N1789">
        <f>WEEKNUM([1]!orders[[#This Row],[Order Date]])</f>
        <v>10</v>
      </c>
      <c r="O1789" t="str" cm="1">
        <f t="array" ref="O1789">_xlfn.IFS([1]!orders[[#This Row],[Customer Gender]]="M","Male", [1]!orders[[#This Row],[Customer Gender]]="F","Female", [1]!orders[[#This Row],[Customer Gender]]="O","Other", TRUE,"Unknown")</f>
        <v>Male</v>
      </c>
    </row>
    <row r="1790" spans="1:15" x14ac:dyDescent="0.25">
      <c r="A1790" s="1" t="s">
        <v>1874</v>
      </c>
      <c r="B1790" s="1" t="s">
        <v>24</v>
      </c>
      <c r="C1790" s="1">
        <v>10</v>
      </c>
      <c r="D1790" s="1">
        <v>84.7</v>
      </c>
      <c r="E1790" s="1">
        <v>847</v>
      </c>
      <c r="F1790" s="2">
        <v>45723</v>
      </c>
      <c r="G1790" s="2">
        <v>45727</v>
      </c>
      <c r="H1790" s="1" t="s">
        <v>12</v>
      </c>
      <c r="I1790" s="1" t="s">
        <v>3</v>
      </c>
      <c r="J1790" s="1">
        <v>4</v>
      </c>
      <c r="K1790" s="1" t="s">
        <v>4</v>
      </c>
      <c r="L1790" s="1" t="s">
        <v>18</v>
      </c>
      <c r="M1790" s="1">
        <f>[1]!orders[[#This Row],[Ship Date]]-[1]!orders[[#This Row],[Order Date]]</f>
        <v>4</v>
      </c>
      <c r="N1790" s="1">
        <f>WEEKNUM([1]!orders[[#This Row],[Order Date]])</f>
        <v>10</v>
      </c>
      <c r="O1790" t="str" cm="1">
        <f t="array" ref="O1790">_xlfn.IFS([1]!orders[[#This Row],[Customer Gender]]="M","Male", [1]!orders[[#This Row],[Customer Gender]]="F","Female", [1]!orders[[#This Row],[Customer Gender]]="O","Other", TRUE,"Unknown")</f>
        <v>Female</v>
      </c>
    </row>
    <row r="1791" spans="1:15" x14ac:dyDescent="0.25">
      <c r="A1791" t="s">
        <v>1875</v>
      </c>
      <c r="B1791" t="s">
        <v>7</v>
      </c>
      <c r="C1791">
        <v>3</v>
      </c>
      <c r="D1791">
        <v>93.4</v>
      </c>
      <c r="E1791">
        <v>280.20000000000005</v>
      </c>
      <c r="F1791" s="3">
        <v>45723</v>
      </c>
      <c r="G1791" s="3">
        <v>45727</v>
      </c>
      <c r="H1791" t="s">
        <v>12</v>
      </c>
      <c r="I1791" t="s">
        <v>36</v>
      </c>
      <c r="J1791">
        <v>4</v>
      </c>
      <c r="K1791" t="s">
        <v>4</v>
      </c>
      <c r="L1791" t="s">
        <v>18</v>
      </c>
      <c r="M1791">
        <f>[1]!orders[[#This Row],[Ship Date]]-[1]!orders[[#This Row],[Order Date]]</f>
        <v>4</v>
      </c>
      <c r="N1791">
        <f>WEEKNUM([1]!orders[[#This Row],[Order Date]])</f>
        <v>10</v>
      </c>
      <c r="O1791" t="str" cm="1">
        <f t="array" ref="O1791">_xlfn.IFS([1]!orders[[#This Row],[Customer Gender]]="M","Male", [1]!orders[[#This Row],[Customer Gender]]="F","Female", [1]!orders[[#This Row],[Customer Gender]]="O","Other", TRUE,"Unknown")</f>
        <v>Female</v>
      </c>
    </row>
    <row r="1792" spans="1:15" x14ac:dyDescent="0.25">
      <c r="A1792" s="1" t="s">
        <v>1876</v>
      </c>
      <c r="B1792" s="1" t="s">
        <v>29</v>
      </c>
      <c r="C1792" s="1">
        <v>5</v>
      </c>
      <c r="D1792" s="1">
        <v>27</v>
      </c>
      <c r="E1792" s="1">
        <v>135</v>
      </c>
      <c r="F1792" s="2">
        <v>45723</v>
      </c>
      <c r="G1792" s="2">
        <v>45726</v>
      </c>
      <c r="H1792" s="1" t="s">
        <v>8</v>
      </c>
      <c r="I1792" s="1" t="s">
        <v>3</v>
      </c>
      <c r="J1792" s="1">
        <v>3</v>
      </c>
      <c r="K1792" s="1" t="s">
        <v>4</v>
      </c>
      <c r="L1792" s="1" t="s">
        <v>18</v>
      </c>
      <c r="M1792" s="1">
        <f>[1]!orders[[#This Row],[Ship Date]]-[1]!orders[[#This Row],[Order Date]]</f>
        <v>3</v>
      </c>
      <c r="N1792" s="1">
        <f>WEEKNUM([1]!orders[[#This Row],[Order Date]])</f>
        <v>10</v>
      </c>
      <c r="O1792" t="str" cm="1">
        <f t="array" ref="O1792">_xlfn.IFS([1]!orders[[#This Row],[Customer Gender]]="M","Male", [1]!orders[[#This Row],[Customer Gender]]="F","Female", [1]!orders[[#This Row],[Customer Gender]]="O","Other", TRUE,"Unknown")</f>
        <v>Male</v>
      </c>
    </row>
    <row r="1793" spans="1:15" x14ac:dyDescent="0.25">
      <c r="A1793" t="s">
        <v>1877</v>
      </c>
      <c r="B1793" t="s">
        <v>1</v>
      </c>
      <c r="C1793">
        <v>4</v>
      </c>
      <c r="D1793">
        <v>10.9</v>
      </c>
      <c r="E1793">
        <v>43.6</v>
      </c>
      <c r="F1793" s="3">
        <v>45723</v>
      </c>
      <c r="G1793" s="3">
        <v>45724</v>
      </c>
      <c r="H1793" t="s">
        <v>8</v>
      </c>
      <c r="I1793" t="s">
        <v>25</v>
      </c>
      <c r="J1793">
        <v>4</v>
      </c>
      <c r="K1793" t="s">
        <v>4</v>
      </c>
      <c r="L1793" t="s">
        <v>18</v>
      </c>
      <c r="M1793">
        <f>[1]!orders[[#This Row],[Ship Date]]-[1]!orders[[#This Row],[Order Date]]</f>
        <v>1</v>
      </c>
      <c r="N1793">
        <f>WEEKNUM([1]!orders[[#This Row],[Order Date]])</f>
        <v>10</v>
      </c>
      <c r="O1793" t="str" cm="1">
        <f t="array" ref="O1793">_xlfn.IFS([1]!orders[[#This Row],[Customer Gender]]="M","Male", [1]!orders[[#This Row],[Customer Gender]]="F","Female", [1]!orders[[#This Row],[Customer Gender]]="O","Other", TRUE,"Unknown")</f>
        <v>Male</v>
      </c>
    </row>
    <row r="1794" spans="1:15" x14ac:dyDescent="0.25">
      <c r="A1794" s="1" t="s">
        <v>1878</v>
      </c>
      <c r="B1794" s="1" t="s">
        <v>113</v>
      </c>
      <c r="C1794" s="1">
        <v>3</v>
      </c>
      <c r="D1794" s="1">
        <v>48</v>
      </c>
      <c r="E1794" s="1">
        <v>144</v>
      </c>
      <c r="F1794" s="2">
        <v>45723</v>
      </c>
      <c r="G1794" s="2">
        <v>45728</v>
      </c>
      <c r="H1794" s="1" t="s">
        <v>12</v>
      </c>
      <c r="I1794" s="1" t="s">
        <v>55</v>
      </c>
      <c r="J1794" s="1">
        <v>4</v>
      </c>
      <c r="K1794" s="1" t="s">
        <v>4</v>
      </c>
      <c r="L1794" s="1" t="s">
        <v>18</v>
      </c>
      <c r="M1794" s="1">
        <f>[1]!orders[[#This Row],[Ship Date]]-[1]!orders[[#This Row],[Order Date]]</f>
        <v>5</v>
      </c>
      <c r="N1794" s="1">
        <f>WEEKNUM([1]!orders[[#This Row],[Order Date]])</f>
        <v>10</v>
      </c>
      <c r="O1794" t="str" cm="1">
        <f t="array" ref="O1794">_xlfn.IFS([1]!orders[[#This Row],[Customer Gender]]="M","Male", [1]!orders[[#This Row],[Customer Gender]]="F","Female", [1]!orders[[#This Row],[Customer Gender]]="O","Other", TRUE,"Unknown")</f>
        <v>Female</v>
      </c>
    </row>
    <row r="1795" spans="1:15" x14ac:dyDescent="0.25">
      <c r="A1795" t="s">
        <v>1879</v>
      </c>
      <c r="B1795" t="s">
        <v>22</v>
      </c>
      <c r="C1795">
        <v>2</v>
      </c>
      <c r="D1795">
        <v>67.900000000000006</v>
      </c>
      <c r="E1795">
        <v>135.80000000000001</v>
      </c>
      <c r="F1795" s="3">
        <v>45723</v>
      </c>
      <c r="G1795" s="3">
        <v>45724</v>
      </c>
      <c r="H1795" t="s">
        <v>8</v>
      </c>
      <c r="I1795" t="s">
        <v>3</v>
      </c>
      <c r="J1795">
        <v>5</v>
      </c>
      <c r="K1795" t="s">
        <v>4</v>
      </c>
      <c r="L1795" t="s">
        <v>143</v>
      </c>
      <c r="M1795">
        <f>[1]!orders[[#This Row],[Ship Date]]-[1]!orders[[#This Row],[Order Date]]</f>
        <v>1</v>
      </c>
      <c r="N1795">
        <f>WEEKNUM([1]!orders[[#This Row],[Order Date]])</f>
        <v>10</v>
      </c>
      <c r="O1795" t="str" cm="1">
        <f t="array" ref="O1795">_xlfn.IFS([1]!orders[[#This Row],[Customer Gender]]="M","Male", [1]!orders[[#This Row],[Customer Gender]]="F","Female", [1]!orders[[#This Row],[Customer Gender]]="O","Other", TRUE,"Unknown")</f>
        <v>Male</v>
      </c>
    </row>
    <row r="1796" spans="1:15" x14ac:dyDescent="0.25">
      <c r="A1796" s="1" t="s">
        <v>1880</v>
      </c>
      <c r="B1796" s="1" t="s">
        <v>17</v>
      </c>
      <c r="C1796" s="1">
        <v>3</v>
      </c>
      <c r="D1796" s="1">
        <v>36</v>
      </c>
      <c r="E1796" s="1">
        <v>108</v>
      </c>
      <c r="F1796" s="2">
        <v>45723</v>
      </c>
      <c r="G1796" s="2">
        <v>45724</v>
      </c>
      <c r="H1796" s="1" t="s">
        <v>8</v>
      </c>
      <c r="I1796" s="1" t="s">
        <v>20</v>
      </c>
      <c r="J1796" s="1">
        <v>4</v>
      </c>
      <c r="K1796" s="1" t="s">
        <v>4</v>
      </c>
      <c r="L1796" s="1" t="s">
        <v>40</v>
      </c>
      <c r="M1796" s="1">
        <f>[1]!orders[[#This Row],[Ship Date]]-[1]!orders[[#This Row],[Order Date]]</f>
        <v>1</v>
      </c>
      <c r="N1796" s="1">
        <f>WEEKNUM([1]!orders[[#This Row],[Order Date]])</f>
        <v>10</v>
      </c>
      <c r="O1796" t="str" cm="1">
        <f t="array" ref="O1796">_xlfn.IFS([1]!orders[[#This Row],[Customer Gender]]="M","Male", [1]!orders[[#This Row],[Customer Gender]]="F","Female", [1]!orders[[#This Row],[Customer Gender]]="O","Other", TRUE,"Unknown")</f>
        <v>Male</v>
      </c>
    </row>
    <row r="1797" spans="1:15" x14ac:dyDescent="0.25">
      <c r="A1797" t="s">
        <v>1881</v>
      </c>
      <c r="B1797" t="s">
        <v>11</v>
      </c>
      <c r="C1797">
        <v>1</v>
      </c>
      <c r="D1797">
        <v>128.80000000000001</v>
      </c>
      <c r="E1797">
        <v>128.80000000000001</v>
      </c>
      <c r="F1797" s="3">
        <v>45723</v>
      </c>
      <c r="G1797" s="3">
        <v>45724</v>
      </c>
      <c r="H1797" t="s">
        <v>8</v>
      </c>
      <c r="I1797" t="s">
        <v>55</v>
      </c>
      <c r="J1797">
        <v>5</v>
      </c>
      <c r="K1797" t="s">
        <v>4</v>
      </c>
      <c r="L1797" t="s">
        <v>40</v>
      </c>
      <c r="M1797">
        <f>[1]!orders[[#This Row],[Ship Date]]-[1]!orders[[#This Row],[Order Date]]</f>
        <v>1</v>
      </c>
      <c r="N1797">
        <f>WEEKNUM([1]!orders[[#This Row],[Order Date]])</f>
        <v>10</v>
      </c>
      <c r="O1797" t="str" cm="1">
        <f t="array" ref="O1797">_xlfn.IFS([1]!orders[[#This Row],[Customer Gender]]="M","Male", [1]!orders[[#This Row],[Customer Gender]]="F","Female", [1]!orders[[#This Row],[Customer Gender]]="O","Other", TRUE,"Unknown")</f>
        <v>Male</v>
      </c>
    </row>
    <row r="1798" spans="1:15" x14ac:dyDescent="0.25">
      <c r="A1798" s="1" t="s">
        <v>1882</v>
      </c>
      <c r="B1798" s="1" t="s">
        <v>131</v>
      </c>
      <c r="C1798" s="1">
        <v>7</v>
      </c>
      <c r="D1798" s="1">
        <v>33.299999999999997</v>
      </c>
      <c r="E1798" s="1">
        <v>233.09999999999997</v>
      </c>
      <c r="F1798" s="2">
        <v>45723</v>
      </c>
      <c r="G1798" s="2">
        <v>45724</v>
      </c>
      <c r="H1798" s="1" t="s">
        <v>12</v>
      </c>
      <c r="I1798" s="1" t="s">
        <v>36</v>
      </c>
      <c r="J1798" s="1">
        <v>4</v>
      </c>
      <c r="K1798" s="1" t="s">
        <v>4</v>
      </c>
      <c r="L1798" s="1" t="s">
        <v>47</v>
      </c>
      <c r="M1798" s="1">
        <f>[1]!orders[[#This Row],[Ship Date]]-[1]!orders[[#This Row],[Order Date]]</f>
        <v>1</v>
      </c>
      <c r="N1798" s="1">
        <f>WEEKNUM([1]!orders[[#This Row],[Order Date]])</f>
        <v>10</v>
      </c>
      <c r="O1798" t="str" cm="1">
        <f t="array" ref="O1798">_xlfn.IFS([1]!orders[[#This Row],[Customer Gender]]="M","Male", [1]!orders[[#This Row],[Customer Gender]]="F","Female", [1]!orders[[#This Row],[Customer Gender]]="O","Other", TRUE,"Unknown")</f>
        <v>Female</v>
      </c>
    </row>
    <row r="1799" spans="1:15" x14ac:dyDescent="0.25">
      <c r="A1799" t="s">
        <v>1883</v>
      </c>
      <c r="B1799" t="s">
        <v>39</v>
      </c>
      <c r="C1799">
        <v>3</v>
      </c>
      <c r="D1799">
        <v>37.799999999999997</v>
      </c>
      <c r="E1799">
        <v>113.39999999999999</v>
      </c>
      <c r="F1799" s="3">
        <v>45723</v>
      </c>
      <c r="G1799" s="3">
        <v>45725</v>
      </c>
      <c r="H1799" t="s">
        <v>8</v>
      </c>
      <c r="I1799" t="s">
        <v>20</v>
      </c>
      <c r="J1799">
        <v>5</v>
      </c>
      <c r="K1799" t="s">
        <v>4</v>
      </c>
      <c r="L1799" t="s">
        <v>47</v>
      </c>
      <c r="M1799">
        <f>[1]!orders[[#This Row],[Ship Date]]-[1]!orders[[#This Row],[Order Date]]</f>
        <v>2</v>
      </c>
      <c r="N1799">
        <f>WEEKNUM([1]!orders[[#This Row],[Order Date]])</f>
        <v>10</v>
      </c>
      <c r="O1799" t="str" cm="1">
        <f t="array" ref="O1799">_xlfn.IFS([1]!orders[[#This Row],[Customer Gender]]="M","Male", [1]!orders[[#This Row],[Customer Gender]]="F","Female", [1]!orders[[#This Row],[Customer Gender]]="O","Other", TRUE,"Unknown")</f>
        <v>Male</v>
      </c>
    </row>
    <row r="1800" spans="1:15" x14ac:dyDescent="0.25">
      <c r="A1800" s="1" t="s">
        <v>1884</v>
      </c>
      <c r="B1800" s="1" t="s">
        <v>22</v>
      </c>
      <c r="C1800" s="1">
        <v>3</v>
      </c>
      <c r="D1800" s="1">
        <v>26</v>
      </c>
      <c r="E1800" s="1">
        <v>78</v>
      </c>
      <c r="F1800" s="2">
        <v>45723</v>
      </c>
      <c r="G1800" s="2">
        <v>45728</v>
      </c>
      <c r="H1800" s="1" t="s">
        <v>12</v>
      </c>
      <c r="I1800" s="1" t="s">
        <v>3</v>
      </c>
      <c r="J1800" s="1">
        <v>4</v>
      </c>
      <c r="K1800" s="1" t="s">
        <v>4</v>
      </c>
      <c r="L1800" s="1" t="s">
        <v>47</v>
      </c>
      <c r="M1800" s="1">
        <f>[1]!orders[[#This Row],[Ship Date]]-[1]!orders[[#This Row],[Order Date]]</f>
        <v>5</v>
      </c>
      <c r="N1800" s="1">
        <f>WEEKNUM([1]!orders[[#This Row],[Order Date]])</f>
        <v>10</v>
      </c>
      <c r="O1800" t="str" cm="1">
        <f t="array" ref="O1800">_xlfn.IFS([1]!orders[[#This Row],[Customer Gender]]="M","Male", [1]!orders[[#This Row],[Customer Gender]]="F","Female", [1]!orders[[#This Row],[Customer Gender]]="O","Other", TRUE,"Unknown")</f>
        <v>Female</v>
      </c>
    </row>
    <row r="1801" spans="1:15" x14ac:dyDescent="0.25">
      <c r="A1801" t="s">
        <v>1885</v>
      </c>
      <c r="B1801" t="s">
        <v>29</v>
      </c>
      <c r="C1801">
        <v>19</v>
      </c>
      <c r="D1801">
        <v>28.3</v>
      </c>
      <c r="E1801">
        <v>537.70000000000005</v>
      </c>
      <c r="F1801" s="3">
        <v>45723</v>
      </c>
      <c r="G1801" s="3">
        <v>45724</v>
      </c>
      <c r="H1801" t="s">
        <v>12</v>
      </c>
      <c r="I1801" t="s">
        <v>36</v>
      </c>
      <c r="J1801">
        <v>2</v>
      </c>
      <c r="K1801" t="s">
        <v>4</v>
      </c>
      <c r="L1801" t="s">
        <v>47</v>
      </c>
      <c r="M1801">
        <f>[1]!orders[[#This Row],[Ship Date]]-[1]!orders[[#This Row],[Order Date]]</f>
        <v>1</v>
      </c>
      <c r="N1801">
        <f>WEEKNUM([1]!orders[[#This Row],[Order Date]])</f>
        <v>10</v>
      </c>
      <c r="O1801" t="str" cm="1">
        <f t="array" ref="O1801">_xlfn.IFS([1]!orders[[#This Row],[Customer Gender]]="M","Male", [1]!orders[[#This Row],[Customer Gender]]="F","Female", [1]!orders[[#This Row],[Customer Gender]]="O","Other", TRUE,"Unknown")</f>
        <v>Female</v>
      </c>
    </row>
    <row r="1802" spans="1:15" x14ac:dyDescent="0.25">
      <c r="A1802" s="1" t="s">
        <v>1886</v>
      </c>
      <c r="B1802" s="1" t="s">
        <v>29</v>
      </c>
      <c r="C1802" s="1">
        <v>4</v>
      </c>
      <c r="D1802" s="1">
        <v>31.3</v>
      </c>
      <c r="E1802" s="1">
        <v>125.2</v>
      </c>
      <c r="F1802" s="2">
        <v>45723</v>
      </c>
      <c r="G1802" s="2">
        <v>45723</v>
      </c>
      <c r="H1802" s="1" t="s">
        <v>12</v>
      </c>
      <c r="I1802" s="1" t="s">
        <v>3</v>
      </c>
      <c r="J1802" s="1">
        <v>4</v>
      </c>
      <c r="K1802" s="1" t="s">
        <v>4</v>
      </c>
      <c r="L1802" s="1" t="s">
        <v>47</v>
      </c>
      <c r="M1802" s="1">
        <f>[1]!orders[[#This Row],[Ship Date]]-[1]!orders[[#This Row],[Order Date]]</f>
        <v>0</v>
      </c>
      <c r="N1802" s="1">
        <f>WEEKNUM([1]!orders[[#This Row],[Order Date]])</f>
        <v>10</v>
      </c>
      <c r="O1802" t="str" cm="1">
        <f t="array" ref="O1802">_xlfn.IFS([1]!orders[[#This Row],[Customer Gender]]="M","Male", [1]!orders[[#This Row],[Customer Gender]]="F","Female", [1]!orders[[#This Row],[Customer Gender]]="O","Other", TRUE,"Unknown")</f>
        <v>Female</v>
      </c>
    </row>
    <row r="1803" spans="1:15" x14ac:dyDescent="0.25">
      <c r="A1803" t="s">
        <v>1887</v>
      </c>
      <c r="B1803" t="s">
        <v>27</v>
      </c>
      <c r="C1803">
        <v>3</v>
      </c>
      <c r="D1803">
        <v>69.5</v>
      </c>
      <c r="E1803">
        <v>208.5</v>
      </c>
      <c r="F1803" s="3">
        <v>45723</v>
      </c>
      <c r="G1803" s="3">
        <v>45724</v>
      </c>
      <c r="H1803" t="s">
        <v>12</v>
      </c>
      <c r="I1803" t="s">
        <v>36</v>
      </c>
      <c r="J1803">
        <v>5</v>
      </c>
      <c r="K1803" t="s">
        <v>4</v>
      </c>
      <c r="L1803" t="s">
        <v>47</v>
      </c>
      <c r="M1803">
        <f>[1]!orders[[#This Row],[Ship Date]]-[1]!orders[[#This Row],[Order Date]]</f>
        <v>1</v>
      </c>
      <c r="N1803">
        <f>WEEKNUM([1]!orders[[#This Row],[Order Date]])</f>
        <v>10</v>
      </c>
      <c r="O1803" t="str" cm="1">
        <f t="array" ref="O1803">_xlfn.IFS([1]!orders[[#This Row],[Customer Gender]]="M","Male", [1]!orders[[#This Row],[Customer Gender]]="F","Female", [1]!orders[[#This Row],[Customer Gender]]="O","Other", TRUE,"Unknown")</f>
        <v>Female</v>
      </c>
    </row>
    <row r="1804" spans="1:15" x14ac:dyDescent="0.25">
      <c r="A1804" s="1" t="s">
        <v>1888</v>
      </c>
      <c r="B1804" s="1" t="s">
        <v>1</v>
      </c>
      <c r="C1804" s="1">
        <v>2</v>
      </c>
      <c r="D1804" s="1">
        <v>16.7</v>
      </c>
      <c r="E1804" s="1">
        <v>33.4</v>
      </c>
      <c r="F1804" s="2">
        <v>45723</v>
      </c>
      <c r="G1804" s="2">
        <v>45724</v>
      </c>
      <c r="H1804" s="1" t="s">
        <v>12</v>
      </c>
      <c r="I1804" s="1" t="s">
        <v>36</v>
      </c>
      <c r="J1804" s="1">
        <v>3</v>
      </c>
      <c r="K1804" s="1" t="s">
        <v>4</v>
      </c>
      <c r="L1804" s="1" t="s">
        <v>47</v>
      </c>
      <c r="M1804" s="1">
        <f>[1]!orders[[#This Row],[Ship Date]]-[1]!orders[[#This Row],[Order Date]]</f>
        <v>1</v>
      </c>
      <c r="N1804" s="1">
        <f>WEEKNUM([1]!orders[[#This Row],[Order Date]])</f>
        <v>10</v>
      </c>
      <c r="O1804" t="str" cm="1">
        <f t="array" ref="O1804">_xlfn.IFS([1]!orders[[#This Row],[Customer Gender]]="M","Male", [1]!orders[[#This Row],[Customer Gender]]="F","Female", [1]!orders[[#This Row],[Customer Gender]]="O","Other", TRUE,"Unknown")</f>
        <v>Female</v>
      </c>
    </row>
    <row r="1805" spans="1:15" x14ac:dyDescent="0.25">
      <c r="A1805" t="s">
        <v>1889</v>
      </c>
      <c r="B1805" t="s">
        <v>31</v>
      </c>
      <c r="C1805">
        <v>2</v>
      </c>
      <c r="D1805">
        <v>62.6</v>
      </c>
      <c r="E1805">
        <v>125.2</v>
      </c>
      <c r="F1805" s="3">
        <v>45723</v>
      </c>
      <c r="G1805" s="3">
        <v>45724</v>
      </c>
      <c r="H1805" t="s">
        <v>8</v>
      </c>
      <c r="I1805" t="s">
        <v>25</v>
      </c>
      <c r="J1805">
        <v>5</v>
      </c>
      <c r="K1805" t="s">
        <v>4</v>
      </c>
      <c r="L1805" t="s">
        <v>57</v>
      </c>
      <c r="M1805">
        <f>[1]!orders[[#This Row],[Ship Date]]-[1]!orders[[#This Row],[Order Date]]</f>
        <v>1</v>
      </c>
      <c r="N1805">
        <f>WEEKNUM([1]!orders[[#This Row],[Order Date]])</f>
        <v>10</v>
      </c>
      <c r="O1805" t="str" cm="1">
        <f t="array" ref="O1805">_xlfn.IFS([1]!orders[[#This Row],[Customer Gender]]="M","Male", [1]!orders[[#This Row],[Customer Gender]]="F","Female", [1]!orders[[#This Row],[Customer Gender]]="O","Other", TRUE,"Unknown")</f>
        <v>Male</v>
      </c>
    </row>
    <row r="1806" spans="1:15" x14ac:dyDescent="0.25">
      <c r="A1806" s="1" t="s">
        <v>1890</v>
      </c>
      <c r="B1806" s="1" t="s">
        <v>27</v>
      </c>
      <c r="C1806" s="1">
        <v>1</v>
      </c>
      <c r="D1806" s="1">
        <v>81.2</v>
      </c>
      <c r="E1806" s="1">
        <v>81.2</v>
      </c>
      <c r="F1806" s="2">
        <v>45723</v>
      </c>
      <c r="G1806" s="2">
        <v>45729</v>
      </c>
      <c r="H1806" s="1" t="s">
        <v>8</v>
      </c>
      <c r="I1806" s="1" t="s">
        <v>55</v>
      </c>
      <c r="J1806" s="1">
        <v>2</v>
      </c>
      <c r="K1806" s="1" t="s">
        <v>4</v>
      </c>
      <c r="L1806" s="1" t="s">
        <v>57</v>
      </c>
      <c r="M1806" s="1">
        <f>[1]!orders[[#This Row],[Ship Date]]-[1]!orders[[#This Row],[Order Date]]</f>
        <v>6</v>
      </c>
      <c r="N1806" s="1">
        <f>WEEKNUM([1]!orders[[#This Row],[Order Date]])</f>
        <v>10</v>
      </c>
      <c r="O1806" t="str" cm="1">
        <f t="array" ref="O1806">_xlfn.IFS([1]!orders[[#This Row],[Customer Gender]]="M","Male", [1]!orders[[#This Row],[Customer Gender]]="F","Female", [1]!orders[[#This Row],[Customer Gender]]="O","Other", TRUE,"Unknown")</f>
        <v>Male</v>
      </c>
    </row>
    <row r="1807" spans="1:15" x14ac:dyDescent="0.25">
      <c r="A1807" t="s">
        <v>1891</v>
      </c>
      <c r="B1807" t="s">
        <v>1</v>
      </c>
      <c r="C1807">
        <v>10</v>
      </c>
      <c r="D1807">
        <v>12.7</v>
      </c>
      <c r="E1807">
        <v>127</v>
      </c>
      <c r="F1807" s="3">
        <v>45723</v>
      </c>
      <c r="G1807" s="3">
        <v>45724</v>
      </c>
      <c r="H1807" t="s">
        <v>12</v>
      </c>
      <c r="I1807" t="s">
        <v>3</v>
      </c>
      <c r="J1807">
        <v>5</v>
      </c>
      <c r="K1807" t="s">
        <v>4</v>
      </c>
      <c r="L1807" t="s">
        <v>57</v>
      </c>
      <c r="M1807">
        <f>[1]!orders[[#This Row],[Ship Date]]-[1]!orders[[#This Row],[Order Date]]</f>
        <v>1</v>
      </c>
      <c r="N1807">
        <f>WEEKNUM([1]!orders[[#This Row],[Order Date]])</f>
        <v>10</v>
      </c>
      <c r="O1807" t="str" cm="1">
        <f t="array" ref="O1807">_xlfn.IFS([1]!orders[[#This Row],[Customer Gender]]="M","Male", [1]!orders[[#This Row],[Customer Gender]]="F","Female", [1]!orders[[#This Row],[Customer Gender]]="O","Other", TRUE,"Unknown")</f>
        <v>Female</v>
      </c>
    </row>
    <row r="1808" spans="1:15" x14ac:dyDescent="0.25">
      <c r="A1808" s="1" t="s">
        <v>1892</v>
      </c>
      <c r="B1808" s="1" t="s">
        <v>27</v>
      </c>
      <c r="C1808" s="1">
        <v>4</v>
      </c>
      <c r="D1808" s="1">
        <v>77.7</v>
      </c>
      <c r="E1808" s="1">
        <v>310.8</v>
      </c>
      <c r="F1808" s="2">
        <v>45724</v>
      </c>
      <c r="G1808" s="2">
        <v>45728</v>
      </c>
      <c r="H1808" s="1" t="s">
        <v>8</v>
      </c>
      <c r="I1808" s="1" t="s">
        <v>20</v>
      </c>
      <c r="J1808" s="1">
        <v>4</v>
      </c>
      <c r="K1808" s="1" t="s">
        <v>4</v>
      </c>
      <c r="L1808" s="1" t="s">
        <v>62</v>
      </c>
      <c r="M1808" s="1">
        <f>[1]!orders[[#This Row],[Ship Date]]-[1]!orders[[#This Row],[Order Date]]</f>
        <v>4</v>
      </c>
      <c r="N1808" s="1">
        <f>WEEKNUM([1]!orders[[#This Row],[Order Date]])</f>
        <v>10</v>
      </c>
      <c r="O1808" t="str" cm="1">
        <f t="array" ref="O1808">_xlfn.IFS([1]!orders[[#This Row],[Customer Gender]]="M","Male", [1]!orders[[#This Row],[Customer Gender]]="F","Female", [1]!orders[[#This Row],[Customer Gender]]="O","Other", TRUE,"Unknown")</f>
        <v>Male</v>
      </c>
    </row>
    <row r="1809" spans="1:15" x14ac:dyDescent="0.25">
      <c r="A1809" t="s">
        <v>1893</v>
      </c>
      <c r="B1809" t="s">
        <v>22</v>
      </c>
      <c r="C1809">
        <v>2</v>
      </c>
      <c r="D1809">
        <v>37.299999999999997</v>
      </c>
      <c r="E1809">
        <v>74.599999999999994</v>
      </c>
      <c r="F1809" s="3">
        <v>45724</v>
      </c>
      <c r="G1809" s="3">
        <v>45725</v>
      </c>
      <c r="H1809" t="s">
        <v>12</v>
      </c>
      <c r="I1809" t="s">
        <v>3</v>
      </c>
      <c r="J1809">
        <v>5</v>
      </c>
      <c r="K1809" t="s">
        <v>4</v>
      </c>
      <c r="L1809" t="s">
        <v>93</v>
      </c>
      <c r="M1809">
        <f>[1]!orders[[#This Row],[Ship Date]]-[1]!orders[[#This Row],[Order Date]]</f>
        <v>1</v>
      </c>
      <c r="N1809">
        <f>WEEKNUM([1]!orders[[#This Row],[Order Date]])</f>
        <v>10</v>
      </c>
      <c r="O1809" t="str" cm="1">
        <f t="array" ref="O1809">_xlfn.IFS([1]!orders[[#This Row],[Customer Gender]]="M","Male", [1]!orders[[#This Row],[Customer Gender]]="F","Female", [1]!orders[[#This Row],[Customer Gender]]="O","Other", TRUE,"Unknown")</f>
        <v>Female</v>
      </c>
    </row>
    <row r="1810" spans="1:15" x14ac:dyDescent="0.25">
      <c r="A1810" s="1" t="s">
        <v>1894</v>
      </c>
      <c r="B1810" s="1" t="s">
        <v>39</v>
      </c>
      <c r="C1810" s="1">
        <v>4</v>
      </c>
      <c r="D1810" s="1">
        <v>35.6</v>
      </c>
      <c r="E1810" s="1">
        <v>142.4</v>
      </c>
      <c r="F1810" s="2">
        <v>45724</v>
      </c>
      <c r="G1810" s="2">
        <v>45726</v>
      </c>
      <c r="H1810" s="1" t="s">
        <v>12</v>
      </c>
      <c r="I1810" s="1" t="s">
        <v>20</v>
      </c>
      <c r="J1810" s="1">
        <v>3</v>
      </c>
      <c r="K1810" s="1" t="s">
        <v>4</v>
      </c>
      <c r="L1810" s="1" t="s">
        <v>95</v>
      </c>
      <c r="M1810" s="1">
        <f>[1]!orders[[#This Row],[Ship Date]]-[1]!orders[[#This Row],[Order Date]]</f>
        <v>2</v>
      </c>
      <c r="N1810" s="1">
        <f>WEEKNUM([1]!orders[[#This Row],[Order Date]])</f>
        <v>10</v>
      </c>
      <c r="O1810" t="str" cm="1">
        <f t="array" ref="O1810">_xlfn.IFS([1]!orders[[#This Row],[Customer Gender]]="M","Male", [1]!orders[[#This Row],[Customer Gender]]="F","Female", [1]!orders[[#This Row],[Customer Gender]]="O","Other", TRUE,"Unknown")</f>
        <v>Female</v>
      </c>
    </row>
    <row r="1811" spans="1:15" x14ac:dyDescent="0.25">
      <c r="A1811" t="s">
        <v>1895</v>
      </c>
      <c r="B1811" t="s">
        <v>11</v>
      </c>
      <c r="C1811">
        <v>3</v>
      </c>
      <c r="D1811">
        <v>95</v>
      </c>
      <c r="E1811">
        <v>285</v>
      </c>
      <c r="F1811" s="3">
        <v>45724</v>
      </c>
      <c r="G1811" s="3">
        <v>45728</v>
      </c>
      <c r="H1811" t="s">
        <v>12</v>
      </c>
      <c r="I1811" t="s">
        <v>25</v>
      </c>
      <c r="J1811">
        <v>5</v>
      </c>
      <c r="K1811" t="s">
        <v>4</v>
      </c>
      <c r="L1811" t="s">
        <v>1896</v>
      </c>
      <c r="M1811">
        <f>[1]!orders[[#This Row],[Ship Date]]-[1]!orders[[#This Row],[Order Date]]</f>
        <v>4</v>
      </c>
      <c r="N1811">
        <f>WEEKNUM([1]!orders[[#This Row],[Order Date]])</f>
        <v>10</v>
      </c>
      <c r="O1811" t="str" cm="1">
        <f t="array" ref="O1811">_xlfn.IFS([1]!orders[[#This Row],[Customer Gender]]="M","Male", [1]!orders[[#This Row],[Customer Gender]]="F","Female", [1]!orders[[#This Row],[Customer Gender]]="O","Other", TRUE,"Unknown")</f>
        <v>Female</v>
      </c>
    </row>
    <row r="1812" spans="1:15" x14ac:dyDescent="0.25">
      <c r="A1812" s="1" t="s">
        <v>1897</v>
      </c>
      <c r="B1812" s="1" t="s">
        <v>11</v>
      </c>
      <c r="C1812" s="1">
        <v>4</v>
      </c>
      <c r="D1812" s="1">
        <v>172.1</v>
      </c>
      <c r="E1812" s="1">
        <v>688.4</v>
      </c>
      <c r="F1812" s="2">
        <v>45724</v>
      </c>
      <c r="G1812" s="2">
        <v>45728</v>
      </c>
      <c r="H1812" s="1" t="s">
        <v>74</v>
      </c>
      <c r="I1812" s="1" t="s">
        <v>25</v>
      </c>
      <c r="J1812" s="1">
        <v>5</v>
      </c>
      <c r="K1812" s="1" t="s">
        <v>4</v>
      </c>
      <c r="L1812" s="1" t="s">
        <v>100</v>
      </c>
      <c r="M1812" s="1">
        <f>[1]!orders[[#This Row],[Ship Date]]-[1]!orders[[#This Row],[Order Date]]</f>
        <v>4</v>
      </c>
      <c r="N1812" s="1">
        <f>WEEKNUM([1]!orders[[#This Row],[Order Date]])</f>
        <v>10</v>
      </c>
      <c r="O1812" t="str" cm="1">
        <f t="array" ref="O1812">_xlfn.IFS([1]!orders[[#This Row],[Customer Gender]]="M","Male", [1]!orders[[#This Row],[Customer Gender]]="F","Female", [1]!orders[[#This Row],[Customer Gender]]="O","Other", TRUE,"Unknown")</f>
        <v>Other</v>
      </c>
    </row>
    <row r="1813" spans="1:15" x14ac:dyDescent="0.25">
      <c r="A1813" t="s">
        <v>1898</v>
      </c>
      <c r="B1813" t="s">
        <v>11</v>
      </c>
      <c r="C1813">
        <v>2</v>
      </c>
      <c r="D1813">
        <v>233</v>
      </c>
      <c r="E1813">
        <v>466</v>
      </c>
      <c r="F1813" s="3">
        <v>45724</v>
      </c>
      <c r="G1813" s="3">
        <v>45727</v>
      </c>
      <c r="H1813" t="s">
        <v>12</v>
      </c>
      <c r="I1813" t="s">
        <v>20</v>
      </c>
      <c r="J1813">
        <v>4</v>
      </c>
      <c r="K1813" t="s">
        <v>4</v>
      </c>
      <c r="L1813" t="s">
        <v>100</v>
      </c>
      <c r="M1813">
        <f>[1]!orders[[#This Row],[Ship Date]]-[1]!orders[[#This Row],[Order Date]]</f>
        <v>3</v>
      </c>
      <c r="N1813">
        <f>WEEKNUM([1]!orders[[#This Row],[Order Date]])</f>
        <v>10</v>
      </c>
      <c r="O1813" t="str" cm="1">
        <f t="array" ref="O1813">_xlfn.IFS([1]!orders[[#This Row],[Customer Gender]]="M","Male", [1]!orders[[#This Row],[Customer Gender]]="F","Female", [1]!orders[[#This Row],[Customer Gender]]="O","Other", TRUE,"Unknown")</f>
        <v>Female</v>
      </c>
    </row>
    <row r="1814" spans="1:15" x14ac:dyDescent="0.25">
      <c r="A1814" s="1" t="s">
        <v>1899</v>
      </c>
      <c r="B1814" s="1" t="s">
        <v>1</v>
      </c>
      <c r="C1814" s="1">
        <v>1</v>
      </c>
      <c r="D1814" s="1">
        <v>43.5</v>
      </c>
      <c r="E1814" s="1">
        <v>43.5</v>
      </c>
      <c r="F1814" s="2">
        <v>45724</v>
      </c>
      <c r="G1814" s="2">
        <v>45725</v>
      </c>
      <c r="H1814" s="1" t="s">
        <v>12</v>
      </c>
      <c r="I1814" s="1" t="s">
        <v>25</v>
      </c>
      <c r="J1814" s="1">
        <v>5</v>
      </c>
      <c r="K1814" s="1" t="s">
        <v>4</v>
      </c>
      <c r="L1814" s="1" t="s">
        <v>100</v>
      </c>
      <c r="M1814" s="1">
        <f>[1]!orders[[#This Row],[Ship Date]]-[1]!orders[[#This Row],[Order Date]]</f>
        <v>1</v>
      </c>
      <c r="N1814" s="1">
        <f>WEEKNUM([1]!orders[[#This Row],[Order Date]])</f>
        <v>10</v>
      </c>
      <c r="O1814" t="str" cm="1">
        <f t="array" ref="O1814">_xlfn.IFS([1]!orders[[#This Row],[Customer Gender]]="M","Male", [1]!orders[[#This Row],[Customer Gender]]="F","Female", [1]!orders[[#This Row],[Customer Gender]]="O","Other", TRUE,"Unknown")</f>
        <v>Female</v>
      </c>
    </row>
    <row r="1815" spans="1:15" x14ac:dyDescent="0.25">
      <c r="A1815" t="s">
        <v>1900</v>
      </c>
      <c r="B1815" t="s">
        <v>31</v>
      </c>
      <c r="C1815">
        <v>2</v>
      </c>
      <c r="D1815">
        <v>47.8</v>
      </c>
      <c r="E1815">
        <v>95.6</v>
      </c>
      <c r="F1815" s="3">
        <v>45724</v>
      </c>
      <c r="G1815" s="3">
        <v>45727</v>
      </c>
      <c r="H1815" t="s">
        <v>8</v>
      </c>
      <c r="I1815" t="s">
        <v>55</v>
      </c>
      <c r="J1815">
        <v>5</v>
      </c>
      <c r="K1815" t="s">
        <v>4</v>
      </c>
      <c r="L1815" t="s">
        <v>9</v>
      </c>
      <c r="M1815">
        <f>[1]!orders[[#This Row],[Ship Date]]-[1]!orders[[#This Row],[Order Date]]</f>
        <v>3</v>
      </c>
      <c r="N1815">
        <f>WEEKNUM([1]!orders[[#This Row],[Order Date]])</f>
        <v>10</v>
      </c>
      <c r="O1815" t="str" cm="1">
        <f t="array" ref="O1815">_xlfn.IFS([1]!orders[[#This Row],[Customer Gender]]="M","Male", [1]!orders[[#This Row],[Customer Gender]]="F","Female", [1]!orders[[#This Row],[Customer Gender]]="O","Other", TRUE,"Unknown")</f>
        <v>Male</v>
      </c>
    </row>
    <row r="1816" spans="1:15" x14ac:dyDescent="0.25">
      <c r="A1816" s="1" t="s">
        <v>1901</v>
      </c>
      <c r="B1816" s="1" t="s">
        <v>54</v>
      </c>
      <c r="C1816" s="1">
        <v>2</v>
      </c>
      <c r="D1816" s="1">
        <v>65.8</v>
      </c>
      <c r="E1816" s="1">
        <v>131.6</v>
      </c>
      <c r="F1816" s="2">
        <v>45724</v>
      </c>
      <c r="G1816" s="2">
        <v>45726</v>
      </c>
      <c r="H1816" s="1" t="s">
        <v>12</v>
      </c>
      <c r="I1816" s="1" t="s">
        <v>3</v>
      </c>
      <c r="J1816" s="1">
        <v>1</v>
      </c>
      <c r="K1816" s="1" t="s">
        <v>4</v>
      </c>
      <c r="L1816" s="1" t="s">
        <v>316</v>
      </c>
      <c r="M1816" s="1">
        <f>[1]!orders[[#This Row],[Ship Date]]-[1]!orders[[#This Row],[Order Date]]</f>
        <v>2</v>
      </c>
      <c r="N1816" s="1">
        <f>WEEKNUM([1]!orders[[#This Row],[Order Date]])</f>
        <v>10</v>
      </c>
      <c r="O1816" t="str" cm="1">
        <f t="array" ref="O1816">_xlfn.IFS([1]!orders[[#This Row],[Customer Gender]]="M","Male", [1]!orders[[#This Row],[Customer Gender]]="F","Female", [1]!orders[[#This Row],[Customer Gender]]="O","Other", TRUE,"Unknown")</f>
        <v>Female</v>
      </c>
    </row>
    <row r="1817" spans="1:15" x14ac:dyDescent="0.25">
      <c r="A1817" t="s">
        <v>1902</v>
      </c>
      <c r="B1817" t="s">
        <v>108</v>
      </c>
      <c r="C1817">
        <v>11</v>
      </c>
      <c r="D1817">
        <v>38.700000000000003</v>
      </c>
      <c r="E1817">
        <v>425.70000000000005</v>
      </c>
      <c r="F1817" s="3">
        <v>45724</v>
      </c>
      <c r="G1817" s="3">
        <v>45724</v>
      </c>
      <c r="H1817" t="s">
        <v>8</v>
      </c>
      <c r="I1817" t="s">
        <v>3</v>
      </c>
      <c r="J1817">
        <v>4</v>
      </c>
      <c r="K1817" t="s">
        <v>4</v>
      </c>
      <c r="L1817" t="s">
        <v>132</v>
      </c>
      <c r="M1817">
        <f>[1]!orders[[#This Row],[Ship Date]]-[1]!orders[[#This Row],[Order Date]]</f>
        <v>0</v>
      </c>
      <c r="N1817">
        <f>WEEKNUM([1]!orders[[#This Row],[Order Date]])</f>
        <v>10</v>
      </c>
      <c r="O1817" t="str" cm="1">
        <f t="array" ref="O1817">_xlfn.IFS([1]!orders[[#This Row],[Customer Gender]]="M","Male", [1]!orders[[#This Row],[Customer Gender]]="F","Female", [1]!orders[[#This Row],[Customer Gender]]="O","Other", TRUE,"Unknown")</f>
        <v>Male</v>
      </c>
    </row>
    <row r="1818" spans="1:15" x14ac:dyDescent="0.25">
      <c r="A1818" s="1" t="s">
        <v>1903</v>
      </c>
      <c r="B1818" s="1" t="s">
        <v>15</v>
      </c>
      <c r="C1818" s="1">
        <v>4</v>
      </c>
      <c r="D1818" s="1">
        <v>55.7</v>
      </c>
      <c r="E1818" s="1">
        <v>222.8</v>
      </c>
      <c r="F1818" s="2">
        <v>45724</v>
      </c>
      <c r="G1818" s="2">
        <v>45726</v>
      </c>
      <c r="H1818" s="1" t="s">
        <v>74</v>
      </c>
      <c r="I1818" s="1" t="s">
        <v>3</v>
      </c>
      <c r="J1818" s="1">
        <v>3</v>
      </c>
      <c r="K1818" s="1" t="s">
        <v>4</v>
      </c>
      <c r="L1818" s="1" t="s">
        <v>132</v>
      </c>
      <c r="M1818" s="1">
        <f>[1]!orders[[#This Row],[Ship Date]]-[1]!orders[[#This Row],[Order Date]]</f>
        <v>2</v>
      </c>
      <c r="N1818" s="1">
        <f>WEEKNUM([1]!orders[[#This Row],[Order Date]])</f>
        <v>10</v>
      </c>
      <c r="O1818" t="str" cm="1">
        <f t="array" ref="O1818">_xlfn.IFS([1]!orders[[#This Row],[Customer Gender]]="M","Male", [1]!orders[[#This Row],[Customer Gender]]="F","Female", [1]!orders[[#This Row],[Customer Gender]]="O","Other", TRUE,"Unknown")</f>
        <v>Other</v>
      </c>
    </row>
    <row r="1819" spans="1:15" x14ac:dyDescent="0.25">
      <c r="A1819" t="s">
        <v>1904</v>
      </c>
      <c r="B1819" t="s">
        <v>27</v>
      </c>
      <c r="C1819">
        <v>2</v>
      </c>
      <c r="D1819">
        <v>102.4</v>
      </c>
      <c r="E1819">
        <v>204.8</v>
      </c>
      <c r="F1819" s="3">
        <v>45724</v>
      </c>
      <c r="G1819" s="3">
        <v>45724</v>
      </c>
      <c r="H1819" t="s">
        <v>12</v>
      </c>
      <c r="I1819" t="s">
        <v>20</v>
      </c>
      <c r="J1819">
        <v>4</v>
      </c>
      <c r="K1819" t="s">
        <v>4</v>
      </c>
      <c r="L1819" t="s">
        <v>18</v>
      </c>
      <c r="M1819">
        <f>[1]!orders[[#This Row],[Ship Date]]-[1]!orders[[#This Row],[Order Date]]</f>
        <v>0</v>
      </c>
      <c r="N1819">
        <f>WEEKNUM([1]!orders[[#This Row],[Order Date]])</f>
        <v>10</v>
      </c>
      <c r="O1819" t="str" cm="1">
        <f t="array" ref="O1819">_xlfn.IFS([1]!orders[[#This Row],[Customer Gender]]="M","Male", [1]!orders[[#This Row],[Customer Gender]]="F","Female", [1]!orders[[#This Row],[Customer Gender]]="O","Other", TRUE,"Unknown")</f>
        <v>Female</v>
      </c>
    </row>
    <row r="1820" spans="1:15" x14ac:dyDescent="0.25">
      <c r="A1820" s="1" t="s">
        <v>1905</v>
      </c>
      <c r="B1820" s="1" t="s">
        <v>7</v>
      </c>
      <c r="C1820" s="1">
        <v>1</v>
      </c>
      <c r="D1820" s="1">
        <v>92</v>
      </c>
      <c r="E1820" s="1">
        <v>92</v>
      </c>
      <c r="F1820" s="2">
        <v>45724</v>
      </c>
      <c r="G1820" s="2">
        <v>45728</v>
      </c>
      <c r="H1820" s="1" t="s">
        <v>2</v>
      </c>
      <c r="I1820" s="1" t="s">
        <v>25</v>
      </c>
      <c r="J1820" s="1">
        <v>4</v>
      </c>
      <c r="K1820" s="1" t="s">
        <v>4</v>
      </c>
      <c r="L1820" s="1" t="s">
        <v>18</v>
      </c>
      <c r="M1820" s="1">
        <f>[1]!orders[[#This Row],[Ship Date]]-[1]!orders[[#This Row],[Order Date]]</f>
        <v>4</v>
      </c>
      <c r="N1820" s="1">
        <f>WEEKNUM([1]!orders[[#This Row],[Order Date]])</f>
        <v>10</v>
      </c>
      <c r="O1820" t="str" cm="1">
        <f t="array" ref="O1820">_xlfn.IFS([1]!orders[[#This Row],[Customer Gender]]="M","Male", [1]!orders[[#This Row],[Customer Gender]]="F","Female", [1]!orders[[#This Row],[Customer Gender]]="O","Other", TRUE,"Unknown")</f>
        <v>Unknown</v>
      </c>
    </row>
    <row r="1821" spans="1:15" x14ac:dyDescent="0.25">
      <c r="A1821" t="s">
        <v>1906</v>
      </c>
      <c r="B1821" t="s">
        <v>24</v>
      </c>
      <c r="C1821">
        <v>4</v>
      </c>
      <c r="D1821">
        <v>75.900000000000006</v>
      </c>
      <c r="E1821">
        <v>303.60000000000002</v>
      </c>
      <c r="F1821" s="3">
        <v>45724</v>
      </c>
      <c r="G1821" s="3">
        <v>45726</v>
      </c>
      <c r="H1821" t="s">
        <v>12</v>
      </c>
      <c r="I1821" t="s">
        <v>20</v>
      </c>
      <c r="J1821">
        <v>4</v>
      </c>
      <c r="K1821" t="s">
        <v>4</v>
      </c>
      <c r="L1821" t="s">
        <v>18</v>
      </c>
      <c r="M1821">
        <f>[1]!orders[[#This Row],[Ship Date]]-[1]!orders[[#This Row],[Order Date]]</f>
        <v>2</v>
      </c>
      <c r="N1821">
        <f>WEEKNUM([1]!orders[[#This Row],[Order Date]])</f>
        <v>10</v>
      </c>
      <c r="O1821" t="str" cm="1">
        <f t="array" ref="O1821">_xlfn.IFS([1]!orders[[#This Row],[Customer Gender]]="M","Male", [1]!orders[[#This Row],[Customer Gender]]="F","Female", [1]!orders[[#This Row],[Customer Gender]]="O","Other", TRUE,"Unknown")</f>
        <v>Female</v>
      </c>
    </row>
    <row r="1822" spans="1:15" x14ac:dyDescent="0.25">
      <c r="A1822" s="1" t="s">
        <v>1907</v>
      </c>
      <c r="B1822" s="1" t="s">
        <v>7</v>
      </c>
      <c r="C1822" s="1">
        <v>4</v>
      </c>
      <c r="D1822" s="1">
        <v>36.200000000000003</v>
      </c>
      <c r="E1822" s="1">
        <v>144.80000000000001</v>
      </c>
      <c r="F1822" s="2">
        <v>45724</v>
      </c>
      <c r="G1822" s="2">
        <v>45725</v>
      </c>
      <c r="H1822" s="1" t="s">
        <v>12</v>
      </c>
      <c r="I1822" s="1" t="s">
        <v>20</v>
      </c>
      <c r="J1822" s="1">
        <v>4</v>
      </c>
      <c r="K1822" s="1" t="s">
        <v>4</v>
      </c>
      <c r="L1822" s="1" t="s">
        <v>18</v>
      </c>
      <c r="M1822" s="1">
        <f>[1]!orders[[#This Row],[Ship Date]]-[1]!orders[[#This Row],[Order Date]]</f>
        <v>1</v>
      </c>
      <c r="N1822" s="1">
        <f>WEEKNUM([1]!orders[[#This Row],[Order Date]])</f>
        <v>10</v>
      </c>
      <c r="O1822" t="str" cm="1">
        <f t="array" ref="O1822">_xlfn.IFS([1]!orders[[#This Row],[Customer Gender]]="M","Male", [1]!orders[[#This Row],[Customer Gender]]="F","Female", [1]!orders[[#This Row],[Customer Gender]]="O","Other", TRUE,"Unknown")</f>
        <v>Female</v>
      </c>
    </row>
    <row r="1823" spans="1:15" x14ac:dyDescent="0.25">
      <c r="A1823" t="s">
        <v>1908</v>
      </c>
      <c r="B1823" t="s">
        <v>24</v>
      </c>
      <c r="C1823">
        <v>87</v>
      </c>
      <c r="D1823">
        <v>83.5</v>
      </c>
      <c r="E1823">
        <v>7264.5</v>
      </c>
      <c r="F1823" s="3">
        <v>45724</v>
      </c>
      <c r="G1823" s="3">
        <v>45726</v>
      </c>
      <c r="H1823" t="s">
        <v>2</v>
      </c>
      <c r="I1823" t="s">
        <v>36</v>
      </c>
      <c r="J1823">
        <v>4</v>
      </c>
      <c r="K1823" t="s">
        <v>4</v>
      </c>
      <c r="L1823" t="s">
        <v>18</v>
      </c>
      <c r="M1823">
        <f>[1]!orders[[#This Row],[Ship Date]]-[1]!orders[[#This Row],[Order Date]]</f>
        <v>2</v>
      </c>
      <c r="N1823">
        <f>WEEKNUM([1]!orders[[#This Row],[Order Date]])</f>
        <v>10</v>
      </c>
      <c r="O1823" t="str" cm="1">
        <f t="array" ref="O1823">_xlfn.IFS([1]!orders[[#This Row],[Customer Gender]]="M","Male", [1]!orders[[#This Row],[Customer Gender]]="F","Female", [1]!orders[[#This Row],[Customer Gender]]="O","Other", TRUE,"Unknown")</f>
        <v>Unknown</v>
      </c>
    </row>
    <row r="1824" spans="1:15" x14ac:dyDescent="0.25">
      <c r="A1824" s="1" t="s">
        <v>1909</v>
      </c>
      <c r="B1824" s="1" t="s">
        <v>156</v>
      </c>
      <c r="C1824" s="1">
        <v>12</v>
      </c>
      <c r="D1824" s="1">
        <v>52.4</v>
      </c>
      <c r="E1824" s="1">
        <v>628.79999999999995</v>
      </c>
      <c r="F1824" s="2">
        <v>45724</v>
      </c>
      <c r="G1824" s="2">
        <v>45724</v>
      </c>
      <c r="H1824" s="1" t="s">
        <v>8</v>
      </c>
      <c r="I1824" s="1" t="s">
        <v>25</v>
      </c>
      <c r="J1824" s="1">
        <v>4</v>
      </c>
      <c r="K1824" s="1" t="s">
        <v>4</v>
      </c>
      <c r="L1824" s="1" t="s">
        <v>18</v>
      </c>
      <c r="M1824" s="1">
        <f>[1]!orders[[#This Row],[Ship Date]]-[1]!orders[[#This Row],[Order Date]]</f>
        <v>0</v>
      </c>
      <c r="N1824" s="1">
        <f>WEEKNUM([1]!orders[[#This Row],[Order Date]])</f>
        <v>10</v>
      </c>
      <c r="O1824" t="str" cm="1">
        <f t="array" ref="O1824">_xlfn.IFS([1]!orders[[#This Row],[Customer Gender]]="M","Male", [1]!orders[[#This Row],[Customer Gender]]="F","Female", [1]!orders[[#This Row],[Customer Gender]]="O","Other", TRUE,"Unknown")</f>
        <v>Male</v>
      </c>
    </row>
    <row r="1825" spans="1:15" x14ac:dyDescent="0.25">
      <c r="A1825" t="s">
        <v>1910</v>
      </c>
      <c r="B1825" t="s">
        <v>54</v>
      </c>
      <c r="C1825">
        <v>3</v>
      </c>
      <c r="D1825">
        <v>69.5</v>
      </c>
      <c r="E1825">
        <v>208.5</v>
      </c>
      <c r="F1825" s="3">
        <v>45724</v>
      </c>
      <c r="G1825" s="3">
        <v>45725</v>
      </c>
      <c r="H1825" t="s">
        <v>74</v>
      </c>
      <c r="I1825" t="s">
        <v>55</v>
      </c>
      <c r="J1825">
        <v>4</v>
      </c>
      <c r="K1825" t="s">
        <v>4</v>
      </c>
      <c r="L1825" t="s">
        <v>18</v>
      </c>
      <c r="M1825">
        <f>[1]!orders[[#This Row],[Ship Date]]-[1]!orders[[#This Row],[Order Date]]</f>
        <v>1</v>
      </c>
      <c r="N1825">
        <f>WEEKNUM([1]!orders[[#This Row],[Order Date]])</f>
        <v>10</v>
      </c>
      <c r="O1825" t="str" cm="1">
        <f t="array" ref="O1825">_xlfn.IFS([1]!orders[[#This Row],[Customer Gender]]="M","Male", [1]!orders[[#This Row],[Customer Gender]]="F","Female", [1]!orders[[#This Row],[Customer Gender]]="O","Other", TRUE,"Unknown")</f>
        <v>Other</v>
      </c>
    </row>
    <row r="1826" spans="1:15" x14ac:dyDescent="0.25">
      <c r="A1826" s="1" t="s">
        <v>1911</v>
      </c>
      <c r="B1826" s="1" t="s">
        <v>1</v>
      </c>
      <c r="C1826" s="1">
        <v>1</v>
      </c>
      <c r="D1826" s="1">
        <v>15.5</v>
      </c>
      <c r="E1826" s="1">
        <v>15.5</v>
      </c>
      <c r="F1826" s="2">
        <v>45724</v>
      </c>
      <c r="G1826" s="2">
        <v>45726</v>
      </c>
      <c r="H1826" s="1" t="s">
        <v>8</v>
      </c>
      <c r="I1826" s="1" t="s">
        <v>3</v>
      </c>
      <c r="J1826" s="1">
        <v>4</v>
      </c>
      <c r="K1826" s="1" t="s">
        <v>4</v>
      </c>
      <c r="L1826" s="1" t="s">
        <v>18</v>
      </c>
      <c r="M1826" s="1">
        <f>[1]!orders[[#This Row],[Ship Date]]-[1]!orders[[#This Row],[Order Date]]</f>
        <v>2</v>
      </c>
      <c r="N1826" s="1">
        <f>WEEKNUM([1]!orders[[#This Row],[Order Date]])</f>
        <v>10</v>
      </c>
      <c r="O1826" t="str" cm="1">
        <f t="array" ref="O1826">_xlfn.IFS([1]!orders[[#This Row],[Customer Gender]]="M","Male", [1]!orders[[#This Row],[Customer Gender]]="F","Female", [1]!orders[[#This Row],[Customer Gender]]="O","Other", TRUE,"Unknown")</f>
        <v>Male</v>
      </c>
    </row>
    <row r="1827" spans="1:15" x14ac:dyDescent="0.25">
      <c r="A1827" t="s">
        <v>1912</v>
      </c>
      <c r="B1827" t="s">
        <v>17</v>
      </c>
      <c r="C1827">
        <v>4</v>
      </c>
      <c r="D1827">
        <v>35.200000000000003</v>
      </c>
      <c r="E1827">
        <v>140.80000000000001</v>
      </c>
      <c r="F1827" s="3">
        <v>45724</v>
      </c>
      <c r="G1827" s="3">
        <v>45725</v>
      </c>
      <c r="H1827" t="s">
        <v>12</v>
      </c>
      <c r="I1827" t="s">
        <v>25</v>
      </c>
      <c r="J1827">
        <v>5</v>
      </c>
      <c r="K1827" t="s">
        <v>4</v>
      </c>
      <c r="L1827" t="s">
        <v>18</v>
      </c>
      <c r="M1827">
        <f>[1]!orders[[#This Row],[Ship Date]]-[1]!orders[[#This Row],[Order Date]]</f>
        <v>1</v>
      </c>
      <c r="N1827">
        <f>WEEKNUM([1]!orders[[#This Row],[Order Date]])</f>
        <v>10</v>
      </c>
      <c r="O1827" t="str" cm="1">
        <f t="array" ref="O1827">_xlfn.IFS([1]!orders[[#This Row],[Customer Gender]]="M","Male", [1]!orders[[#This Row],[Customer Gender]]="F","Female", [1]!orders[[#This Row],[Customer Gender]]="O","Other", TRUE,"Unknown")</f>
        <v>Female</v>
      </c>
    </row>
    <row r="1828" spans="1:15" x14ac:dyDescent="0.25">
      <c r="A1828" s="1" t="s">
        <v>1913</v>
      </c>
      <c r="B1828" s="1" t="s">
        <v>29</v>
      </c>
      <c r="C1828" s="1">
        <v>6</v>
      </c>
      <c r="D1828" s="1">
        <v>34.6</v>
      </c>
      <c r="E1828" s="1">
        <v>207.60000000000002</v>
      </c>
      <c r="F1828" s="2">
        <v>45724</v>
      </c>
      <c r="G1828" s="2">
        <v>45725</v>
      </c>
      <c r="H1828" s="1" t="s">
        <v>2</v>
      </c>
      <c r="I1828" s="1" t="s">
        <v>3</v>
      </c>
      <c r="J1828" s="1">
        <v>3</v>
      </c>
      <c r="K1828" s="1" t="s">
        <v>4</v>
      </c>
      <c r="L1828" s="1" t="s">
        <v>18</v>
      </c>
      <c r="M1828" s="1">
        <f>[1]!orders[[#This Row],[Ship Date]]-[1]!orders[[#This Row],[Order Date]]</f>
        <v>1</v>
      </c>
      <c r="N1828" s="1">
        <f>WEEKNUM([1]!orders[[#This Row],[Order Date]])</f>
        <v>10</v>
      </c>
      <c r="O1828" t="str" cm="1">
        <f t="array" ref="O1828">_xlfn.IFS([1]!orders[[#This Row],[Customer Gender]]="M","Male", [1]!orders[[#This Row],[Customer Gender]]="F","Female", [1]!orders[[#This Row],[Customer Gender]]="O","Other", TRUE,"Unknown")</f>
        <v>Unknown</v>
      </c>
    </row>
    <row r="1829" spans="1:15" x14ac:dyDescent="0.25">
      <c r="A1829" t="s">
        <v>1914</v>
      </c>
      <c r="B1829" t="s">
        <v>17</v>
      </c>
      <c r="C1829">
        <v>1</v>
      </c>
      <c r="D1829">
        <v>21.3</v>
      </c>
      <c r="E1829">
        <v>21.3</v>
      </c>
      <c r="F1829" s="3">
        <v>45725</v>
      </c>
      <c r="G1829" s="3">
        <v>45726</v>
      </c>
      <c r="H1829" t="s">
        <v>8</v>
      </c>
      <c r="I1829" t="s">
        <v>25</v>
      </c>
      <c r="J1829">
        <v>3</v>
      </c>
      <c r="K1829" t="s">
        <v>4</v>
      </c>
      <c r="L1829" t="s">
        <v>18</v>
      </c>
      <c r="M1829">
        <f>[1]!orders[[#This Row],[Ship Date]]-[1]!orders[[#This Row],[Order Date]]</f>
        <v>1</v>
      </c>
      <c r="N1829">
        <f>WEEKNUM([1]!orders[[#This Row],[Order Date]])</f>
        <v>11</v>
      </c>
      <c r="O1829" t="str" cm="1">
        <f t="array" ref="O1829">_xlfn.IFS([1]!orders[[#This Row],[Customer Gender]]="M","Male", [1]!orders[[#This Row],[Customer Gender]]="F","Female", [1]!orders[[#This Row],[Customer Gender]]="O","Other", TRUE,"Unknown")</f>
        <v>Male</v>
      </c>
    </row>
    <row r="1830" spans="1:15" x14ac:dyDescent="0.25">
      <c r="A1830" s="1" t="s">
        <v>1915</v>
      </c>
      <c r="B1830" s="1" t="s">
        <v>24</v>
      </c>
      <c r="C1830" s="1">
        <v>2</v>
      </c>
      <c r="D1830" s="1">
        <v>136.5</v>
      </c>
      <c r="E1830" s="1">
        <v>273</v>
      </c>
      <c r="F1830" s="2">
        <v>45725</v>
      </c>
      <c r="G1830" s="2">
        <v>45731</v>
      </c>
      <c r="H1830" s="1" t="s">
        <v>12</v>
      </c>
      <c r="I1830" s="1" t="s">
        <v>3</v>
      </c>
      <c r="J1830" s="1">
        <v>4</v>
      </c>
      <c r="K1830" s="1" t="s">
        <v>4</v>
      </c>
      <c r="L1830" s="1" t="s">
        <v>349</v>
      </c>
      <c r="M1830" s="1">
        <f>[1]!orders[[#This Row],[Ship Date]]-[1]!orders[[#This Row],[Order Date]]</f>
        <v>6</v>
      </c>
      <c r="N1830" s="1">
        <f>WEEKNUM([1]!orders[[#This Row],[Order Date]])</f>
        <v>11</v>
      </c>
      <c r="O1830" t="str" cm="1">
        <f t="array" ref="O1830">_xlfn.IFS([1]!orders[[#This Row],[Customer Gender]]="M","Male", [1]!orders[[#This Row],[Customer Gender]]="F","Female", [1]!orders[[#This Row],[Customer Gender]]="O","Other", TRUE,"Unknown")</f>
        <v>Female</v>
      </c>
    </row>
    <row r="1831" spans="1:15" x14ac:dyDescent="0.25">
      <c r="A1831" t="s">
        <v>1916</v>
      </c>
      <c r="B1831" t="s">
        <v>31</v>
      </c>
      <c r="C1831">
        <v>7</v>
      </c>
      <c r="D1831">
        <v>30.7</v>
      </c>
      <c r="E1831">
        <v>214.9</v>
      </c>
      <c r="F1831" s="3">
        <v>45725</v>
      </c>
      <c r="G1831" s="3">
        <v>45726</v>
      </c>
      <c r="H1831" t="s">
        <v>8</v>
      </c>
      <c r="I1831" t="s">
        <v>25</v>
      </c>
      <c r="J1831">
        <v>5</v>
      </c>
      <c r="K1831" t="s">
        <v>4</v>
      </c>
      <c r="L1831" t="s">
        <v>173</v>
      </c>
      <c r="M1831">
        <f>[1]!orders[[#This Row],[Ship Date]]-[1]!orders[[#This Row],[Order Date]]</f>
        <v>1</v>
      </c>
      <c r="N1831">
        <f>WEEKNUM([1]!orders[[#This Row],[Order Date]])</f>
        <v>11</v>
      </c>
      <c r="O1831" t="str" cm="1">
        <f t="array" ref="O1831">_xlfn.IFS([1]!orders[[#This Row],[Customer Gender]]="M","Male", [1]!orders[[#This Row],[Customer Gender]]="F","Female", [1]!orders[[#This Row],[Customer Gender]]="O","Other", TRUE,"Unknown")</f>
        <v>Male</v>
      </c>
    </row>
    <row r="1832" spans="1:15" x14ac:dyDescent="0.25">
      <c r="A1832" s="1" t="s">
        <v>1917</v>
      </c>
      <c r="B1832" s="1" t="s">
        <v>7</v>
      </c>
      <c r="C1832" s="1">
        <v>2</v>
      </c>
      <c r="D1832" s="1">
        <v>61.6</v>
      </c>
      <c r="E1832" s="1">
        <v>123.2</v>
      </c>
      <c r="F1832" s="2">
        <v>45725</v>
      </c>
      <c r="G1832" s="2">
        <v>45726</v>
      </c>
      <c r="H1832" s="1" t="s">
        <v>12</v>
      </c>
      <c r="I1832" s="1" t="s">
        <v>25</v>
      </c>
      <c r="J1832" s="1">
        <v>5</v>
      </c>
      <c r="K1832" s="1" t="s">
        <v>4</v>
      </c>
      <c r="L1832" s="1" t="s">
        <v>143</v>
      </c>
      <c r="M1832" s="1">
        <f>[1]!orders[[#This Row],[Ship Date]]-[1]!orders[[#This Row],[Order Date]]</f>
        <v>1</v>
      </c>
      <c r="N1832" s="1">
        <f>WEEKNUM([1]!orders[[#This Row],[Order Date]])</f>
        <v>11</v>
      </c>
      <c r="O1832" t="str" cm="1">
        <f t="array" ref="O1832">_xlfn.IFS([1]!orders[[#This Row],[Customer Gender]]="M","Male", [1]!orders[[#This Row],[Customer Gender]]="F","Female", [1]!orders[[#This Row],[Customer Gender]]="O","Other", TRUE,"Unknown")</f>
        <v>Female</v>
      </c>
    </row>
    <row r="1833" spans="1:15" x14ac:dyDescent="0.25">
      <c r="A1833" t="s">
        <v>1918</v>
      </c>
      <c r="B1833" t="s">
        <v>24</v>
      </c>
      <c r="C1833">
        <v>4</v>
      </c>
      <c r="D1833">
        <v>54.3</v>
      </c>
      <c r="E1833">
        <v>217.2</v>
      </c>
      <c r="F1833" s="3">
        <v>45725</v>
      </c>
      <c r="G1833" s="3">
        <v>45727</v>
      </c>
      <c r="H1833" t="s">
        <v>2</v>
      </c>
      <c r="I1833" t="s">
        <v>55</v>
      </c>
      <c r="J1833">
        <v>4</v>
      </c>
      <c r="K1833" t="s">
        <v>4</v>
      </c>
      <c r="L1833" t="s">
        <v>44</v>
      </c>
      <c r="M1833">
        <f>[1]!orders[[#This Row],[Ship Date]]-[1]!orders[[#This Row],[Order Date]]</f>
        <v>2</v>
      </c>
      <c r="N1833">
        <f>WEEKNUM([1]!orders[[#This Row],[Order Date]])</f>
        <v>11</v>
      </c>
      <c r="O1833" t="str" cm="1">
        <f t="array" ref="O1833">_xlfn.IFS([1]!orders[[#This Row],[Customer Gender]]="M","Male", [1]!orders[[#This Row],[Customer Gender]]="F","Female", [1]!orders[[#This Row],[Customer Gender]]="O","Other", TRUE,"Unknown")</f>
        <v>Unknown</v>
      </c>
    </row>
    <row r="1834" spans="1:15" x14ac:dyDescent="0.25">
      <c r="A1834" s="1" t="s">
        <v>1919</v>
      </c>
      <c r="B1834" s="1" t="s">
        <v>7</v>
      </c>
      <c r="C1834" s="1">
        <v>2</v>
      </c>
      <c r="D1834" s="1">
        <v>44.1</v>
      </c>
      <c r="E1834" s="1">
        <v>88.2</v>
      </c>
      <c r="F1834" s="2">
        <v>45725</v>
      </c>
      <c r="G1834" s="2">
        <v>45737</v>
      </c>
      <c r="H1834" s="1" t="s">
        <v>12</v>
      </c>
      <c r="I1834" s="1" t="s">
        <v>3</v>
      </c>
      <c r="J1834" s="1">
        <v>5</v>
      </c>
      <c r="K1834" s="1" t="s">
        <v>4</v>
      </c>
      <c r="L1834" s="1" t="s">
        <v>47</v>
      </c>
      <c r="M1834" s="1">
        <f>[1]!orders[[#This Row],[Ship Date]]-[1]!orders[[#This Row],[Order Date]]</f>
        <v>12</v>
      </c>
      <c r="N1834" s="1">
        <f>WEEKNUM([1]!orders[[#This Row],[Order Date]])</f>
        <v>11</v>
      </c>
      <c r="O1834" t="str" cm="1">
        <f t="array" ref="O1834">_xlfn.IFS([1]!orders[[#This Row],[Customer Gender]]="M","Male", [1]!orders[[#This Row],[Customer Gender]]="F","Female", [1]!orders[[#This Row],[Customer Gender]]="O","Other", TRUE,"Unknown")</f>
        <v>Female</v>
      </c>
    </row>
    <row r="1835" spans="1:15" x14ac:dyDescent="0.25">
      <c r="A1835" t="s">
        <v>1920</v>
      </c>
      <c r="B1835" t="s">
        <v>29</v>
      </c>
      <c r="C1835">
        <v>4</v>
      </c>
      <c r="D1835">
        <v>43.5</v>
      </c>
      <c r="E1835">
        <v>174</v>
      </c>
      <c r="F1835" s="3">
        <v>45725</v>
      </c>
      <c r="G1835" s="3">
        <v>45731</v>
      </c>
      <c r="H1835" t="s">
        <v>8</v>
      </c>
      <c r="I1835" t="s">
        <v>36</v>
      </c>
      <c r="J1835">
        <v>4</v>
      </c>
      <c r="K1835" t="s">
        <v>4</v>
      </c>
      <c r="L1835" t="s">
        <v>47</v>
      </c>
      <c r="M1835">
        <f>[1]!orders[[#This Row],[Ship Date]]-[1]!orders[[#This Row],[Order Date]]</f>
        <v>6</v>
      </c>
      <c r="N1835">
        <f>WEEKNUM([1]!orders[[#This Row],[Order Date]])</f>
        <v>11</v>
      </c>
      <c r="O1835" t="str" cm="1">
        <f t="array" ref="O1835">_xlfn.IFS([1]!orders[[#This Row],[Customer Gender]]="M","Male", [1]!orders[[#This Row],[Customer Gender]]="F","Female", [1]!orders[[#This Row],[Customer Gender]]="O","Other", TRUE,"Unknown")</f>
        <v>Male</v>
      </c>
    </row>
    <row r="1836" spans="1:15" x14ac:dyDescent="0.25">
      <c r="A1836" s="1" t="s">
        <v>1921</v>
      </c>
      <c r="B1836" s="1" t="s">
        <v>29</v>
      </c>
      <c r="C1836" s="1">
        <v>3</v>
      </c>
      <c r="D1836" s="1">
        <v>48.2</v>
      </c>
      <c r="E1836" s="1">
        <v>144.60000000000002</v>
      </c>
      <c r="F1836" s="2">
        <v>45725</v>
      </c>
      <c r="G1836" s="2">
        <v>45729</v>
      </c>
      <c r="H1836" s="1" t="s">
        <v>8</v>
      </c>
      <c r="I1836" s="1" t="s">
        <v>36</v>
      </c>
      <c r="J1836" s="1">
        <v>3</v>
      </c>
      <c r="K1836" s="1" t="s">
        <v>4</v>
      </c>
      <c r="L1836" s="1" t="s">
        <v>47</v>
      </c>
      <c r="M1836" s="1">
        <f>[1]!orders[[#This Row],[Ship Date]]-[1]!orders[[#This Row],[Order Date]]</f>
        <v>4</v>
      </c>
      <c r="N1836" s="1">
        <f>WEEKNUM([1]!orders[[#This Row],[Order Date]])</f>
        <v>11</v>
      </c>
      <c r="O1836" t="str" cm="1">
        <f t="array" ref="O1836">_xlfn.IFS([1]!orders[[#This Row],[Customer Gender]]="M","Male", [1]!orders[[#This Row],[Customer Gender]]="F","Female", [1]!orders[[#This Row],[Customer Gender]]="O","Other", TRUE,"Unknown")</f>
        <v>Male</v>
      </c>
    </row>
    <row r="1837" spans="1:15" x14ac:dyDescent="0.25">
      <c r="A1837" t="s">
        <v>1922</v>
      </c>
      <c r="B1837" t="s">
        <v>156</v>
      </c>
      <c r="C1837">
        <v>1</v>
      </c>
      <c r="D1837">
        <v>13.7</v>
      </c>
      <c r="E1837">
        <v>13.7</v>
      </c>
      <c r="F1837" s="3">
        <v>45725</v>
      </c>
      <c r="G1837" s="3">
        <v>45726</v>
      </c>
      <c r="H1837" t="s">
        <v>12</v>
      </c>
      <c r="I1837" t="s">
        <v>25</v>
      </c>
      <c r="J1837">
        <v>5</v>
      </c>
      <c r="K1837" t="s">
        <v>4</v>
      </c>
      <c r="L1837" t="s">
        <v>47</v>
      </c>
      <c r="M1837">
        <f>[1]!orders[[#This Row],[Ship Date]]-[1]!orders[[#This Row],[Order Date]]</f>
        <v>1</v>
      </c>
      <c r="N1837">
        <f>WEEKNUM([1]!orders[[#This Row],[Order Date]])</f>
        <v>11</v>
      </c>
      <c r="O1837" t="str" cm="1">
        <f t="array" ref="O1837">_xlfn.IFS([1]!orders[[#This Row],[Customer Gender]]="M","Male", [1]!orders[[#This Row],[Customer Gender]]="F","Female", [1]!orders[[#This Row],[Customer Gender]]="O","Other", TRUE,"Unknown")</f>
        <v>Female</v>
      </c>
    </row>
    <row r="1838" spans="1:15" x14ac:dyDescent="0.25">
      <c r="A1838" s="1" t="s">
        <v>1923</v>
      </c>
      <c r="B1838" s="1" t="s">
        <v>11</v>
      </c>
      <c r="C1838" s="1">
        <v>2</v>
      </c>
      <c r="D1838" s="1">
        <v>110.5</v>
      </c>
      <c r="E1838" s="1">
        <v>221</v>
      </c>
      <c r="F1838" s="2">
        <v>45725</v>
      </c>
      <c r="G1838" s="2">
        <v>45726</v>
      </c>
      <c r="H1838" s="1" t="s">
        <v>12</v>
      </c>
      <c r="I1838" s="1" t="s">
        <v>3</v>
      </c>
      <c r="J1838" s="1">
        <v>3</v>
      </c>
      <c r="K1838" s="1" t="s">
        <v>4</v>
      </c>
      <c r="L1838" s="1" t="s">
        <v>47</v>
      </c>
      <c r="M1838" s="1">
        <f>[1]!orders[[#This Row],[Ship Date]]-[1]!orders[[#This Row],[Order Date]]</f>
        <v>1</v>
      </c>
      <c r="N1838" s="1">
        <f>WEEKNUM([1]!orders[[#This Row],[Order Date]])</f>
        <v>11</v>
      </c>
      <c r="O1838" t="str" cm="1">
        <f t="array" ref="O1838">_xlfn.IFS([1]!orders[[#This Row],[Customer Gender]]="M","Male", [1]!orders[[#This Row],[Customer Gender]]="F","Female", [1]!orders[[#This Row],[Customer Gender]]="O","Other", TRUE,"Unknown")</f>
        <v>Female</v>
      </c>
    </row>
    <row r="1839" spans="1:15" x14ac:dyDescent="0.25">
      <c r="A1839" t="s">
        <v>1924</v>
      </c>
      <c r="B1839" t="s">
        <v>29</v>
      </c>
      <c r="C1839">
        <v>3</v>
      </c>
      <c r="D1839">
        <v>26</v>
      </c>
      <c r="E1839">
        <v>78</v>
      </c>
      <c r="F1839" s="3">
        <v>45725</v>
      </c>
      <c r="G1839" s="3">
        <v>45730</v>
      </c>
      <c r="H1839" t="s">
        <v>12</v>
      </c>
      <c r="I1839" t="s">
        <v>20</v>
      </c>
      <c r="J1839">
        <v>3</v>
      </c>
      <c r="K1839" t="s">
        <v>4</v>
      </c>
      <c r="L1839" t="s">
        <v>47</v>
      </c>
      <c r="M1839">
        <f>[1]!orders[[#This Row],[Ship Date]]-[1]!orders[[#This Row],[Order Date]]</f>
        <v>5</v>
      </c>
      <c r="N1839">
        <f>WEEKNUM([1]!orders[[#This Row],[Order Date]])</f>
        <v>11</v>
      </c>
      <c r="O1839" t="str" cm="1">
        <f t="array" ref="O1839">_xlfn.IFS([1]!orders[[#This Row],[Customer Gender]]="M","Male", [1]!orders[[#This Row],[Customer Gender]]="F","Female", [1]!orders[[#This Row],[Customer Gender]]="O","Other", TRUE,"Unknown")</f>
        <v>Female</v>
      </c>
    </row>
    <row r="1840" spans="1:15" x14ac:dyDescent="0.25">
      <c r="A1840" s="1" t="s">
        <v>1925</v>
      </c>
      <c r="B1840" s="1" t="s">
        <v>11</v>
      </c>
      <c r="C1840" s="1">
        <v>10</v>
      </c>
      <c r="D1840" s="1">
        <v>140.69999999999999</v>
      </c>
      <c r="E1840" s="1">
        <v>1407</v>
      </c>
      <c r="F1840" s="2">
        <v>45725</v>
      </c>
      <c r="G1840" s="2">
        <v>45731</v>
      </c>
      <c r="H1840" s="1" t="s">
        <v>8</v>
      </c>
      <c r="I1840" s="1" t="s">
        <v>36</v>
      </c>
      <c r="J1840" s="1">
        <v>3</v>
      </c>
      <c r="K1840" s="1" t="s">
        <v>4</v>
      </c>
      <c r="L1840" s="1" t="s">
        <v>47</v>
      </c>
      <c r="M1840" s="1">
        <f>[1]!orders[[#This Row],[Ship Date]]-[1]!orders[[#This Row],[Order Date]]</f>
        <v>6</v>
      </c>
      <c r="N1840" s="1">
        <f>WEEKNUM([1]!orders[[#This Row],[Order Date]])</f>
        <v>11</v>
      </c>
      <c r="O1840" t="str" cm="1">
        <f t="array" ref="O1840">_xlfn.IFS([1]!orders[[#This Row],[Customer Gender]]="M","Male", [1]!orders[[#This Row],[Customer Gender]]="F","Female", [1]!orders[[#This Row],[Customer Gender]]="O","Other", TRUE,"Unknown")</f>
        <v>Male</v>
      </c>
    </row>
    <row r="1841" spans="1:15" x14ac:dyDescent="0.25">
      <c r="A1841" t="s">
        <v>1926</v>
      </c>
      <c r="B1841" t="s">
        <v>120</v>
      </c>
      <c r="C1841">
        <v>2</v>
      </c>
      <c r="D1841">
        <v>41.7</v>
      </c>
      <c r="E1841">
        <v>83.4</v>
      </c>
      <c r="F1841" s="3">
        <v>45725</v>
      </c>
      <c r="G1841" s="3">
        <v>45733</v>
      </c>
      <c r="H1841" t="s">
        <v>12</v>
      </c>
      <c r="I1841" t="s">
        <v>3</v>
      </c>
      <c r="J1841">
        <v>2</v>
      </c>
      <c r="K1841" t="s">
        <v>4</v>
      </c>
      <c r="L1841" t="s">
        <v>47</v>
      </c>
      <c r="M1841">
        <f>[1]!orders[[#This Row],[Ship Date]]-[1]!orders[[#This Row],[Order Date]]</f>
        <v>8</v>
      </c>
      <c r="N1841">
        <f>WEEKNUM([1]!orders[[#This Row],[Order Date]])</f>
        <v>11</v>
      </c>
      <c r="O1841" t="str" cm="1">
        <f t="array" ref="O1841">_xlfn.IFS([1]!orders[[#This Row],[Customer Gender]]="M","Male", [1]!orders[[#This Row],[Customer Gender]]="F","Female", [1]!orders[[#This Row],[Customer Gender]]="O","Other", TRUE,"Unknown")</f>
        <v>Female</v>
      </c>
    </row>
    <row r="1842" spans="1:15" x14ac:dyDescent="0.25">
      <c r="A1842" s="1" t="s">
        <v>1927</v>
      </c>
      <c r="B1842" s="1" t="s">
        <v>11</v>
      </c>
      <c r="C1842" s="1">
        <v>2</v>
      </c>
      <c r="D1842" s="1">
        <v>135.1</v>
      </c>
      <c r="E1842" s="1">
        <v>270.2</v>
      </c>
      <c r="F1842" s="2">
        <v>45725</v>
      </c>
      <c r="G1842" s="2">
        <v>45726</v>
      </c>
      <c r="H1842" s="1" t="s">
        <v>8</v>
      </c>
      <c r="I1842" s="1" t="s">
        <v>3</v>
      </c>
      <c r="J1842" s="1">
        <v>5</v>
      </c>
      <c r="K1842" s="1" t="s">
        <v>4</v>
      </c>
      <c r="L1842" s="1" t="s">
        <v>88</v>
      </c>
      <c r="M1842" s="1">
        <f>[1]!orders[[#This Row],[Ship Date]]-[1]!orders[[#This Row],[Order Date]]</f>
        <v>1</v>
      </c>
      <c r="N1842" s="1">
        <f>WEEKNUM([1]!orders[[#This Row],[Order Date]])</f>
        <v>11</v>
      </c>
      <c r="O1842" t="str" cm="1">
        <f t="array" ref="O1842">_xlfn.IFS([1]!orders[[#This Row],[Customer Gender]]="M","Male", [1]!orders[[#This Row],[Customer Gender]]="F","Female", [1]!orders[[#This Row],[Customer Gender]]="O","Other", TRUE,"Unknown")</f>
        <v>Male</v>
      </c>
    </row>
    <row r="1843" spans="1:15" x14ac:dyDescent="0.25">
      <c r="A1843" t="s">
        <v>1928</v>
      </c>
      <c r="B1843" t="s">
        <v>54</v>
      </c>
      <c r="C1843">
        <v>22</v>
      </c>
      <c r="D1843">
        <v>95.5</v>
      </c>
      <c r="E1843">
        <v>2101</v>
      </c>
      <c r="F1843" s="3">
        <v>45725</v>
      </c>
      <c r="G1843" s="3">
        <v>45726</v>
      </c>
      <c r="H1843" t="s">
        <v>12</v>
      </c>
      <c r="I1843" t="s">
        <v>55</v>
      </c>
      <c r="J1843">
        <v>2</v>
      </c>
      <c r="K1843" t="s">
        <v>4</v>
      </c>
      <c r="L1843" t="s">
        <v>186</v>
      </c>
      <c r="M1843">
        <f>[1]!orders[[#This Row],[Ship Date]]-[1]!orders[[#This Row],[Order Date]]</f>
        <v>1</v>
      </c>
      <c r="N1843">
        <f>WEEKNUM([1]!orders[[#This Row],[Order Date]])</f>
        <v>11</v>
      </c>
      <c r="O1843" t="str" cm="1">
        <f t="array" ref="O1843">_xlfn.IFS([1]!orders[[#This Row],[Customer Gender]]="M","Male", [1]!orders[[#This Row],[Customer Gender]]="F","Female", [1]!orders[[#This Row],[Customer Gender]]="O","Other", TRUE,"Unknown")</f>
        <v>Female</v>
      </c>
    </row>
    <row r="1844" spans="1:15" x14ac:dyDescent="0.25">
      <c r="A1844" s="1" t="s">
        <v>1929</v>
      </c>
      <c r="B1844" s="1" t="s">
        <v>108</v>
      </c>
      <c r="C1844" s="1">
        <v>1</v>
      </c>
      <c r="D1844" s="1">
        <v>25.5</v>
      </c>
      <c r="E1844" s="1">
        <v>25.5</v>
      </c>
      <c r="F1844" s="2">
        <v>45725</v>
      </c>
      <c r="G1844" s="2">
        <v>45728</v>
      </c>
      <c r="H1844" s="1" t="s">
        <v>2</v>
      </c>
      <c r="I1844" s="1" t="s">
        <v>25</v>
      </c>
      <c r="J1844" s="1">
        <v>5</v>
      </c>
      <c r="K1844" s="1" t="s">
        <v>4</v>
      </c>
      <c r="L1844" s="1" t="s">
        <v>62</v>
      </c>
      <c r="M1844" s="1">
        <f>[1]!orders[[#This Row],[Ship Date]]-[1]!orders[[#This Row],[Order Date]]</f>
        <v>3</v>
      </c>
      <c r="N1844" s="1">
        <f>WEEKNUM([1]!orders[[#This Row],[Order Date]])</f>
        <v>11</v>
      </c>
      <c r="O1844" t="str" cm="1">
        <f t="array" ref="O1844">_xlfn.IFS([1]!orders[[#This Row],[Customer Gender]]="M","Male", [1]!orders[[#This Row],[Customer Gender]]="F","Female", [1]!orders[[#This Row],[Customer Gender]]="O","Other", TRUE,"Unknown")</f>
        <v>Unknown</v>
      </c>
    </row>
    <row r="1845" spans="1:15" x14ac:dyDescent="0.25">
      <c r="A1845" t="s">
        <v>1930</v>
      </c>
      <c r="B1845" t="s">
        <v>7</v>
      </c>
      <c r="C1845">
        <v>1</v>
      </c>
      <c r="D1845">
        <v>42.6</v>
      </c>
      <c r="E1845">
        <v>42.6</v>
      </c>
      <c r="F1845" s="3">
        <v>45725</v>
      </c>
      <c r="G1845" s="3">
        <v>45729</v>
      </c>
      <c r="H1845" t="s">
        <v>12</v>
      </c>
      <c r="I1845" t="s">
        <v>3</v>
      </c>
      <c r="J1845">
        <v>4</v>
      </c>
      <c r="K1845" t="s">
        <v>4</v>
      </c>
      <c r="L1845" t="s">
        <v>62</v>
      </c>
      <c r="M1845">
        <f>[1]!orders[[#This Row],[Ship Date]]-[1]!orders[[#This Row],[Order Date]]</f>
        <v>4</v>
      </c>
      <c r="N1845">
        <f>WEEKNUM([1]!orders[[#This Row],[Order Date]])</f>
        <v>11</v>
      </c>
      <c r="O1845" t="str" cm="1">
        <f t="array" ref="O1845">_xlfn.IFS([1]!orders[[#This Row],[Customer Gender]]="M","Male", [1]!orders[[#This Row],[Customer Gender]]="F","Female", [1]!orders[[#This Row],[Customer Gender]]="O","Other", TRUE,"Unknown")</f>
        <v>Female</v>
      </c>
    </row>
    <row r="1846" spans="1:15" x14ac:dyDescent="0.25">
      <c r="A1846" s="1" t="s">
        <v>1931</v>
      </c>
      <c r="B1846" s="1" t="s">
        <v>29</v>
      </c>
      <c r="C1846" s="1">
        <v>15</v>
      </c>
      <c r="D1846" s="1">
        <v>32.4</v>
      </c>
      <c r="E1846" s="1">
        <v>486</v>
      </c>
      <c r="F1846" s="2">
        <v>45725</v>
      </c>
      <c r="G1846" s="2">
        <v>45726</v>
      </c>
      <c r="H1846" s="1" t="s">
        <v>8</v>
      </c>
      <c r="I1846" s="1" t="s">
        <v>20</v>
      </c>
      <c r="J1846" s="1">
        <v>3</v>
      </c>
      <c r="K1846" s="1" t="s">
        <v>4</v>
      </c>
      <c r="L1846" s="1" t="s">
        <v>62</v>
      </c>
      <c r="M1846" s="1">
        <f>[1]!orders[[#This Row],[Ship Date]]-[1]!orders[[#This Row],[Order Date]]</f>
        <v>1</v>
      </c>
      <c r="N1846" s="1">
        <f>WEEKNUM([1]!orders[[#This Row],[Order Date]])</f>
        <v>11</v>
      </c>
      <c r="O1846" t="str" cm="1">
        <f t="array" ref="O1846">_xlfn.IFS([1]!orders[[#This Row],[Customer Gender]]="M","Male", [1]!orders[[#This Row],[Customer Gender]]="F","Female", [1]!orders[[#This Row],[Customer Gender]]="O","Other", TRUE,"Unknown")</f>
        <v>Male</v>
      </c>
    </row>
    <row r="1847" spans="1:15" x14ac:dyDescent="0.25">
      <c r="A1847" t="s">
        <v>1932</v>
      </c>
      <c r="B1847" t="s">
        <v>17</v>
      </c>
      <c r="C1847">
        <v>4</v>
      </c>
      <c r="D1847">
        <v>20.2</v>
      </c>
      <c r="E1847">
        <v>80.8</v>
      </c>
      <c r="F1847" s="3">
        <v>45725</v>
      </c>
      <c r="G1847" s="3">
        <v>45726</v>
      </c>
      <c r="H1847" t="s">
        <v>74</v>
      </c>
      <c r="I1847" t="s">
        <v>25</v>
      </c>
      <c r="J1847">
        <v>4</v>
      </c>
      <c r="K1847" t="s">
        <v>4</v>
      </c>
      <c r="L1847" t="s">
        <v>62</v>
      </c>
      <c r="M1847">
        <f>[1]!orders[[#This Row],[Ship Date]]-[1]!orders[[#This Row],[Order Date]]</f>
        <v>1</v>
      </c>
      <c r="N1847">
        <f>WEEKNUM([1]!orders[[#This Row],[Order Date]])</f>
        <v>11</v>
      </c>
      <c r="O1847" t="str" cm="1">
        <f t="array" ref="O1847">_xlfn.IFS([1]!orders[[#This Row],[Customer Gender]]="M","Male", [1]!orders[[#This Row],[Customer Gender]]="F","Female", [1]!orders[[#This Row],[Customer Gender]]="O","Other", TRUE,"Unknown")</f>
        <v>Other</v>
      </c>
    </row>
    <row r="1848" spans="1:15" x14ac:dyDescent="0.25">
      <c r="A1848" s="1" t="s">
        <v>1933</v>
      </c>
      <c r="B1848" s="1" t="s">
        <v>113</v>
      </c>
      <c r="C1848" s="1">
        <v>3</v>
      </c>
      <c r="D1848" s="1">
        <v>52.5</v>
      </c>
      <c r="E1848" s="1">
        <v>157.5</v>
      </c>
      <c r="F1848" s="2">
        <v>45725</v>
      </c>
      <c r="G1848" s="2">
        <v>45730</v>
      </c>
      <c r="H1848" s="1" t="s">
        <v>12</v>
      </c>
      <c r="I1848" s="1" t="s">
        <v>55</v>
      </c>
      <c r="J1848" s="1">
        <v>4</v>
      </c>
      <c r="K1848" s="1" t="s">
        <v>4</v>
      </c>
      <c r="L1848" s="1" t="s">
        <v>93</v>
      </c>
      <c r="M1848" s="1">
        <f>[1]!orders[[#This Row],[Ship Date]]-[1]!orders[[#This Row],[Order Date]]</f>
        <v>5</v>
      </c>
      <c r="N1848" s="1">
        <f>WEEKNUM([1]!orders[[#This Row],[Order Date]])</f>
        <v>11</v>
      </c>
      <c r="O1848" t="str" cm="1">
        <f t="array" ref="O1848">_xlfn.IFS([1]!orders[[#This Row],[Customer Gender]]="M","Male", [1]!orders[[#This Row],[Customer Gender]]="F","Female", [1]!orders[[#This Row],[Customer Gender]]="O","Other", TRUE,"Unknown")</f>
        <v>Female</v>
      </c>
    </row>
    <row r="1849" spans="1:15" x14ac:dyDescent="0.25">
      <c r="A1849" t="s">
        <v>1934</v>
      </c>
      <c r="B1849" t="s">
        <v>11</v>
      </c>
      <c r="C1849">
        <v>5</v>
      </c>
      <c r="D1849">
        <v>59.9</v>
      </c>
      <c r="E1849">
        <v>299.5</v>
      </c>
      <c r="F1849" s="3">
        <v>45725</v>
      </c>
      <c r="G1849" s="3">
        <v>45727</v>
      </c>
      <c r="H1849" t="s">
        <v>12</v>
      </c>
      <c r="I1849" t="s">
        <v>25</v>
      </c>
      <c r="J1849">
        <v>4</v>
      </c>
      <c r="K1849" t="s">
        <v>4</v>
      </c>
      <c r="L1849" t="s">
        <v>95</v>
      </c>
      <c r="M1849">
        <f>[1]!orders[[#This Row],[Ship Date]]-[1]!orders[[#This Row],[Order Date]]</f>
        <v>2</v>
      </c>
      <c r="N1849">
        <f>WEEKNUM([1]!orders[[#This Row],[Order Date]])</f>
        <v>11</v>
      </c>
      <c r="O1849" t="str" cm="1">
        <f t="array" ref="O1849">_xlfn.IFS([1]!orders[[#This Row],[Customer Gender]]="M","Male", [1]!orders[[#This Row],[Customer Gender]]="F","Female", [1]!orders[[#This Row],[Customer Gender]]="O","Other", TRUE,"Unknown")</f>
        <v>Female</v>
      </c>
    </row>
    <row r="1850" spans="1:15" x14ac:dyDescent="0.25">
      <c r="A1850" s="1" t="s">
        <v>1935</v>
      </c>
      <c r="B1850" s="1" t="s">
        <v>17</v>
      </c>
      <c r="C1850" s="1">
        <v>2</v>
      </c>
      <c r="D1850" s="1">
        <v>53.2</v>
      </c>
      <c r="E1850" s="1">
        <v>106.4</v>
      </c>
      <c r="F1850" s="2">
        <v>45725</v>
      </c>
      <c r="G1850" s="2">
        <v>45726</v>
      </c>
      <c r="H1850" s="1" t="s">
        <v>12</v>
      </c>
      <c r="I1850" s="1" t="s">
        <v>20</v>
      </c>
      <c r="J1850" s="1">
        <v>1</v>
      </c>
      <c r="K1850" s="1" t="s">
        <v>4</v>
      </c>
      <c r="L1850" s="1" t="s">
        <v>98</v>
      </c>
      <c r="M1850" s="1">
        <f>[1]!orders[[#This Row],[Ship Date]]-[1]!orders[[#This Row],[Order Date]]</f>
        <v>1</v>
      </c>
      <c r="N1850" s="1">
        <f>WEEKNUM([1]!orders[[#This Row],[Order Date]])</f>
        <v>11</v>
      </c>
      <c r="O1850" t="str" cm="1">
        <f t="array" ref="O1850">_xlfn.IFS([1]!orders[[#This Row],[Customer Gender]]="M","Male", [1]!orders[[#This Row],[Customer Gender]]="F","Female", [1]!orders[[#This Row],[Customer Gender]]="O","Other", TRUE,"Unknown")</f>
        <v>Female</v>
      </c>
    </row>
    <row r="1851" spans="1:15" x14ac:dyDescent="0.25">
      <c r="A1851" t="s">
        <v>1936</v>
      </c>
      <c r="B1851" t="s">
        <v>11</v>
      </c>
      <c r="C1851">
        <v>2</v>
      </c>
      <c r="D1851">
        <v>60</v>
      </c>
      <c r="E1851">
        <v>120</v>
      </c>
      <c r="F1851" s="3">
        <v>45725</v>
      </c>
      <c r="G1851" s="3">
        <v>45731</v>
      </c>
      <c r="H1851" t="s">
        <v>8</v>
      </c>
      <c r="I1851" t="s">
        <v>20</v>
      </c>
      <c r="J1851">
        <v>5</v>
      </c>
      <c r="K1851" t="s">
        <v>4</v>
      </c>
      <c r="L1851" t="s">
        <v>98</v>
      </c>
      <c r="M1851">
        <f>[1]!orders[[#This Row],[Ship Date]]-[1]!orders[[#This Row],[Order Date]]</f>
        <v>6</v>
      </c>
      <c r="N1851">
        <f>WEEKNUM([1]!orders[[#This Row],[Order Date]])</f>
        <v>11</v>
      </c>
      <c r="O1851" t="str" cm="1">
        <f t="array" ref="O1851">_xlfn.IFS([1]!orders[[#This Row],[Customer Gender]]="M","Male", [1]!orders[[#This Row],[Customer Gender]]="F","Female", [1]!orders[[#This Row],[Customer Gender]]="O","Other", TRUE,"Unknown")</f>
        <v>Male</v>
      </c>
    </row>
    <row r="1852" spans="1:15" x14ac:dyDescent="0.25">
      <c r="A1852" s="1" t="s">
        <v>1937</v>
      </c>
      <c r="B1852" s="1" t="s">
        <v>29</v>
      </c>
      <c r="C1852" s="1">
        <v>3</v>
      </c>
      <c r="D1852" s="1">
        <v>29.3</v>
      </c>
      <c r="E1852" s="1">
        <v>87.9</v>
      </c>
      <c r="F1852" s="2">
        <v>45725</v>
      </c>
      <c r="G1852" s="2">
        <v>45726</v>
      </c>
      <c r="H1852" s="1" t="s">
        <v>12</v>
      </c>
      <c r="I1852" s="1" t="s">
        <v>55</v>
      </c>
      <c r="J1852" s="1">
        <v>4</v>
      </c>
      <c r="K1852" s="1" t="s">
        <v>4</v>
      </c>
      <c r="L1852" s="1" t="s">
        <v>67</v>
      </c>
      <c r="M1852" s="1">
        <f>[1]!orders[[#This Row],[Ship Date]]-[1]!orders[[#This Row],[Order Date]]</f>
        <v>1</v>
      </c>
      <c r="N1852" s="1">
        <f>WEEKNUM([1]!orders[[#This Row],[Order Date]])</f>
        <v>11</v>
      </c>
      <c r="O1852" t="str" cm="1">
        <f t="array" ref="O1852">_xlfn.IFS([1]!orders[[#This Row],[Customer Gender]]="M","Male", [1]!orders[[#This Row],[Customer Gender]]="F","Female", [1]!orders[[#This Row],[Customer Gender]]="O","Other", TRUE,"Unknown")</f>
        <v>Female</v>
      </c>
    </row>
    <row r="1853" spans="1:15" x14ac:dyDescent="0.25">
      <c r="A1853" t="s">
        <v>1938</v>
      </c>
      <c r="B1853" t="s">
        <v>54</v>
      </c>
      <c r="C1853">
        <v>2</v>
      </c>
      <c r="D1853">
        <v>55.4</v>
      </c>
      <c r="E1853">
        <v>110.8</v>
      </c>
      <c r="F1853" s="3">
        <v>45725</v>
      </c>
      <c r="G1853" s="3">
        <v>45726</v>
      </c>
      <c r="H1853" t="s">
        <v>12</v>
      </c>
      <c r="I1853" t="s">
        <v>3</v>
      </c>
      <c r="J1853">
        <v>5</v>
      </c>
      <c r="K1853" t="s">
        <v>4</v>
      </c>
      <c r="L1853" t="s">
        <v>100</v>
      </c>
      <c r="M1853">
        <f>[1]!orders[[#This Row],[Ship Date]]-[1]!orders[[#This Row],[Order Date]]</f>
        <v>1</v>
      </c>
      <c r="N1853">
        <f>WEEKNUM([1]!orders[[#This Row],[Order Date]])</f>
        <v>11</v>
      </c>
      <c r="O1853" t="str" cm="1">
        <f t="array" ref="O1853">_xlfn.IFS([1]!orders[[#This Row],[Customer Gender]]="M","Male", [1]!orders[[#This Row],[Customer Gender]]="F","Female", [1]!orders[[#This Row],[Customer Gender]]="O","Other", TRUE,"Unknown")</f>
        <v>Female</v>
      </c>
    </row>
    <row r="1854" spans="1:15" x14ac:dyDescent="0.25">
      <c r="A1854" s="1" t="s">
        <v>1939</v>
      </c>
      <c r="B1854" s="1" t="s">
        <v>1</v>
      </c>
      <c r="C1854" s="1">
        <v>5</v>
      </c>
      <c r="D1854" s="1">
        <v>20.100000000000001</v>
      </c>
      <c r="E1854" s="1">
        <v>100.5</v>
      </c>
      <c r="F1854" s="2">
        <v>45725</v>
      </c>
      <c r="G1854" s="2">
        <v>45727</v>
      </c>
      <c r="H1854" s="1" t="s">
        <v>12</v>
      </c>
      <c r="I1854" s="1" t="s">
        <v>20</v>
      </c>
      <c r="J1854" s="1">
        <v>5</v>
      </c>
      <c r="K1854" s="1" t="s">
        <v>4</v>
      </c>
      <c r="L1854" s="1" t="s">
        <v>100</v>
      </c>
      <c r="M1854" s="1">
        <f>[1]!orders[[#This Row],[Ship Date]]-[1]!orders[[#This Row],[Order Date]]</f>
        <v>2</v>
      </c>
      <c r="N1854" s="1">
        <f>WEEKNUM([1]!orders[[#This Row],[Order Date]])</f>
        <v>11</v>
      </c>
      <c r="O1854" t="str" cm="1">
        <f t="array" ref="O1854">_xlfn.IFS([1]!orders[[#This Row],[Customer Gender]]="M","Male", [1]!orders[[#This Row],[Customer Gender]]="F","Female", [1]!orders[[#This Row],[Customer Gender]]="O","Other", TRUE,"Unknown")</f>
        <v>Female</v>
      </c>
    </row>
    <row r="1855" spans="1:15" x14ac:dyDescent="0.25">
      <c r="A1855" t="s">
        <v>1940</v>
      </c>
      <c r="B1855" t="s">
        <v>66</v>
      </c>
      <c r="C1855">
        <v>5</v>
      </c>
      <c r="D1855">
        <v>24</v>
      </c>
      <c r="E1855">
        <v>120</v>
      </c>
      <c r="F1855" s="3">
        <v>45725</v>
      </c>
      <c r="G1855" s="3">
        <v>45728</v>
      </c>
      <c r="H1855" t="s">
        <v>8</v>
      </c>
      <c r="I1855" t="s">
        <v>25</v>
      </c>
      <c r="J1855">
        <v>4</v>
      </c>
      <c r="K1855" t="s">
        <v>4</v>
      </c>
      <c r="L1855" t="s">
        <v>9</v>
      </c>
      <c r="M1855">
        <f>[1]!orders[[#This Row],[Ship Date]]-[1]!orders[[#This Row],[Order Date]]</f>
        <v>3</v>
      </c>
      <c r="N1855">
        <f>WEEKNUM([1]!orders[[#This Row],[Order Date]])</f>
        <v>11</v>
      </c>
      <c r="O1855" t="str" cm="1">
        <f t="array" ref="O1855">_xlfn.IFS([1]!orders[[#This Row],[Customer Gender]]="M","Male", [1]!orders[[#This Row],[Customer Gender]]="F","Female", [1]!orders[[#This Row],[Customer Gender]]="O","Other", TRUE,"Unknown")</f>
        <v>Male</v>
      </c>
    </row>
    <row r="1856" spans="1:15" x14ac:dyDescent="0.25">
      <c r="A1856" s="1" t="s">
        <v>1941</v>
      </c>
      <c r="B1856" s="1" t="s">
        <v>29</v>
      </c>
      <c r="C1856" s="1">
        <v>2</v>
      </c>
      <c r="D1856" s="1">
        <v>30.6</v>
      </c>
      <c r="E1856" s="1">
        <v>61.2</v>
      </c>
      <c r="F1856" s="2">
        <v>45726</v>
      </c>
      <c r="G1856" s="2">
        <v>45728</v>
      </c>
      <c r="H1856" s="1" t="s">
        <v>12</v>
      </c>
      <c r="I1856" s="1" t="s">
        <v>3</v>
      </c>
      <c r="J1856" s="1">
        <v>4</v>
      </c>
      <c r="K1856" s="1" t="s">
        <v>4</v>
      </c>
      <c r="L1856" s="1" t="s">
        <v>9</v>
      </c>
      <c r="M1856" s="1">
        <f>[1]!orders[[#This Row],[Ship Date]]-[1]!orders[[#This Row],[Order Date]]</f>
        <v>2</v>
      </c>
      <c r="N1856" s="1">
        <f>WEEKNUM([1]!orders[[#This Row],[Order Date]])</f>
        <v>11</v>
      </c>
      <c r="O1856" t="str" cm="1">
        <f t="array" ref="O1856">_xlfn.IFS([1]!orders[[#This Row],[Customer Gender]]="M","Male", [1]!orders[[#This Row],[Customer Gender]]="F","Female", [1]!orders[[#This Row],[Customer Gender]]="O","Other", TRUE,"Unknown")</f>
        <v>Female</v>
      </c>
    </row>
    <row r="1857" spans="1:15" x14ac:dyDescent="0.25">
      <c r="A1857" t="s">
        <v>1942</v>
      </c>
      <c r="B1857" t="s">
        <v>39</v>
      </c>
      <c r="C1857">
        <v>5</v>
      </c>
      <c r="D1857">
        <v>33</v>
      </c>
      <c r="E1857">
        <v>165</v>
      </c>
      <c r="F1857" s="3">
        <v>45726</v>
      </c>
      <c r="G1857" s="3">
        <v>45727</v>
      </c>
      <c r="H1857" t="s">
        <v>8</v>
      </c>
      <c r="I1857" t="s">
        <v>20</v>
      </c>
      <c r="J1857">
        <v>3</v>
      </c>
      <c r="K1857" t="s">
        <v>4</v>
      </c>
      <c r="L1857" t="s">
        <v>193</v>
      </c>
      <c r="M1857">
        <f>[1]!orders[[#This Row],[Ship Date]]-[1]!orders[[#This Row],[Order Date]]</f>
        <v>1</v>
      </c>
      <c r="N1857">
        <f>WEEKNUM([1]!orders[[#This Row],[Order Date]])</f>
        <v>11</v>
      </c>
      <c r="O1857" t="str" cm="1">
        <f t="array" ref="O1857">_xlfn.IFS([1]!orders[[#This Row],[Customer Gender]]="M","Male", [1]!orders[[#This Row],[Customer Gender]]="F","Female", [1]!orders[[#This Row],[Customer Gender]]="O","Other", TRUE,"Unknown")</f>
        <v>Male</v>
      </c>
    </row>
    <row r="1858" spans="1:15" x14ac:dyDescent="0.25">
      <c r="A1858" s="1" t="s">
        <v>1943</v>
      </c>
      <c r="B1858" s="1" t="s">
        <v>120</v>
      </c>
      <c r="C1858" s="1">
        <v>9</v>
      </c>
      <c r="D1858" s="1">
        <v>42.1</v>
      </c>
      <c r="E1858" s="1">
        <v>378.90000000000003</v>
      </c>
      <c r="F1858" s="2">
        <v>45726</v>
      </c>
      <c r="G1858" s="2">
        <v>45732</v>
      </c>
      <c r="H1858" s="1" t="s">
        <v>12</v>
      </c>
      <c r="I1858" s="1" t="s">
        <v>25</v>
      </c>
      <c r="J1858" s="1">
        <v>4</v>
      </c>
      <c r="K1858" s="1" t="s">
        <v>4</v>
      </c>
      <c r="L1858" s="1" t="s">
        <v>572</v>
      </c>
      <c r="M1858" s="1">
        <f>[1]!orders[[#This Row],[Ship Date]]-[1]!orders[[#This Row],[Order Date]]</f>
        <v>6</v>
      </c>
      <c r="N1858" s="1">
        <f>WEEKNUM([1]!orders[[#This Row],[Order Date]])</f>
        <v>11</v>
      </c>
      <c r="O1858" t="str" cm="1">
        <f t="array" ref="O1858">_xlfn.IFS([1]!orders[[#This Row],[Customer Gender]]="M","Male", [1]!orders[[#This Row],[Customer Gender]]="F","Female", [1]!orders[[#This Row],[Customer Gender]]="O","Other", TRUE,"Unknown")</f>
        <v>Female</v>
      </c>
    </row>
    <row r="1859" spans="1:15" x14ac:dyDescent="0.25">
      <c r="A1859" t="s">
        <v>1944</v>
      </c>
      <c r="B1859" t="s">
        <v>24</v>
      </c>
      <c r="C1859">
        <v>7</v>
      </c>
      <c r="D1859">
        <v>77.7</v>
      </c>
      <c r="E1859">
        <v>543.9</v>
      </c>
      <c r="F1859" s="3">
        <v>45726</v>
      </c>
      <c r="G1859" s="3">
        <v>45731</v>
      </c>
      <c r="H1859" t="s">
        <v>12</v>
      </c>
      <c r="I1859" t="s">
        <v>20</v>
      </c>
      <c r="J1859">
        <v>5</v>
      </c>
      <c r="K1859" t="s">
        <v>4</v>
      </c>
      <c r="L1859" t="s">
        <v>934</v>
      </c>
      <c r="M1859">
        <f>[1]!orders[[#This Row],[Ship Date]]-[1]!orders[[#This Row],[Order Date]]</f>
        <v>5</v>
      </c>
      <c r="N1859">
        <f>WEEKNUM([1]!orders[[#This Row],[Order Date]])</f>
        <v>11</v>
      </c>
      <c r="O1859" t="str" cm="1">
        <f t="array" ref="O1859">_xlfn.IFS([1]!orders[[#This Row],[Customer Gender]]="M","Male", [1]!orders[[#This Row],[Customer Gender]]="F","Female", [1]!orders[[#This Row],[Customer Gender]]="O","Other", TRUE,"Unknown")</f>
        <v>Female</v>
      </c>
    </row>
    <row r="1860" spans="1:15" x14ac:dyDescent="0.25">
      <c r="A1860" s="1" t="s">
        <v>1945</v>
      </c>
      <c r="B1860" s="1" t="s">
        <v>120</v>
      </c>
      <c r="C1860" s="1">
        <v>6</v>
      </c>
      <c r="D1860" s="1">
        <v>22.7</v>
      </c>
      <c r="E1860" s="1">
        <v>136.19999999999999</v>
      </c>
      <c r="F1860" s="2">
        <v>45726</v>
      </c>
      <c r="G1860" s="2">
        <v>45729</v>
      </c>
      <c r="H1860" s="1" t="s">
        <v>12</v>
      </c>
      <c r="I1860" s="1" t="s">
        <v>25</v>
      </c>
      <c r="J1860" s="1">
        <v>4</v>
      </c>
      <c r="K1860" s="1" t="s">
        <v>4</v>
      </c>
      <c r="L1860" s="1" t="s">
        <v>18</v>
      </c>
      <c r="M1860" s="1">
        <f>[1]!orders[[#This Row],[Ship Date]]-[1]!orders[[#This Row],[Order Date]]</f>
        <v>3</v>
      </c>
      <c r="N1860" s="1">
        <f>WEEKNUM([1]!orders[[#This Row],[Order Date]])</f>
        <v>11</v>
      </c>
      <c r="O1860" t="str" cm="1">
        <f t="array" ref="O1860">_xlfn.IFS([1]!orders[[#This Row],[Customer Gender]]="M","Male", [1]!orders[[#This Row],[Customer Gender]]="F","Female", [1]!orders[[#This Row],[Customer Gender]]="O","Other", TRUE,"Unknown")</f>
        <v>Female</v>
      </c>
    </row>
    <row r="1861" spans="1:15" x14ac:dyDescent="0.25">
      <c r="A1861" t="s">
        <v>1946</v>
      </c>
      <c r="B1861" t="s">
        <v>11</v>
      </c>
      <c r="C1861">
        <v>2</v>
      </c>
      <c r="D1861">
        <v>133</v>
      </c>
      <c r="E1861">
        <v>266</v>
      </c>
      <c r="F1861" s="3">
        <v>45726</v>
      </c>
      <c r="G1861" s="3">
        <v>45726</v>
      </c>
      <c r="H1861" t="s">
        <v>8</v>
      </c>
      <c r="I1861" t="s">
        <v>25</v>
      </c>
      <c r="J1861">
        <v>5</v>
      </c>
      <c r="K1861" t="s">
        <v>4</v>
      </c>
      <c r="L1861" t="s">
        <v>18</v>
      </c>
      <c r="M1861">
        <f>[1]!orders[[#This Row],[Ship Date]]-[1]!orders[[#This Row],[Order Date]]</f>
        <v>0</v>
      </c>
      <c r="N1861">
        <f>WEEKNUM([1]!orders[[#This Row],[Order Date]])</f>
        <v>11</v>
      </c>
      <c r="O1861" t="str" cm="1">
        <f t="array" ref="O1861">_xlfn.IFS([1]!orders[[#This Row],[Customer Gender]]="M","Male", [1]!orders[[#This Row],[Customer Gender]]="F","Female", [1]!orders[[#This Row],[Customer Gender]]="O","Other", TRUE,"Unknown")</f>
        <v>Male</v>
      </c>
    </row>
    <row r="1862" spans="1:15" x14ac:dyDescent="0.25">
      <c r="A1862" s="1" t="s">
        <v>1947</v>
      </c>
      <c r="B1862" s="1" t="s">
        <v>1</v>
      </c>
      <c r="C1862" s="1">
        <v>2</v>
      </c>
      <c r="D1862" s="1">
        <v>23.3</v>
      </c>
      <c r="E1862" s="1">
        <v>46.6</v>
      </c>
      <c r="F1862" s="2">
        <v>45726</v>
      </c>
      <c r="G1862" s="2">
        <v>45727</v>
      </c>
      <c r="H1862" s="1" t="s">
        <v>8</v>
      </c>
      <c r="I1862" s="1" t="s">
        <v>20</v>
      </c>
      <c r="J1862" s="1">
        <v>5</v>
      </c>
      <c r="K1862" s="1" t="s">
        <v>4</v>
      </c>
      <c r="L1862" s="1" t="s">
        <v>18</v>
      </c>
      <c r="M1862" s="1">
        <f>[1]!orders[[#This Row],[Ship Date]]-[1]!orders[[#This Row],[Order Date]]</f>
        <v>1</v>
      </c>
      <c r="N1862" s="1">
        <f>WEEKNUM([1]!orders[[#This Row],[Order Date]])</f>
        <v>11</v>
      </c>
      <c r="O1862" t="str" cm="1">
        <f t="array" ref="O1862">_xlfn.IFS([1]!orders[[#This Row],[Customer Gender]]="M","Male", [1]!orders[[#This Row],[Customer Gender]]="F","Female", [1]!orders[[#This Row],[Customer Gender]]="O","Other", TRUE,"Unknown")</f>
        <v>Male</v>
      </c>
    </row>
    <row r="1863" spans="1:15" x14ac:dyDescent="0.25">
      <c r="A1863" t="s">
        <v>1948</v>
      </c>
      <c r="B1863" t="s">
        <v>29</v>
      </c>
      <c r="C1863">
        <v>3</v>
      </c>
      <c r="D1863">
        <v>20.7</v>
      </c>
      <c r="E1863">
        <v>62.099999999999994</v>
      </c>
      <c r="F1863" s="3">
        <v>45726</v>
      </c>
      <c r="G1863" s="3">
        <v>45728</v>
      </c>
      <c r="H1863" t="s">
        <v>74</v>
      </c>
      <c r="I1863" t="s">
        <v>3</v>
      </c>
      <c r="J1863">
        <v>5</v>
      </c>
      <c r="K1863" t="s">
        <v>4</v>
      </c>
      <c r="L1863" t="s">
        <v>18</v>
      </c>
      <c r="M1863">
        <f>[1]!orders[[#This Row],[Ship Date]]-[1]!orders[[#This Row],[Order Date]]</f>
        <v>2</v>
      </c>
      <c r="N1863">
        <f>WEEKNUM([1]!orders[[#This Row],[Order Date]])</f>
        <v>11</v>
      </c>
      <c r="O1863" t="str" cm="1">
        <f t="array" ref="O1863">_xlfn.IFS([1]!orders[[#This Row],[Customer Gender]]="M","Male", [1]!orders[[#This Row],[Customer Gender]]="F","Female", [1]!orders[[#This Row],[Customer Gender]]="O","Other", TRUE,"Unknown")</f>
        <v>Other</v>
      </c>
    </row>
    <row r="1864" spans="1:15" x14ac:dyDescent="0.25">
      <c r="A1864" s="1" t="s">
        <v>1949</v>
      </c>
      <c r="B1864" s="1" t="s">
        <v>54</v>
      </c>
      <c r="C1864" s="1">
        <v>2</v>
      </c>
      <c r="D1864" s="1">
        <v>47</v>
      </c>
      <c r="E1864" s="1">
        <v>94</v>
      </c>
      <c r="F1864" s="2">
        <v>45726</v>
      </c>
      <c r="G1864" s="2">
        <v>45727</v>
      </c>
      <c r="H1864" s="1" t="s">
        <v>8</v>
      </c>
      <c r="I1864" s="1" t="s">
        <v>20</v>
      </c>
      <c r="J1864" s="1">
        <v>5</v>
      </c>
      <c r="K1864" s="1" t="s">
        <v>4</v>
      </c>
      <c r="L1864" s="1" t="s">
        <v>18</v>
      </c>
      <c r="M1864" s="1">
        <f>[1]!orders[[#This Row],[Ship Date]]-[1]!orders[[#This Row],[Order Date]]</f>
        <v>1</v>
      </c>
      <c r="N1864" s="1">
        <f>WEEKNUM([1]!orders[[#This Row],[Order Date]])</f>
        <v>11</v>
      </c>
      <c r="O1864" t="str" cm="1">
        <f t="array" ref="O1864">_xlfn.IFS([1]!orders[[#This Row],[Customer Gender]]="M","Male", [1]!orders[[#This Row],[Customer Gender]]="F","Female", [1]!orders[[#This Row],[Customer Gender]]="O","Other", TRUE,"Unknown")</f>
        <v>Male</v>
      </c>
    </row>
    <row r="1865" spans="1:15" x14ac:dyDescent="0.25">
      <c r="A1865" t="s">
        <v>1950</v>
      </c>
      <c r="B1865" t="s">
        <v>54</v>
      </c>
      <c r="C1865">
        <v>3</v>
      </c>
      <c r="D1865">
        <v>38.200000000000003</v>
      </c>
      <c r="E1865">
        <v>114.60000000000001</v>
      </c>
      <c r="F1865" s="3">
        <v>45726</v>
      </c>
      <c r="G1865" s="3">
        <v>45728</v>
      </c>
      <c r="H1865" t="s">
        <v>12</v>
      </c>
      <c r="I1865" t="s">
        <v>25</v>
      </c>
      <c r="J1865">
        <v>2</v>
      </c>
      <c r="K1865" t="s">
        <v>4</v>
      </c>
      <c r="L1865" t="s">
        <v>18</v>
      </c>
      <c r="M1865">
        <f>[1]!orders[[#This Row],[Ship Date]]-[1]!orders[[#This Row],[Order Date]]</f>
        <v>2</v>
      </c>
      <c r="N1865">
        <f>WEEKNUM([1]!orders[[#This Row],[Order Date]])</f>
        <v>11</v>
      </c>
      <c r="O1865" t="str" cm="1">
        <f t="array" ref="O1865">_xlfn.IFS([1]!orders[[#This Row],[Customer Gender]]="M","Male", [1]!orders[[#This Row],[Customer Gender]]="F","Female", [1]!orders[[#This Row],[Customer Gender]]="O","Other", TRUE,"Unknown")</f>
        <v>Female</v>
      </c>
    </row>
    <row r="1866" spans="1:15" x14ac:dyDescent="0.25">
      <c r="A1866" s="1" t="s">
        <v>1951</v>
      </c>
      <c r="B1866" s="1" t="s">
        <v>31</v>
      </c>
      <c r="C1866" s="1">
        <v>1</v>
      </c>
      <c r="D1866" s="1">
        <v>39.1</v>
      </c>
      <c r="E1866" s="1">
        <v>39.1</v>
      </c>
      <c r="F1866" s="2">
        <v>45726</v>
      </c>
      <c r="G1866" s="2">
        <v>45728</v>
      </c>
      <c r="H1866" s="1" t="s">
        <v>12</v>
      </c>
      <c r="I1866" s="1" t="s">
        <v>3</v>
      </c>
      <c r="J1866" s="1">
        <v>4</v>
      </c>
      <c r="K1866" s="1" t="s">
        <v>4</v>
      </c>
      <c r="L1866" s="1" t="s">
        <v>18</v>
      </c>
      <c r="M1866" s="1">
        <f>[1]!orders[[#This Row],[Ship Date]]-[1]!orders[[#This Row],[Order Date]]</f>
        <v>2</v>
      </c>
      <c r="N1866" s="1">
        <f>WEEKNUM([1]!orders[[#This Row],[Order Date]])</f>
        <v>11</v>
      </c>
      <c r="O1866" t="str" cm="1">
        <f t="array" ref="O1866">_xlfn.IFS([1]!orders[[#This Row],[Customer Gender]]="M","Male", [1]!orders[[#This Row],[Customer Gender]]="F","Female", [1]!orders[[#This Row],[Customer Gender]]="O","Other", TRUE,"Unknown")</f>
        <v>Female</v>
      </c>
    </row>
    <row r="1867" spans="1:15" x14ac:dyDescent="0.25">
      <c r="A1867" t="s">
        <v>1952</v>
      </c>
      <c r="B1867" t="s">
        <v>27</v>
      </c>
      <c r="C1867">
        <v>25</v>
      </c>
      <c r="D1867">
        <v>55.6</v>
      </c>
      <c r="E1867">
        <v>1390</v>
      </c>
      <c r="F1867" s="3">
        <v>45726</v>
      </c>
      <c r="G1867" s="3">
        <v>45728</v>
      </c>
      <c r="H1867" t="s">
        <v>8</v>
      </c>
      <c r="I1867" t="s">
        <v>3</v>
      </c>
      <c r="J1867">
        <v>5</v>
      </c>
      <c r="K1867" t="s">
        <v>4</v>
      </c>
      <c r="L1867" t="s">
        <v>18</v>
      </c>
      <c r="M1867">
        <f>[1]!orders[[#This Row],[Ship Date]]-[1]!orders[[#This Row],[Order Date]]</f>
        <v>2</v>
      </c>
      <c r="N1867">
        <f>WEEKNUM([1]!orders[[#This Row],[Order Date]])</f>
        <v>11</v>
      </c>
      <c r="O1867" t="str" cm="1">
        <f t="array" ref="O1867">_xlfn.IFS([1]!orders[[#This Row],[Customer Gender]]="M","Male", [1]!orders[[#This Row],[Customer Gender]]="F","Female", [1]!orders[[#This Row],[Customer Gender]]="O","Other", TRUE,"Unknown")</f>
        <v>Male</v>
      </c>
    </row>
    <row r="1868" spans="1:15" x14ac:dyDescent="0.25">
      <c r="A1868" s="1" t="s">
        <v>1953</v>
      </c>
      <c r="B1868" s="1" t="s">
        <v>108</v>
      </c>
      <c r="C1868" s="1">
        <v>1</v>
      </c>
      <c r="D1868" s="1">
        <v>43.1</v>
      </c>
      <c r="E1868" s="1">
        <v>43.1</v>
      </c>
      <c r="F1868" s="2">
        <v>45726</v>
      </c>
      <c r="G1868" s="2">
        <v>45726</v>
      </c>
      <c r="H1868" s="1" t="s">
        <v>74</v>
      </c>
      <c r="I1868" s="1" t="s">
        <v>20</v>
      </c>
      <c r="J1868" s="1">
        <v>5</v>
      </c>
      <c r="K1868" s="1" t="s">
        <v>4</v>
      </c>
      <c r="L1868" s="1" t="s">
        <v>18</v>
      </c>
      <c r="M1868" s="1">
        <f>[1]!orders[[#This Row],[Ship Date]]-[1]!orders[[#This Row],[Order Date]]</f>
        <v>0</v>
      </c>
      <c r="N1868" s="1">
        <f>WEEKNUM([1]!orders[[#This Row],[Order Date]])</f>
        <v>11</v>
      </c>
      <c r="O1868" t="str" cm="1">
        <f t="array" ref="O1868">_xlfn.IFS([1]!orders[[#This Row],[Customer Gender]]="M","Male", [1]!orders[[#This Row],[Customer Gender]]="F","Female", [1]!orders[[#This Row],[Customer Gender]]="O","Other", TRUE,"Unknown")</f>
        <v>Other</v>
      </c>
    </row>
    <row r="1869" spans="1:15" x14ac:dyDescent="0.25">
      <c r="A1869" t="s">
        <v>1954</v>
      </c>
      <c r="B1869" t="s">
        <v>24</v>
      </c>
      <c r="C1869">
        <v>4</v>
      </c>
      <c r="D1869">
        <v>48.1</v>
      </c>
      <c r="E1869">
        <v>192.4</v>
      </c>
      <c r="F1869" s="3">
        <v>45726</v>
      </c>
      <c r="G1869" s="3">
        <v>45727</v>
      </c>
      <c r="H1869" t="s">
        <v>12</v>
      </c>
      <c r="I1869" t="s">
        <v>55</v>
      </c>
      <c r="J1869">
        <v>5</v>
      </c>
      <c r="K1869" t="s">
        <v>4</v>
      </c>
      <c r="L1869" t="s">
        <v>18</v>
      </c>
      <c r="M1869">
        <f>[1]!orders[[#This Row],[Ship Date]]-[1]!orders[[#This Row],[Order Date]]</f>
        <v>1</v>
      </c>
      <c r="N1869">
        <f>WEEKNUM([1]!orders[[#This Row],[Order Date]])</f>
        <v>11</v>
      </c>
      <c r="O1869" t="str" cm="1">
        <f t="array" ref="O1869">_xlfn.IFS([1]!orders[[#This Row],[Customer Gender]]="M","Male", [1]!orders[[#This Row],[Customer Gender]]="F","Female", [1]!orders[[#This Row],[Customer Gender]]="O","Other", TRUE,"Unknown")</f>
        <v>Female</v>
      </c>
    </row>
    <row r="1870" spans="1:15" x14ac:dyDescent="0.25">
      <c r="A1870" s="1" t="s">
        <v>1955</v>
      </c>
      <c r="B1870" s="1" t="s">
        <v>17</v>
      </c>
      <c r="C1870" s="1">
        <v>1</v>
      </c>
      <c r="D1870" s="1">
        <v>42</v>
      </c>
      <c r="E1870" s="1">
        <v>42</v>
      </c>
      <c r="F1870" s="2">
        <v>45726</v>
      </c>
      <c r="G1870" s="2">
        <v>45727</v>
      </c>
      <c r="H1870" s="1" t="s">
        <v>74</v>
      </c>
      <c r="I1870" s="1" t="s">
        <v>3</v>
      </c>
      <c r="J1870" s="1">
        <v>4</v>
      </c>
      <c r="K1870" s="1" t="s">
        <v>4</v>
      </c>
      <c r="L1870" s="1" t="s">
        <v>18</v>
      </c>
      <c r="M1870" s="1">
        <f>[1]!orders[[#This Row],[Ship Date]]-[1]!orders[[#This Row],[Order Date]]</f>
        <v>1</v>
      </c>
      <c r="N1870" s="1">
        <f>WEEKNUM([1]!orders[[#This Row],[Order Date]])</f>
        <v>11</v>
      </c>
      <c r="O1870" t="str" cm="1">
        <f t="array" ref="O1870">_xlfn.IFS([1]!orders[[#This Row],[Customer Gender]]="M","Male", [1]!orders[[#This Row],[Customer Gender]]="F","Female", [1]!orders[[#This Row],[Customer Gender]]="O","Other", TRUE,"Unknown")</f>
        <v>Other</v>
      </c>
    </row>
    <row r="1871" spans="1:15" x14ac:dyDescent="0.25">
      <c r="A1871" t="s">
        <v>1956</v>
      </c>
      <c r="B1871" t="s">
        <v>29</v>
      </c>
      <c r="C1871">
        <v>5</v>
      </c>
      <c r="D1871">
        <v>18.3</v>
      </c>
      <c r="E1871">
        <v>91.5</v>
      </c>
      <c r="F1871" s="3">
        <v>45726</v>
      </c>
      <c r="G1871" s="3">
        <v>45726</v>
      </c>
      <c r="H1871" t="s">
        <v>12</v>
      </c>
      <c r="I1871" t="s">
        <v>25</v>
      </c>
      <c r="J1871">
        <v>4</v>
      </c>
      <c r="K1871" t="s">
        <v>4</v>
      </c>
      <c r="L1871" t="s">
        <v>18</v>
      </c>
      <c r="M1871">
        <f>[1]!orders[[#This Row],[Ship Date]]-[1]!orders[[#This Row],[Order Date]]</f>
        <v>0</v>
      </c>
      <c r="N1871">
        <f>WEEKNUM([1]!orders[[#This Row],[Order Date]])</f>
        <v>11</v>
      </c>
      <c r="O1871" t="str" cm="1">
        <f t="array" ref="O1871">_xlfn.IFS([1]!orders[[#This Row],[Customer Gender]]="M","Male", [1]!orders[[#This Row],[Customer Gender]]="F","Female", [1]!orders[[#This Row],[Customer Gender]]="O","Other", TRUE,"Unknown")</f>
        <v>Female</v>
      </c>
    </row>
    <row r="1872" spans="1:15" x14ac:dyDescent="0.25">
      <c r="A1872" s="1" t="s">
        <v>1957</v>
      </c>
      <c r="B1872" s="1" t="s">
        <v>39</v>
      </c>
      <c r="C1872" s="1">
        <v>4</v>
      </c>
      <c r="D1872" s="1">
        <v>45.3</v>
      </c>
      <c r="E1872" s="1">
        <v>181.2</v>
      </c>
      <c r="F1872" s="2">
        <v>45726</v>
      </c>
      <c r="G1872" s="2">
        <v>45729</v>
      </c>
      <c r="H1872" s="1" t="s">
        <v>12</v>
      </c>
      <c r="I1872" s="1" t="s">
        <v>3</v>
      </c>
      <c r="J1872" s="1">
        <v>5</v>
      </c>
      <c r="K1872" s="1" t="s">
        <v>4</v>
      </c>
      <c r="L1872" s="1" t="s">
        <v>18</v>
      </c>
      <c r="M1872" s="1">
        <f>[1]!orders[[#This Row],[Ship Date]]-[1]!orders[[#This Row],[Order Date]]</f>
        <v>3</v>
      </c>
      <c r="N1872" s="1">
        <f>WEEKNUM([1]!orders[[#This Row],[Order Date]])</f>
        <v>11</v>
      </c>
      <c r="O1872" t="str" cm="1">
        <f t="array" ref="O1872">_xlfn.IFS([1]!orders[[#This Row],[Customer Gender]]="M","Male", [1]!orders[[#This Row],[Customer Gender]]="F","Female", [1]!orders[[#This Row],[Customer Gender]]="O","Other", TRUE,"Unknown")</f>
        <v>Female</v>
      </c>
    </row>
    <row r="1873" spans="1:15" x14ac:dyDescent="0.25">
      <c r="A1873" t="s">
        <v>1958</v>
      </c>
      <c r="B1873" t="s">
        <v>1</v>
      </c>
      <c r="C1873">
        <v>2</v>
      </c>
      <c r="D1873">
        <v>27.6</v>
      </c>
      <c r="E1873">
        <v>55.2</v>
      </c>
      <c r="F1873" s="3">
        <v>45726</v>
      </c>
      <c r="G1873" s="3">
        <v>45728</v>
      </c>
      <c r="H1873" t="s">
        <v>8</v>
      </c>
      <c r="I1873" t="s">
        <v>3</v>
      </c>
      <c r="J1873">
        <v>5</v>
      </c>
      <c r="K1873" t="s">
        <v>4</v>
      </c>
      <c r="L1873" t="s">
        <v>349</v>
      </c>
      <c r="M1873">
        <f>[1]!orders[[#This Row],[Ship Date]]-[1]!orders[[#This Row],[Order Date]]</f>
        <v>2</v>
      </c>
      <c r="N1873">
        <f>WEEKNUM([1]!orders[[#This Row],[Order Date]])</f>
        <v>11</v>
      </c>
      <c r="O1873" t="str" cm="1">
        <f t="array" ref="O1873">_xlfn.IFS([1]!orders[[#This Row],[Customer Gender]]="M","Male", [1]!orders[[#This Row],[Customer Gender]]="F","Female", [1]!orders[[#This Row],[Customer Gender]]="O","Other", TRUE,"Unknown")</f>
        <v>Male</v>
      </c>
    </row>
    <row r="1874" spans="1:15" x14ac:dyDescent="0.25">
      <c r="A1874" s="1" t="s">
        <v>1959</v>
      </c>
      <c r="B1874" s="1" t="s">
        <v>17</v>
      </c>
      <c r="C1874" s="1">
        <v>5</v>
      </c>
      <c r="D1874" s="1">
        <v>26.9</v>
      </c>
      <c r="E1874" s="1">
        <v>134.5</v>
      </c>
      <c r="F1874" s="2">
        <v>45726</v>
      </c>
      <c r="G1874" s="2">
        <v>45727</v>
      </c>
      <c r="H1874" s="1" t="s">
        <v>12</v>
      </c>
      <c r="I1874" s="1" t="s">
        <v>25</v>
      </c>
      <c r="J1874" s="1">
        <v>4</v>
      </c>
      <c r="K1874" s="1" t="s">
        <v>4</v>
      </c>
      <c r="L1874" s="1" t="s">
        <v>173</v>
      </c>
      <c r="M1874" s="1">
        <f>[1]!orders[[#This Row],[Ship Date]]-[1]!orders[[#This Row],[Order Date]]</f>
        <v>1</v>
      </c>
      <c r="N1874" s="1">
        <f>WEEKNUM([1]!orders[[#This Row],[Order Date]])</f>
        <v>11</v>
      </c>
      <c r="O1874" t="str" cm="1">
        <f t="array" ref="O1874">_xlfn.IFS([1]!orders[[#This Row],[Customer Gender]]="M","Male", [1]!orders[[#This Row],[Customer Gender]]="F","Female", [1]!orders[[#This Row],[Customer Gender]]="O","Other", TRUE,"Unknown")</f>
        <v>Female</v>
      </c>
    </row>
    <row r="1875" spans="1:15" x14ac:dyDescent="0.25">
      <c r="A1875" t="s">
        <v>1960</v>
      </c>
      <c r="B1875" t="s">
        <v>11</v>
      </c>
      <c r="C1875">
        <v>9</v>
      </c>
      <c r="D1875">
        <v>82.4</v>
      </c>
      <c r="E1875">
        <v>741.6</v>
      </c>
      <c r="F1875" s="3">
        <v>45726</v>
      </c>
      <c r="G1875" s="3">
        <v>45728</v>
      </c>
      <c r="H1875" t="s">
        <v>74</v>
      </c>
      <c r="I1875" t="s">
        <v>25</v>
      </c>
      <c r="J1875">
        <v>4</v>
      </c>
      <c r="K1875" t="s">
        <v>4</v>
      </c>
      <c r="L1875" t="s">
        <v>37</v>
      </c>
      <c r="M1875">
        <f>[1]!orders[[#This Row],[Ship Date]]-[1]!orders[[#This Row],[Order Date]]</f>
        <v>2</v>
      </c>
      <c r="N1875">
        <f>WEEKNUM([1]!orders[[#This Row],[Order Date]])</f>
        <v>11</v>
      </c>
      <c r="O1875" t="str" cm="1">
        <f t="array" ref="O1875">_xlfn.IFS([1]!orders[[#This Row],[Customer Gender]]="M","Male", [1]!orders[[#This Row],[Customer Gender]]="F","Female", [1]!orders[[#This Row],[Customer Gender]]="O","Other", TRUE,"Unknown")</f>
        <v>Other</v>
      </c>
    </row>
    <row r="1876" spans="1:15" x14ac:dyDescent="0.25">
      <c r="A1876" s="1" t="s">
        <v>1961</v>
      </c>
      <c r="B1876" s="1" t="s">
        <v>24</v>
      </c>
      <c r="C1876" s="1">
        <v>1</v>
      </c>
      <c r="D1876" s="1">
        <v>103.7</v>
      </c>
      <c r="E1876" s="1">
        <v>103.7</v>
      </c>
      <c r="F1876" s="2">
        <v>45726</v>
      </c>
      <c r="G1876" s="2">
        <v>45728</v>
      </c>
      <c r="H1876" s="1" t="s">
        <v>12</v>
      </c>
      <c r="I1876" s="1" t="s">
        <v>20</v>
      </c>
      <c r="J1876" s="1">
        <v>4</v>
      </c>
      <c r="K1876" s="1" t="s">
        <v>4</v>
      </c>
      <c r="L1876" s="1" t="s">
        <v>37</v>
      </c>
      <c r="M1876" s="1">
        <f>[1]!orders[[#This Row],[Ship Date]]-[1]!orders[[#This Row],[Order Date]]</f>
        <v>2</v>
      </c>
      <c r="N1876" s="1">
        <f>WEEKNUM([1]!orders[[#This Row],[Order Date]])</f>
        <v>11</v>
      </c>
      <c r="O1876" t="str" cm="1">
        <f t="array" ref="O1876">_xlfn.IFS([1]!orders[[#This Row],[Customer Gender]]="M","Male", [1]!orders[[#This Row],[Customer Gender]]="F","Female", [1]!orders[[#This Row],[Customer Gender]]="O","Other", TRUE,"Unknown")</f>
        <v>Female</v>
      </c>
    </row>
    <row r="1877" spans="1:15" x14ac:dyDescent="0.25">
      <c r="A1877" t="s">
        <v>1962</v>
      </c>
      <c r="B1877" t="s">
        <v>11</v>
      </c>
      <c r="C1877">
        <v>2</v>
      </c>
      <c r="D1877">
        <v>58.8</v>
      </c>
      <c r="E1877">
        <v>117.6</v>
      </c>
      <c r="F1877" s="3">
        <v>45726</v>
      </c>
      <c r="G1877" s="3">
        <v>45731</v>
      </c>
      <c r="H1877" t="s">
        <v>12</v>
      </c>
      <c r="I1877" t="s">
        <v>20</v>
      </c>
      <c r="J1877">
        <v>5</v>
      </c>
      <c r="K1877" t="s">
        <v>4</v>
      </c>
      <c r="L1877" t="s">
        <v>40</v>
      </c>
      <c r="M1877">
        <f>[1]!orders[[#This Row],[Ship Date]]-[1]!orders[[#This Row],[Order Date]]</f>
        <v>5</v>
      </c>
      <c r="N1877">
        <f>WEEKNUM([1]!orders[[#This Row],[Order Date]])</f>
        <v>11</v>
      </c>
      <c r="O1877" t="str" cm="1">
        <f t="array" ref="O1877">_xlfn.IFS([1]!orders[[#This Row],[Customer Gender]]="M","Male", [1]!orders[[#This Row],[Customer Gender]]="F","Female", [1]!orders[[#This Row],[Customer Gender]]="O","Other", TRUE,"Unknown")</f>
        <v>Female</v>
      </c>
    </row>
    <row r="1878" spans="1:15" x14ac:dyDescent="0.25">
      <c r="A1878" s="1" t="s">
        <v>1963</v>
      </c>
      <c r="B1878" s="1" t="s">
        <v>61</v>
      </c>
      <c r="C1878" s="1">
        <v>1</v>
      </c>
      <c r="D1878" s="1">
        <v>31.5</v>
      </c>
      <c r="E1878" s="1">
        <v>31.5</v>
      </c>
      <c r="F1878" s="2">
        <v>45726</v>
      </c>
      <c r="G1878" s="2">
        <v>45727</v>
      </c>
      <c r="H1878" s="1" t="s">
        <v>12</v>
      </c>
      <c r="I1878" s="1" t="s">
        <v>20</v>
      </c>
      <c r="J1878" s="1">
        <v>3</v>
      </c>
      <c r="K1878" s="1" t="s">
        <v>4</v>
      </c>
      <c r="L1878" s="1" t="s">
        <v>40</v>
      </c>
      <c r="M1878" s="1">
        <f>[1]!orders[[#This Row],[Ship Date]]-[1]!orders[[#This Row],[Order Date]]</f>
        <v>1</v>
      </c>
      <c r="N1878" s="1">
        <f>WEEKNUM([1]!orders[[#This Row],[Order Date]])</f>
        <v>11</v>
      </c>
      <c r="O1878" t="str" cm="1">
        <f t="array" ref="O1878">_xlfn.IFS([1]!orders[[#This Row],[Customer Gender]]="M","Male", [1]!orders[[#This Row],[Customer Gender]]="F","Female", [1]!orders[[#This Row],[Customer Gender]]="O","Other", TRUE,"Unknown")</f>
        <v>Female</v>
      </c>
    </row>
    <row r="1879" spans="1:15" x14ac:dyDescent="0.25">
      <c r="A1879" t="s">
        <v>1964</v>
      </c>
      <c r="B1879" t="s">
        <v>27</v>
      </c>
      <c r="C1879">
        <v>5</v>
      </c>
      <c r="D1879">
        <v>36.799999999999997</v>
      </c>
      <c r="E1879">
        <v>184</v>
      </c>
      <c r="F1879" s="3">
        <v>45726</v>
      </c>
      <c r="G1879" s="3">
        <v>45728</v>
      </c>
      <c r="H1879" t="s">
        <v>12</v>
      </c>
      <c r="I1879" t="s">
        <v>3</v>
      </c>
      <c r="J1879">
        <v>4</v>
      </c>
      <c r="K1879" t="s">
        <v>4</v>
      </c>
      <c r="L1879" t="s">
        <v>47</v>
      </c>
      <c r="M1879">
        <f>[1]!orders[[#This Row],[Ship Date]]-[1]!orders[[#This Row],[Order Date]]</f>
        <v>2</v>
      </c>
      <c r="N1879">
        <f>WEEKNUM([1]!orders[[#This Row],[Order Date]])</f>
        <v>11</v>
      </c>
      <c r="O1879" t="str" cm="1">
        <f t="array" ref="O1879">_xlfn.IFS([1]!orders[[#This Row],[Customer Gender]]="M","Male", [1]!orders[[#This Row],[Customer Gender]]="F","Female", [1]!orders[[#This Row],[Customer Gender]]="O","Other", TRUE,"Unknown")</f>
        <v>Female</v>
      </c>
    </row>
    <row r="1880" spans="1:15" x14ac:dyDescent="0.25">
      <c r="A1880" s="1" t="s">
        <v>1965</v>
      </c>
      <c r="B1880" s="1" t="s">
        <v>15</v>
      </c>
      <c r="C1880" s="1">
        <v>1</v>
      </c>
      <c r="D1880" s="1">
        <v>84.4</v>
      </c>
      <c r="E1880" s="1">
        <v>84.4</v>
      </c>
      <c r="F1880" s="2">
        <v>45726</v>
      </c>
      <c r="G1880" s="2">
        <v>45727</v>
      </c>
      <c r="H1880" s="1" t="s">
        <v>12</v>
      </c>
      <c r="I1880" s="1" t="s">
        <v>3</v>
      </c>
      <c r="J1880" s="1">
        <v>4</v>
      </c>
      <c r="K1880" s="1" t="s">
        <v>4</v>
      </c>
      <c r="L1880" s="1" t="s">
        <v>47</v>
      </c>
      <c r="M1880" s="1">
        <f>[1]!orders[[#This Row],[Ship Date]]-[1]!orders[[#This Row],[Order Date]]</f>
        <v>1</v>
      </c>
      <c r="N1880" s="1">
        <f>WEEKNUM([1]!orders[[#This Row],[Order Date]])</f>
        <v>11</v>
      </c>
      <c r="O1880" t="str" cm="1">
        <f t="array" ref="O1880">_xlfn.IFS([1]!orders[[#This Row],[Customer Gender]]="M","Male", [1]!orders[[#This Row],[Customer Gender]]="F","Female", [1]!orders[[#This Row],[Customer Gender]]="O","Other", TRUE,"Unknown")</f>
        <v>Female</v>
      </c>
    </row>
    <row r="1881" spans="1:15" x14ac:dyDescent="0.25">
      <c r="A1881" t="s">
        <v>1966</v>
      </c>
      <c r="B1881" t="s">
        <v>66</v>
      </c>
      <c r="C1881">
        <v>1</v>
      </c>
      <c r="D1881">
        <v>44.7</v>
      </c>
      <c r="E1881">
        <v>44.7</v>
      </c>
      <c r="F1881" s="3">
        <v>45726</v>
      </c>
      <c r="G1881" s="3">
        <v>45727</v>
      </c>
      <c r="H1881" t="s">
        <v>8</v>
      </c>
      <c r="I1881" t="s">
        <v>3</v>
      </c>
      <c r="J1881">
        <v>3</v>
      </c>
      <c r="K1881" t="s">
        <v>4</v>
      </c>
      <c r="L1881" t="s">
        <v>47</v>
      </c>
      <c r="M1881">
        <f>[1]!orders[[#This Row],[Ship Date]]-[1]!orders[[#This Row],[Order Date]]</f>
        <v>1</v>
      </c>
      <c r="N1881">
        <f>WEEKNUM([1]!orders[[#This Row],[Order Date]])</f>
        <v>11</v>
      </c>
      <c r="O1881" t="str" cm="1">
        <f t="array" ref="O1881">_xlfn.IFS([1]!orders[[#This Row],[Customer Gender]]="M","Male", [1]!orders[[#This Row],[Customer Gender]]="F","Female", [1]!orders[[#This Row],[Customer Gender]]="O","Other", TRUE,"Unknown")</f>
        <v>Male</v>
      </c>
    </row>
    <row r="1882" spans="1:15" x14ac:dyDescent="0.25">
      <c r="A1882" s="1" t="s">
        <v>1967</v>
      </c>
      <c r="B1882" s="1" t="s">
        <v>31</v>
      </c>
      <c r="C1882" s="1">
        <v>8</v>
      </c>
      <c r="D1882" s="1">
        <v>39.4</v>
      </c>
      <c r="E1882" s="1">
        <v>315.2</v>
      </c>
      <c r="F1882" s="2">
        <v>45726</v>
      </c>
      <c r="G1882" s="2">
        <v>45727</v>
      </c>
      <c r="H1882" s="1" t="s">
        <v>12</v>
      </c>
      <c r="I1882" s="1" t="s">
        <v>20</v>
      </c>
      <c r="J1882" s="1">
        <v>5</v>
      </c>
      <c r="K1882" s="1" t="s">
        <v>4</v>
      </c>
      <c r="L1882" s="1" t="s">
        <v>47</v>
      </c>
      <c r="M1882" s="1">
        <f>[1]!orders[[#This Row],[Ship Date]]-[1]!orders[[#This Row],[Order Date]]</f>
        <v>1</v>
      </c>
      <c r="N1882" s="1">
        <f>WEEKNUM([1]!orders[[#This Row],[Order Date]])</f>
        <v>11</v>
      </c>
      <c r="O1882" t="str" cm="1">
        <f t="array" ref="O1882">_xlfn.IFS([1]!orders[[#This Row],[Customer Gender]]="M","Male", [1]!orders[[#This Row],[Customer Gender]]="F","Female", [1]!orders[[#This Row],[Customer Gender]]="O","Other", TRUE,"Unknown")</f>
        <v>Female</v>
      </c>
    </row>
    <row r="1883" spans="1:15" x14ac:dyDescent="0.25">
      <c r="A1883" t="s">
        <v>1968</v>
      </c>
      <c r="B1883" t="s">
        <v>52</v>
      </c>
      <c r="C1883">
        <v>4</v>
      </c>
      <c r="D1883">
        <v>34.9</v>
      </c>
      <c r="E1883">
        <v>139.6</v>
      </c>
      <c r="F1883" s="3">
        <v>45726</v>
      </c>
      <c r="G1883" s="3">
        <v>45728</v>
      </c>
      <c r="H1883" t="s">
        <v>12</v>
      </c>
      <c r="I1883" t="s">
        <v>3</v>
      </c>
      <c r="J1883">
        <v>5</v>
      </c>
      <c r="K1883" t="s">
        <v>4</v>
      </c>
      <c r="L1883" t="s">
        <v>47</v>
      </c>
      <c r="M1883">
        <f>[1]!orders[[#This Row],[Ship Date]]-[1]!orders[[#This Row],[Order Date]]</f>
        <v>2</v>
      </c>
      <c r="N1883">
        <f>WEEKNUM([1]!orders[[#This Row],[Order Date]])</f>
        <v>11</v>
      </c>
      <c r="O1883" t="str" cm="1">
        <f t="array" ref="O1883">_xlfn.IFS([1]!orders[[#This Row],[Customer Gender]]="M","Male", [1]!orders[[#This Row],[Customer Gender]]="F","Female", [1]!orders[[#This Row],[Customer Gender]]="O","Other", TRUE,"Unknown")</f>
        <v>Female</v>
      </c>
    </row>
    <row r="1884" spans="1:15" x14ac:dyDescent="0.25">
      <c r="A1884" s="1" t="s">
        <v>1969</v>
      </c>
      <c r="B1884" s="1" t="s">
        <v>7</v>
      </c>
      <c r="C1884" s="1">
        <v>3</v>
      </c>
      <c r="D1884" s="1">
        <v>62.3</v>
      </c>
      <c r="E1884" s="1">
        <v>186.89999999999998</v>
      </c>
      <c r="F1884" s="2">
        <v>45726</v>
      </c>
      <c r="G1884" s="2">
        <v>45728</v>
      </c>
      <c r="H1884" s="1" t="s">
        <v>8</v>
      </c>
      <c r="I1884" s="1" t="s">
        <v>55</v>
      </c>
      <c r="J1884" s="1">
        <v>5</v>
      </c>
      <c r="K1884" s="1" t="s">
        <v>4</v>
      </c>
      <c r="L1884" s="1" t="s">
        <v>47</v>
      </c>
      <c r="M1884" s="1">
        <f>[1]!orders[[#This Row],[Ship Date]]-[1]!orders[[#This Row],[Order Date]]</f>
        <v>2</v>
      </c>
      <c r="N1884" s="1">
        <f>WEEKNUM([1]!orders[[#This Row],[Order Date]])</f>
        <v>11</v>
      </c>
      <c r="O1884" t="str" cm="1">
        <f t="array" ref="O1884">_xlfn.IFS([1]!orders[[#This Row],[Customer Gender]]="M","Male", [1]!orders[[#This Row],[Customer Gender]]="F","Female", [1]!orders[[#This Row],[Customer Gender]]="O","Other", TRUE,"Unknown")</f>
        <v>Male</v>
      </c>
    </row>
    <row r="1885" spans="1:15" x14ac:dyDescent="0.25">
      <c r="A1885" t="s">
        <v>1970</v>
      </c>
      <c r="B1885" t="s">
        <v>29</v>
      </c>
      <c r="C1885">
        <v>4</v>
      </c>
      <c r="D1885">
        <v>21.1</v>
      </c>
      <c r="E1885">
        <v>84.4</v>
      </c>
      <c r="F1885" s="3">
        <v>45726</v>
      </c>
      <c r="G1885" s="3">
        <v>45729</v>
      </c>
      <c r="H1885" t="s">
        <v>8</v>
      </c>
      <c r="I1885" t="s">
        <v>36</v>
      </c>
      <c r="J1885">
        <v>4</v>
      </c>
      <c r="K1885" t="s">
        <v>4</v>
      </c>
      <c r="L1885" t="s">
        <v>47</v>
      </c>
      <c r="M1885">
        <f>[1]!orders[[#This Row],[Ship Date]]-[1]!orders[[#This Row],[Order Date]]</f>
        <v>3</v>
      </c>
      <c r="N1885">
        <f>WEEKNUM([1]!orders[[#This Row],[Order Date]])</f>
        <v>11</v>
      </c>
      <c r="O1885" t="str" cm="1">
        <f t="array" ref="O1885">_xlfn.IFS([1]!orders[[#This Row],[Customer Gender]]="M","Male", [1]!orders[[#This Row],[Customer Gender]]="F","Female", [1]!orders[[#This Row],[Customer Gender]]="O","Other", TRUE,"Unknown")</f>
        <v>Male</v>
      </c>
    </row>
    <row r="1886" spans="1:15" x14ac:dyDescent="0.25">
      <c r="A1886" s="1" t="s">
        <v>1971</v>
      </c>
      <c r="B1886" s="1" t="s">
        <v>29</v>
      </c>
      <c r="C1886" s="1">
        <v>3</v>
      </c>
      <c r="D1886" s="1">
        <v>33.200000000000003</v>
      </c>
      <c r="E1886" s="1">
        <v>99.600000000000009</v>
      </c>
      <c r="F1886" s="2">
        <v>45726</v>
      </c>
      <c r="G1886" s="2">
        <v>45740</v>
      </c>
      <c r="H1886" s="1" t="s">
        <v>2</v>
      </c>
      <c r="I1886" s="1" t="s">
        <v>3</v>
      </c>
      <c r="J1886" s="1">
        <v>2</v>
      </c>
      <c r="K1886" s="1" t="s">
        <v>4</v>
      </c>
      <c r="L1886" s="1" t="s">
        <v>47</v>
      </c>
      <c r="M1886" s="1">
        <f>[1]!orders[[#This Row],[Ship Date]]-[1]!orders[[#This Row],[Order Date]]</f>
        <v>14</v>
      </c>
      <c r="N1886" s="1">
        <f>WEEKNUM([1]!orders[[#This Row],[Order Date]])</f>
        <v>11</v>
      </c>
      <c r="O1886" t="str" cm="1">
        <f t="array" ref="O1886">_xlfn.IFS([1]!orders[[#This Row],[Customer Gender]]="M","Male", [1]!orders[[#This Row],[Customer Gender]]="F","Female", [1]!orders[[#This Row],[Customer Gender]]="O","Other", TRUE,"Unknown")</f>
        <v>Unknown</v>
      </c>
    </row>
    <row r="1887" spans="1:15" x14ac:dyDescent="0.25">
      <c r="A1887" t="s">
        <v>1972</v>
      </c>
      <c r="B1887" t="s">
        <v>7</v>
      </c>
      <c r="C1887">
        <v>4</v>
      </c>
      <c r="D1887">
        <v>74.5</v>
      </c>
      <c r="E1887">
        <v>298</v>
      </c>
      <c r="F1887" s="3">
        <v>45726</v>
      </c>
      <c r="G1887" s="3">
        <v>45727</v>
      </c>
      <c r="H1887" t="s">
        <v>8</v>
      </c>
      <c r="I1887" t="s">
        <v>55</v>
      </c>
      <c r="J1887">
        <v>4</v>
      </c>
      <c r="K1887" t="s">
        <v>4</v>
      </c>
      <c r="L1887" t="s">
        <v>47</v>
      </c>
      <c r="M1887">
        <f>[1]!orders[[#This Row],[Ship Date]]-[1]!orders[[#This Row],[Order Date]]</f>
        <v>1</v>
      </c>
      <c r="N1887">
        <f>WEEKNUM([1]!orders[[#This Row],[Order Date]])</f>
        <v>11</v>
      </c>
      <c r="O1887" t="str" cm="1">
        <f t="array" ref="O1887">_xlfn.IFS([1]!orders[[#This Row],[Customer Gender]]="M","Male", [1]!orders[[#This Row],[Customer Gender]]="F","Female", [1]!orders[[#This Row],[Customer Gender]]="O","Other", TRUE,"Unknown")</f>
        <v>Male</v>
      </c>
    </row>
    <row r="1888" spans="1:15" x14ac:dyDescent="0.25">
      <c r="A1888" s="1" t="s">
        <v>1973</v>
      </c>
      <c r="B1888" s="1" t="s">
        <v>39</v>
      </c>
      <c r="C1888" s="1">
        <v>12</v>
      </c>
      <c r="D1888" s="1">
        <v>68.599999999999994</v>
      </c>
      <c r="E1888" s="1">
        <v>823.19999999999993</v>
      </c>
      <c r="F1888" s="2">
        <v>45726</v>
      </c>
      <c r="G1888" s="2">
        <v>45729</v>
      </c>
      <c r="H1888" s="1" t="s">
        <v>12</v>
      </c>
      <c r="I1888" s="1" t="s">
        <v>3</v>
      </c>
      <c r="J1888" s="1">
        <v>5</v>
      </c>
      <c r="K1888" s="1" t="s">
        <v>4</v>
      </c>
      <c r="L1888" s="1" t="s">
        <v>47</v>
      </c>
      <c r="M1888" s="1">
        <f>[1]!orders[[#This Row],[Ship Date]]-[1]!orders[[#This Row],[Order Date]]</f>
        <v>3</v>
      </c>
      <c r="N1888" s="1">
        <f>WEEKNUM([1]!orders[[#This Row],[Order Date]])</f>
        <v>11</v>
      </c>
      <c r="O1888" t="str" cm="1">
        <f t="array" ref="O1888">_xlfn.IFS([1]!orders[[#This Row],[Customer Gender]]="M","Male", [1]!orders[[#This Row],[Customer Gender]]="F","Female", [1]!orders[[#This Row],[Customer Gender]]="O","Other", TRUE,"Unknown")</f>
        <v>Female</v>
      </c>
    </row>
    <row r="1889" spans="1:15" x14ac:dyDescent="0.25">
      <c r="A1889" t="s">
        <v>1974</v>
      </c>
      <c r="B1889" t="s">
        <v>22</v>
      </c>
      <c r="C1889">
        <v>14</v>
      </c>
      <c r="D1889">
        <v>36.4</v>
      </c>
      <c r="E1889">
        <v>509.59999999999997</v>
      </c>
      <c r="F1889" s="3">
        <v>45726</v>
      </c>
      <c r="G1889" s="3">
        <v>45728</v>
      </c>
      <c r="H1889" t="s">
        <v>12</v>
      </c>
      <c r="I1889" t="s">
        <v>3</v>
      </c>
      <c r="J1889">
        <v>3</v>
      </c>
      <c r="K1889" t="s">
        <v>4</v>
      </c>
      <c r="L1889" t="s">
        <v>57</v>
      </c>
      <c r="M1889">
        <f>[1]!orders[[#This Row],[Ship Date]]-[1]!orders[[#This Row],[Order Date]]</f>
        <v>2</v>
      </c>
      <c r="N1889">
        <f>WEEKNUM([1]!orders[[#This Row],[Order Date]])</f>
        <v>11</v>
      </c>
      <c r="O1889" t="str" cm="1">
        <f t="array" ref="O1889">_xlfn.IFS([1]!orders[[#This Row],[Customer Gender]]="M","Male", [1]!orders[[#This Row],[Customer Gender]]="F","Female", [1]!orders[[#This Row],[Customer Gender]]="O","Other", TRUE,"Unknown")</f>
        <v>Female</v>
      </c>
    </row>
    <row r="1890" spans="1:15" x14ac:dyDescent="0.25">
      <c r="A1890" s="1" t="s">
        <v>1975</v>
      </c>
      <c r="B1890" s="1" t="s">
        <v>113</v>
      </c>
      <c r="C1890" s="1">
        <v>5</v>
      </c>
      <c r="D1890" s="1">
        <v>67.599999999999994</v>
      </c>
      <c r="E1890" s="1">
        <v>338</v>
      </c>
      <c r="F1890" s="2">
        <v>45727</v>
      </c>
      <c r="G1890" s="2">
        <v>45730</v>
      </c>
      <c r="H1890" s="1" t="s">
        <v>12</v>
      </c>
      <c r="I1890" s="1" t="s">
        <v>55</v>
      </c>
      <c r="J1890" s="1">
        <v>3</v>
      </c>
      <c r="K1890" s="1" t="s">
        <v>4</v>
      </c>
      <c r="L1890" s="1" t="s">
        <v>57</v>
      </c>
      <c r="M1890" s="1">
        <f>[1]!orders[[#This Row],[Ship Date]]-[1]!orders[[#This Row],[Order Date]]</f>
        <v>3</v>
      </c>
      <c r="N1890" s="1">
        <f>WEEKNUM([1]!orders[[#This Row],[Order Date]])</f>
        <v>11</v>
      </c>
      <c r="O1890" t="str" cm="1">
        <f t="array" ref="O1890">_xlfn.IFS([1]!orders[[#This Row],[Customer Gender]]="M","Male", [1]!orders[[#This Row],[Customer Gender]]="F","Female", [1]!orders[[#This Row],[Customer Gender]]="O","Other", TRUE,"Unknown")</f>
        <v>Female</v>
      </c>
    </row>
    <row r="1891" spans="1:15" x14ac:dyDescent="0.25">
      <c r="A1891" t="s">
        <v>1976</v>
      </c>
      <c r="B1891" t="s">
        <v>108</v>
      </c>
      <c r="C1891">
        <v>1</v>
      </c>
      <c r="D1891">
        <v>46.3</v>
      </c>
      <c r="E1891">
        <v>46.3</v>
      </c>
      <c r="F1891" s="3">
        <v>45727</v>
      </c>
      <c r="G1891" s="3">
        <v>45728</v>
      </c>
      <c r="H1891" t="s">
        <v>8</v>
      </c>
      <c r="I1891" t="s">
        <v>25</v>
      </c>
      <c r="J1891">
        <v>4</v>
      </c>
      <c r="K1891" t="s">
        <v>4</v>
      </c>
      <c r="L1891" t="s">
        <v>57</v>
      </c>
      <c r="M1891">
        <f>[1]!orders[[#This Row],[Ship Date]]-[1]!orders[[#This Row],[Order Date]]</f>
        <v>1</v>
      </c>
      <c r="N1891">
        <f>WEEKNUM([1]!orders[[#This Row],[Order Date]])</f>
        <v>11</v>
      </c>
      <c r="O1891" t="str" cm="1">
        <f t="array" ref="O1891">_xlfn.IFS([1]!orders[[#This Row],[Customer Gender]]="M","Male", [1]!orders[[#This Row],[Customer Gender]]="F","Female", [1]!orders[[#This Row],[Customer Gender]]="O","Other", TRUE,"Unknown")</f>
        <v>Male</v>
      </c>
    </row>
    <row r="1892" spans="1:15" x14ac:dyDescent="0.25">
      <c r="A1892" s="1" t="s">
        <v>1977</v>
      </c>
      <c r="B1892" s="1" t="s">
        <v>7</v>
      </c>
      <c r="C1892" s="1">
        <v>3</v>
      </c>
      <c r="D1892" s="1">
        <v>124.2</v>
      </c>
      <c r="E1892" s="1">
        <v>372.6</v>
      </c>
      <c r="F1892" s="2">
        <v>45727</v>
      </c>
      <c r="G1892" s="2">
        <v>45729</v>
      </c>
      <c r="H1892" s="1" t="s">
        <v>12</v>
      </c>
      <c r="I1892" s="1" t="s">
        <v>20</v>
      </c>
      <c r="J1892" s="1">
        <v>5</v>
      </c>
      <c r="K1892" s="1" t="s">
        <v>4</v>
      </c>
      <c r="L1892" s="1" t="s">
        <v>62</v>
      </c>
      <c r="M1892" s="1">
        <f>[1]!orders[[#This Row],[Ship Date]]-[1]!orders[[#This Row],[Order Date]]</f>
        <v>2</v>
      </c>
      <c r="N1892" s="1">
        <f>WEEKNUM([1]!orders[[#This Row],[Order Date]])</f>
        <v>11</v>
      </c>
      <c r="O1892" t="str" cm="1">
        <f t="array" ref="O1892">_xlfn.IFS([1]!orders[[#This Row],[Customer Gender]]="M","Male", [1]!orders[[#This Row],[Customer Gender]]="F","Female", [1]!orders[[#This Row],[Customer Gender]]="O","Other", TRUE,"Unknown")</f>
        <v>Female</v>
      </c>
    </row>
    <row r="1893" spans="1:15" x14ac:dyDescent="0.25">
      <c r="A1893" t="s">
        <v>1978</v>
      </c>
      <c r="B1893" t="s">
        <v>39</v>
      </c>
      <c r="C1893">
        <v>2</v>
      </c>
      <c r="D1893">
        <v>37</v>
      </c>
      <c r="E1893">
        <v>74</v>
      </c>
      <c r="F1893" s="3">
        <v>45727</v>
      </c>
      <c r="G1893" s="3">
        <v>45733</v>
      </c>
      <c r="H1893" t="s">
        <v>8</v>
      </c>
      <c r="I1893" t="s">
        <v>3</v>
      </c>
      <c r="J1893">
        <v>4</v>
      </c>
      <c r="K1893" t="s">
        <v>4</v>
      </c>
      <c r="L1893" t="s">
        <v>62</v>
      </c>
      <c r="M1893">
        <f>[1]!orders[[#This Row],[Ship Date]]-[1]!orders[[#This Row],[Order Date]]</f>
        <v>6</v>
      </c>
      <c r="N1893">
        <f>WEEKNUM([1]!orders[[#This Row],[Order Date]])</f>
        <v>11</v>
      </c>
      <c r="O1893" t="str" cm="1">
        <f t="array" ref="O1893">_xlfn.IFS([1]!orders[[#This Row],[Customer Gender]]="M","Male", [1]!orders[[#This Row],[Customer Gender]]="F","Female", [1]!orders[[#This Row],[Customer Gender]]="O","Other", TRUE,"Unknown")</f>
        <v>Male</v>
      </c>
    </row>
    <row r="1894" spans="1:15" x14ac:dyDescent="0.25">
      <c r="A1894" s="1" t="s">
        <v>1979</v>
      </c>
      <c r="B1894" s="1" t="s">
        <v>22</v>
      </c>
      <c r="C1894" s="1">
        <v>1</v>
      </c>
      <c r="D1894" s="1">
        <v>41.8</v>
      </c>
      <c r="E1894" s="1">
        <v>41.8</v>
      </c>
      <c r="F1894" s="2">
        <v>45727</v>
      </c>
      <c r="G1894" s="2">
        <v>45728</v>
      </c>
      <c r="H1894" s="1" t="s">
        <v>8</v>
      </c>
      <c r="I1894" s="1" t="s">
        <v>25</v>
      </c>
      <c r="J1894" s="1">
        <v>4</v>
      </c>
      <c r="K1894" s="1" t="s">
        <v>4</v>
      </c>
      <c r="L1894" s="1" t="s">
        <v>277</v>
      </c>
      <c r="M1894" s="1">
        <f>[1]!orders[[#This Row],[Ship Date]]-[1]!orders[[#This Row],[Order Date]]</f>
        <v>1</v>
      </c>
      <c r="N1894" s="1">
        <f>WEEKNUM([1]!orders[[#This Row],[Order Date]])</f>
        <v>11</v>
      </c>
      <c r="O1894" t="str" cm="1">
        <f t="array" ref="O1894">_xlfn.IFS([1]!orders[[#This Row],[Customer Gender]]="M","Male", [1]!orders[[#This Row],[Customer Gender]]="F","Female", [1]!orders[[#This Row],[Customer Gender]]="O","Other", TRUE,"Unknown")</f>
        <v>Male</v>
      </c>
    </row>
    <row r="1895" spans="1:15" x14ac:dyDescent="0.25">
      <c r="A1895" t="s">
        <v>1980</v>
      </c>
      <c r="B1895" t="s">
        <v>31</v>
      </c>
      <c r="C1895">
        <v>2</v>
      </c>
      <c r="D1895">
        <v>57.2</v>
      </c>
      <c r="E1895">
        <v>114.4</v>
      </c>
      <c r="F1895" s="3">
        <v>45727</v>
      </c>
      <c r="G1895" s="3">
        <v>45729</v>
      </c>
      <c r="H1895" t="s">
        <v>8</v>
      </c>
      <c r="I1895" t="s">
        <v>25</v>
      </c>
      <c r="J1895">
        <v>3</v>
      </c>
      <c r="K1895" t="s">
        <v>4</v>
      </c>
      <c r="L1895" t="s">
        <v>98</v>
      </c>
      <c r="M1895">
        <f>[1]!orders[[#This Row],[Ship Date]]-[1]!orders[[#This Row],[Order Date]]</f>
        <v>2</v>
      </c>
      <c r="N1895">
        <f>WEEKNUM([1]!orders[[#This Row],[Order Date]])</f>
        <v>11</v>
      </c>
      <c r="O1895" t="str" cm="1">
        <f t="array" ref="O1895">_xlfn.IFS([1]!orders[[#This Row],[Customer Gender]]="M","Male", [1]!orders[[#This Row],[Customer Gender]]="F","Female", [1]!orders[[#This Row],[Customer Gender]]="O","Other", TRUE,"Unknown")</f>
        <v>Male</v>
      </c>
    </row>
    <row r="1896" spans="1:15" x14ac:dyDescent="0.25">
      <c r="A1896" s="1" t="s">
        <v>1981</v>
      </c>
      <c r="B1896" s="1" t="s">
        <v>24</v>
      </c>
      <c r="C1896" s="1">
        <v>2</v>
      </c>
      <c r="D1896" s="1">
        <v>47.1</v>
      </c>
      <c r="E1896" s="1">
        <v>94.2</v>
      </c>
      <c r="F1896" s="2">
        <v>45727</v>
      </c>
      <c r="G1896" s="2">
        <v>45729</v>
      </c>
      <c r="H1896" s="1" t="s">
        <v>12</v>
      </c>
      <c r="I1896" s="1" t="s">
        <v>3</v>
      </c>
      <c r="J1896" s="1">
        <v>2</v>
      </c>
      <c r="K1896" s="1" t="s">
        <v>4</v>
      </c>
      <c r="L1896" s="1" t="s">
        <v>98</v>
      </c>
      <c r="M1896" s="1">
        <f>[1]!orders[[#This Row],[Ship Date]]-[1]!orders[[#This Row],[Order Date]]</f>
        <v>2</v>
      </c>
      <c r="N1896" s="1">
        <f>WEEKNUM([1]!orders[[#This Row],[Order Date]])</f>
        <v>11</v>
      </c>
      <c r="O1896" t="str" cm="1">
        <f t="array" ref="O1896">_xlfn.IFS([1]!orders[[#This Row],[Customer Gender]]="M","Male", [1]!orders[[#This Row],[Customer Gender]]="F","Female", [1]!orders[[#This Row],[Customer Gender]]="O","Other", TRUE,"Unknown")</f>
        <v>Female</v>
      </c>
    </row>
    <row r="1897" spans="1:15" x14ac:dyDescent="0.25">
      <c r="A1897" t="s">
        <v>1982</v>
      </c>
      <c r="B1897" t="s">
        <v>22</v>
      </c>
      <c r="C1897">
        <v>3</v>
      </c>
      <c r="D1897">
        <v>86.4</v>
      </c>
      <c r="E1897">
        <v>259.20000000000005</v>
      </c>
      <c r="F1897" s="3">
        <v>45727</v>
      </c>
      <c r="G1897" s="3">
        <v>45728</v>
      </c>
      <c r="H1897" t="s">
        <v>8</v>
      </c>
      <c r="I1897" t="s">
        <v>25</v>
      </c>
      <c r="J1897">
        <v>3</v>
      </c>
      <c r="K1897" t="s">
        <v>4</v>
      </c>
      <c r="L1897" t="s">
        <v>982</v>
      </c>
      <c r="M1897">
        <f>[1]!orders[[#This Row],[Ship Date]]-[1]!orders[[#This Row],[Order Date]]</f>
        <v>1</v>
      </c>
      <c r="N1897">
        <f>WEEKNUM([1]!orders[[#This Row],[Order Date]])</f>
        <v>11</v>
      </c>
      <c r="O1897" t="str" cm="1">
        <f t="array" ref="O1897">_xlfn.IFS([1]!orders[[#This Row],[Customer Gender]]="M","Male", [1]!orders[[#This Row],[Customer Gender]]="F","Female", [1]!orders[[#This Row],[Customer Gender]]="O","Other", TRUE,"Unknown")</f>
        <v>Male</v>
      </c>
    </row>
    <row r="1898" spans="1:15" x14ac:dyDescent="0.25">
      <c r="A1898" s="1" t="s">
        <v>1983</v>
      </c>
      <c r="B1898" s="1" t="s">
        <v>24</v>
      </c>
      <c r="C1898" s="1">
        <v>5</v>
      </c>
      <c r="D1898" s="1">
        <v>105</v>
      </c>
      <c r="E1898" s="1">
        <v>525</v>
      </c>
      <c r="F1898" s="2">
        <v>45727</v>
      </c>
      <c r="G1898" s="2">
        <v>45730</v>
      </c>
      <c r="H1898" s="1" t="s">
        <v>8</v>
      </c>
      <c r="I1898" s="1" t="s">
        <v>3</v>
      </c>
      <c r="J1898" s="1">
        <v>4</v>
      </c>
      <c r="K1898" s="1" t="s">
        <v>4</v>
      </c>
      <c r="L1898" s="1" t="s">
        <v>67</v>
      </c>
      <c r="M1898" s="1">
        <f>[1]!orders[[#This Row],[Ship Date]]-[1]!orders[[#This Row],[Order Date]]</f>
        <v>3</v>
      </c>
      <c r="N1898" s="1">
        <f>WEEKNUM([1]!orders[[#This Row],[Order Date]])</f>
        <v>11</v>
      </c>
      <c r="O1898" t="str" cm="1">
        <f t="array" ref="O1898">_xlfn.IFS([1]!orders[[#This Row],[Customer Gender]]="M","Male", [1]!orders[[#This Row],[Customer Gender]]="F","Female", [1]!orders[[#This Row],[Customer Gender]]="O","Other", TRUE,"Unknown")</f>
        <v>Male</v>
      </c>
    </row>
    <row r="1899" spans="1:15" x14ac:dyDescent="0.25">
      <c r="A1899" t="s">
        <v>1984</v>
      </c>
      <c r="B1899" t="s">
        <v>131</v>
      </c>
      <c r="C1899">
        <v>1</v>
      </c>
      <c r="D1899">
        <v>33</v>
      </c>
      <c r="E1899">
        <v>33</v>
      </c>
      <c r="F1899" s="3">
        <v>45727</v>
      </c>
      <c r="G1899" s="3">
        <v>45730</v>
      </c>
      <c r="H1899" t="s">
        <v>8</v>
      </c>
      <c r="I1899" t="s">
        <v>55</v>
      </c>
      <c r="J1899">
        <v>4</v>
      </c>
      <c r="K1899" t="s">
        <v>4</v>
      </c>
      <c r="L1899" t="s">
        <v>100</v>
      </c>
      <c r="M1899">
        <f>[1]!orders[[#This Row],[Ship Date]]-[1]!orders[[#This Row],[Order Date]]</f>
        <v>3</v>
      </c>
      <c r="N1899">
        <f>WEEKNUM([1]!orders[[#This Row],[Order Date]])</f>
        <v>11</v>
      </c>
      <c r="O1899" t="str" cm="1">
        <f t="array" ref="O1899">_xlfn.IFS([1]!orders[[#This Row],[Customer Gender]]="M","Male", [1]!orders[[#This Row],[Customer Gender]]="F","Female", [1]!orders[[#This Row],[Customer Gender]]="O","Other", TRUE,"Unknown")</f>
        <v>Male</v>
      </c>
    </row>
    <row r="1900" spans="1:15" x14ac:dyDescent="0.25">
      <c r="A1900" s="1" t="s">
        <v>1985</v>
      </c>
      <c r="B1900" s="1" t="s">
        <v>24</v>
      </c>
      <c r="C1900" s="1">
        <v>5</v>
      </c>
      <c r="D1900" s="1">
        <v>106.6</v>
      </c>
      <c r="E1900" s="1">
        <v>533</v>
      </c>
      <c r="F1900" s="2">
        <v>45727</v>
      </c>
      <c r="G1900" s="2">
        <v>45740</v>
      </c>
      <c r="H1900" s="1" t="s">
        <v>12</v>
      </c>
      <c r="I1900" s="1" t="s">
        <v>25</v>
      </c>
      <c r="J1900" s="1">
        <v>4</v>
      </c>
      <c r="K1900" s="1" t="s">
        <v>4</v>
      </c>
      <c r="L1900" s="1" t="s">
        <v>9</v>
      </c>
      <c r="M1900" s="1">
        <f>[1]!orders[[#This Row],[Ship Date]]-[1]!orders[[#This Row],[Order Date]]</f>
        <v>13</v>
      </c>
      <c r="N1900" s="1">
        <f>WEEKNUM([1]!orders[[#This Row],[Order Date]])</f>
        <v>11</v>
      </c>
      <c r="O1900" t="str" cm="1">
        <f t="array" ref="O1900">_xlfn.IFS([1]!orders[[#This Row],[Customer Gender]]="M","Male", [1]!orders[[#This Row],[Customer Gender]]="F","Female", [1]!orders[[#This Row],[Customer Gender]]="O","Other", TRUE,"Unknown")</f>
        <v>Female</v>
      </c>
    </row>
    <row r="1901" spans="1:15" x14ac:dyDescent="0.25">
      <c r="A1901" t="s">
        <v>1986</v>
      </c>
      <c r="B1901" t="s">
        <v>39</v>
      </c>
      <c r="C1901">
        <v>32</v>
      </c>
      <c r="D1901">
        <v>26.8</v>
      </c>
      <c r="E1901">
        <v>857.6</v>
      </c>
      <c r="F1901" s="3">
        <v>45727</v>
      </c>
      <c r="G1901" s="3">
        <v>45728</v>
      </c>
      <c r="H1901" t="s">
        <v>12</v>
      </c>
      <c r="I1901" t="s">
        <v>25</v>
      </c>
      <c r="J1901">
        <v>4</v>
      </c>
      <c r="K1901" t="s">
        <v>4</v>
      </c>
      <c r="L1901" t="s">
        <v>9</v>
      </c>
      <c r="M1901">
        <f>[1]!orders[[#This Row],[Ship Date]]-[1]!orders[[#This Row],[Order Date]]</f>
        <v>1</v>
      </c>
      <c r="N1901">
        <f>WEEKNUM([1]!orders[[#This Row],[Order Date]])</f>
        <v>11</v>
      </c>
      <c r="O1901" t="str" cm="1">
        <f t="array" ref="O1901">_xlfn.IFS([1]!orders[[#This Row],[Customer Gender]]="M","Male", [1]!orders[[#This Row],[Customer Gender]]="F","Female", [1]!orders[[#This Row],[Customer Gender]]="O","Other", TRUE,"Unknown")</f>
        <v>Female</v>
      </c>
    </row>
    <row r="1902" spans="1:15" x14ac:dyDescent="0.25">
      <c r="A1902" s="1" t="s">
        <v>1987</v>
      </c>
      <c r="B1902" s="1" t="s">
        <v>120</v>
      </c>
      <c r="C1902" s="1">
        <v>5</v>
      </c>
      <c r="D1902" s="1">
        <v>25.8</v>
      </c>
      <c r="E1902" s="1">
        <v>129</v>
      </c>
      <c r="F1902" s="2">
        <v>45727</v>
      </c>
      <c r="G1902" s="2">
        <v>45727</v>
      </c>
      <c r="H1902" s="1" t="s">
        <v>12</v>
      </c>
      <c r="I1902" s="1" t="s">
        <v>20</v>
      </c>
      <c r="J1902" s="1">
        <v>5</v>
      </c>
      <c r="K1902" s="1" t="s">
        <v>4</v>
      </c>
      <c r="L1902" s="1" t="s">
        <v>18</v>
      </c>
      <c r="M1902" s="1">
        <f>[1]!orders[[#This Row],[Ship Date]]-[1]!orders[[#This Row],[Order Date]]</f>
        <v>0</v>
      </c>
      <c r="N1902" s="1">
        <f>WEEKNUM([1]!orders[[#This Row],[Order Date]])</f>
        <v>11</v>
      </c>
      <c r="O1902" t="str" cm="1">
        <f t="array" ref="O1902">_xlfn.IFS([1]!orders[[#This Row],[Customer Gender]]="M","Male", [1]!orders[[#This Row],[Customer Gender]]="F","Female", [1]!orders[[#This Row],[Customer Gender]]="O","Other", TRUE,"Unknown")</f>
        <v>Female</v>
      </c>
    </row>
    <row r="1903" spans="1:15" x14ac:dyDescent="0.25">
      <c r="A1903" t="s">
        <v>1988</v>
      </c>
      <c r="B1903" t="s">
        <v>11</v>
      </c>
      <c r="C1903">
        <v>3</v>
      </c>
      <c r="D1903">
        <v>217</v>
      </c>
      <c r="E1903">
        <v>651</v>
      </c>
      <c r="F1903" s="3">
        <v>45727</v>
      </c>
      <c r="G1903" s="3">
        <v>45728</v>
      </c>
      <c r="H1903" t="s">
        <v>12</v>
      </c>
      <c r="I1903" t="s">
        <v>20</v>
      </c>
      <c r="J1903">
        <v>3</v>
      </c>
      <c r="K1903" t="s">
        <v>4</v>
      </c>
      <c r="L1903" t="s">
        <v>18</v>
      </c>
      <c r="M1903">
        <f>[1]!orders[[#This Row],[Ship Date]]-[1]!orders[[#This Row],[Order Date]]</f>
        <v>1</v>
      </c>
      <c r="N1903">
        <f>WEEKNUM([1]!orders[[#This Row],[Order Date]])</f>
        <v>11</v>
      </c>
      <c r="O1903" t="str" cm="1">
        <f t="array" ref="O1903">_xlfn.IFS([1]!orders[[#This Row],[Customer Gender]]="M","Male", [1]!orders[[#This Row],[Customer Gender]]="F","Female", [1]!orders[[#This Row],[Customer Gender]]="O","Other", TRUE,"Unknown")</f>
        <v>Female</v>
      </c>
    </row>
    <row r="1904" spans="1:15" x14ac:dyDescent="0.25">
      <c r="A1904" s="1" t="s">
        <v>1989</v>
      </c>
      <c r="B1904" s="1" t="s">
        <v>11</v>
      </c>
      <c r="C1904" s="1">
        <v>2</v>
      </c>
      <c r="D1904" s="1">
        <v>97.3</v>
      </c>
      <c r="E1904" s="1">
        <v>194.6</v>
      </c>
      <c r="F1904" s="2">
        <v>45727</v>
      </c>
      <c r="G1904" s="2">
        <v>45728</v>
      </c>
      <c r="H1904" s="1" t="s">
        <v>8</v>
      </c>
      <c r="I1904" s="1" t="s">
        <v>25</v>
      </c>
      <c r="J1904" s="1">
        <v>2</v>
      </c>
      <c r="K1904" s="1" t="s">
        <v>4</v>
      </c>
      <c r="L1904" s="1" t="s">
        <v>18</v>
      </c>
      <c r="M1904" s="1">
        <f>[1]!orders[[#This Row],[Ship Date]]-[1]!orders[[#This Row],[Order Date]]</f>
        <v>1</v>
      </c>
      <c r="N1904" s="1">
        <f>WEEKNUM([1]!orders[[#This Row],[Order Date]])</f>
        <v>11</v>
      </c>
      <c r="O1904" t="str" cm="1">
        <f t="array" ref="O1904">_xlfn.IFS([1]!orders[[#This Row],[Customer Gender]]="M","Male", [1]!orders[[#This Row],[Customer Gender]]="F","Female", [1]!orders[[#This Row],[Customer Gender]]="O","Other", TRUE,"Unknown")</f>
        <v>Male</v>
      </c>
    </row>
    <row r="1905" spans="1:15" x14ac:dyDescent="0.25">
      <c r="A1905" t="s">
        <v>1990</v>
      </c>
      <c r="B1905" t="s">
        <v>7</v>
      </c>
      <c r="C1905">
        <v>1</v>
      </c>
      <c r="D1905">
        <v>49.8</v>
      </c>
      <c r="E1905">
        <v>49.8</v>
      </c>
      <c r="F1905" s="3">
        <v>45727</v>
      </c>
      <c r="G1905" s="3">
        <v>45728</v>
      </c>
      <c r="H1905" t="s">
        <v>12</v>
      </c>
      <c r="I1905" t="s">
        <v>3</v>
      </c>
      <c r="J1905">
        <v>4</v>
      </c>
      <c r="K1905" t="s">
        <v>4</v>
      </c>
      <c r="L1905" t="s">
        <v>18</v>
      </c>
      <c r="M1905">
        <f>[1]!orders[[#This Row],[Ship Date]]-[1]!orders[[#This Row],[Order Date]]</f>
        <v>1</v>
      </c>
      <c r="N1905">
        <f>WEEKNUM([1]!orders[[#This Row],[Order Date]])</f>
        <v>11</v>
      </c>
      <c r="O1905" t="str" cm="1">
        <f t="array" ref="O1905">_xlfn.IFS([1]!orders[[#This Row],[Customer Gender]]="M","Male", [1]!orders[[#This Row],[Customer Gender]]="F","Female", [1]!orders[[#This Row],[Customer Gender]]="O","Other", TRUE,"Unknown")</f>
        <v>Female</v>
      </c>
    </row>
    <row r="1906" spans="1:15" x14ac:dyDescent="0.25">
      <c r="A1906" s="1" t="s">
        <v>1991</v>
      </c>
      <c r="B1906" s="1" t="s">
        <v>54</v>
      </c>
      <c r="C1906" s="1">
        <v>5</v>
      </c>
      <c r="D1906" s="1">
        <v>32.6</v>
      </c>
      <c r="E1906" s="1">
        <v>163</v>
      </c>
      <c r="F1906" s="2">
        <v>45727</v>
      </c>
      <c r="G1906" s="2">
        <v>45728</v>
      </c>
      <c r="H1906" s="1" t="s">
        <v>12</v>
      </c>
      <c r="I1906" s="1" t="s">
        <v>3</v>
      </c>
      <c r="J1906" s="1">
        <v>4</v>
      </c>
      <c r="K1906" s="1" t="s">
        <v>4</v>
      </c>
      <c r="L1906" s="1" t="s">
        <v>18</v>
      </c>
      <c r="M1906" s="1">
        <f>[1]!orders[[#This Row],[Ship Date]]-[1]!orders[[#This Row],[Order Date]]</f>
        <v>1</v>
      </c>
      <c r="N1906" s="1">
        <f>WEEKNUM([1]!orders[[#This Row],[Order Date]])</f>
        <v>11</v>
      </c>
      <c r="O1906" t="str" cm="1">
        <f t="array" ref="O1906">_xlfn.IFS([1]!orders[[#This Row],[Customer Gender]]="M","Male", [1]!orders[[#This Row],[Customer Gender]]="F","Female", [1]!orders[[#This Row],[Customer Gender]]="O","Other", TRUE,"Unknown")</f>
        <v>Female</v>
      </c>
    </row>
    <row r="1907" spans="1:15" x14ac:dyDescent="0.25">
      <c r="A1907" t="s">
        <v>1992</v>
      </c>
      <c r="B1907" t="s">
        <v>31</v>
      </c>
      <c r="C1907">
        <v>2</v>
      </c>
      <c r="D1907">
        <v>40.1</v>
      </c>
      <c r="E1907">
        <v>80.2</v>
      </c>
      <c r="F1907" s="3">
        <v>45727</v>
      </c>
      <c r="G1907" s="3">
        <v>45730</v>
      </c>
      <c r="H1907" t="s">
        <v>8</v>
      </c>
      <c r="I1907" t="s">
        <v>20</v>
      </c>
      <c r="J1907">
        <v>5</v>
      </c>
      <c r="K1907" t="s">
        <v>4</v>
      </c>
      <c r="L1907" t="s">
        <v>18</v>
      </c>
      <c r="M1907">
        <f>[1]!orders[[#This Row],[Ship Date]]-[1]!orders[[#This Row],[Order Date]]</f>
        <v>3</v>
      </c>
      <c r="N1907">
        <f>WEEKNUM([1]!orders[[#This Row],[Order Date]])</f>
        <v>11</v>
      </c>
      <c r="O1907" t="str" cm="1">
        <f t="array" ref="O1907">_xlfn.IFS([1]!orders[[#This Row],[Customer Gender]]="M","Male", [1]!orders[[#This Row],[Customer Gender]]="F","Female", [1]!orders[[#This Row],[Customer Gender]]="O","Other", TRUE,"Unknown")</f>
        <v>Male</v>
      </c>
    </row>
    <row r="1908" spans="1:15" x14ac:dyDescent="0.25">
      <c r="A1908" s="1" t="s">
        <v>1993</v>
      </c>
      <c r="B1908" s="1" t="s">
        <v>39</v>
      </c>
      <c r="C1908" s="1">
        <v>2</v>
      </c>
      <c r="D1908" s="1">
        <v>49.4</v>
      </c>
      <c r="E1908" s="1">
        <v>98.8</v>
      </c>
      <c r="F1908" s="2">
        <v>45727</v>
      </c>
      <c r="G1908" s="2">
        <v>45729</v>
      </c>
      <c r="H1908" s="1" t="s">
        <v>8</v>
      </c>
      <c r="I1908" s="1" t="s">
        <v>20</v>
      </c>
      <c r="J1908" s="1">
        <v>4</v>
      </c>
      <c r="K1908" s="1" t="s">
        <v>4</v>
      </c>
      <c r="L1908" s="1" t="s">
        <v>18</v>
      </c>
      <c r="M1908" s="1">
        <f>[1]!orders[[#This Row],[Ship Date]]-[1]!orders[[#This Row],[Order Date]]</f>
        <v>2</v>
      </c>
      <c r="N1908" s="1">
        <f>WEEKNUM([1]!orders[[#This Row],[Order Date]])</f>
        <v>11</v>
      </c>
      <c r="O1908" t="str" cm="1">
        <f t="array" ref="O1908">_xlfn.IFS([1]!orders[[#This Row],[Customer Gender]]="M","Male", [1]!orders[[#This Row],[Customer Gender]]="F","Female", [1]!orders[[#This Row],[Customer Gender]]="O","Other", TRUE,"Unknown")</f>
        <v>Male</v>
      </c>
    </row>
    <row r="1909" spans="1:15" x14ac:dyDescent="0.25">
      <c r="A1909" t="s">
        <v>1994</v>
      </c>
      <c r="B1909" t="s">
        <v>11</v>
      </c>
      <c r="C1909">
        <v>1</v>
      </c>
      <c r="D1909">
        <v>67.3</v>
      </c>
      <c r="E1909">
        <v>67.3</v>
      </c>
      <c r="F1909" s="3">
        <v>45727</v>
      </c>
      <c r="G1909" s="3">
        <v>45728</v>
      </c>
      <c r="H1909" t="s">
        <v>12</v>
      </c>
      <c r="I1909" t="s">
        <v>3</v>
      </c>
      <c r="J1909">
        <v>5</v>
      </c>
      <c r="K1909" t="s">
        <v>4</v>
      </c>
      <c r="L1909" t="s">
        <v>18</v>
      </c>
      <c r="M1909">
        <f>[1]!orders[[#This Row],[Ship Date]]-[1]!orders[[#This Row],[Order Date]]</f>
        <v>1</v>
      </c>
      <c r="N1909">
        <f>WEEKNUM([1]!orders[[#This Row],[Order Date]])</f>
        <v>11</v>
      </c>
      <c r="O1909" t="str" cm="1">
        <f t="array" ref="O1909">_xlfn.IFS([1]!orders[[#This Row],[Customer Gender]]="M","Male", [1]!orders[[#This Row],[Customer Gender]]="F","Female", [1]!orders[[#This Row],[Customer Gender]]="O","Other", TRUE,"Unknown")</f>
        <v>Female</v>
      </c>
    </row>
    <row r="1910" spans="1:15" x14ac:dyDescent="0.25">
      <c r="A1910" s="1" t="s">
        <v>1995</v>
      </c>
      <c r="B1910" s="1" t="s">
        <v>131</v>
      </c>
      <c r="C1910" s="1">
        <v>4</v>
      </c>
      <c r="D1910" s="1">
        <v>44.5</v>
      </c>
      <c r="E1910" s="1">
        <v>178</v>
      </c>
      <c r="F1910" s="2">
        <v>45727</v>
      </c>
      <c r="G1910" s="2">
        <v>45730</v>
      </c>
      <c r="H1910" s="1" t="s">
        <v>2</v>
      </c>
      <c r="I1910" s="1" t="s">
        <v>20</v>
      </c>
      <c r="J1910" s="1">
        <v>4</v>
      </c>
      <c r="K1910" s="1" t="s">
        <v>4</v>
      </c>
      <c r="L1910" s="1" t="s">
        <v>18</v>
      </c>
      <c r="M1910" s="1">
        <f>[1]!orders[[#This Row],[Ship Date]]-[1]!orders[[#This Row],[Order Date]]</f>
        <v>3</v>
      </c>
      <c r="N1910" s="1">
        <f>WEEKNUM([1]!orders[[#This Row],[Order Date]])</f>
        <v>11</v>
      </c>
      <c r="O1910" t="str" cm="1">
        <f t="array" ref="O1910">_xlfn.IFS([1]!orders[[#This Row],[Customer Gender]]="M","Male", [1]!orders[[#This Row],[Customer Gender]]="F","Female", [1]!orders[[#This Row],[Customer Gender]]="O","Other", TRUE,"Unknown")</f>
        <v>Unknown</v>
      </c>
    </row>
    <row r="1911" spans="1:15" x14ac:dyDescent="0.25">
      <c r="A1911" t="s">
        <v>1996</v>
      </c>
      <c r="B1911" t="s">
        <v>24</v>
      </c>
      <c r="C1911">
        <v>11</v>
      </c>
      <c r="D1911">
        <v>111.1</v>
      </c>
      <c r="E1911">
        <v>1222.0999999999999</v>
      </c>
      <c r="F1911" s="3">
        <v>45727</v>
      </c>
      <c r="G1911" s="3">
        <v>45728</v>
      </c>
      <c r="H1911" t="s">
        <v>12</v>
      </c>
      <c r="I1911" t="s">
        <v>55</v>
      </c>
      <c r="J1911">
        <v>4</v>
      </c>
      <c r="K1911" t="s">
        <v>4</v>
      </c>
      <c r="L1911" t="s">
        <v>18</v>
      </c>
      <c r="M1911">
        <f>[1]!orders[[#This Row],[Ship Date]]-[1]!orders[[#This Row],[Order Date]]</f>
        <v>1</v>
      </c>
      <c r="N1911">
        <f>WEEKNUM([1]!orders[[#This Row],[Order Date]])</f>
        <v>11</v>
      </c>
      <c r="O1911" t="str" cm="1">
        <f t="array" ref="O1911">_xlfn.IFS([1]!orders[[#This Row],[Customer Gender]]="M","Male", [1]!orders[[#This Row],[Customer Gender]]="F","Female", [1]!orders[[#This Row],[Customer Gender]]="O","Other", TRUE,"Unknown")</f>
        <v>Female</v>
      </c>
    </row>
    <row r="1912" spans="1:15" x14ac:dyDescent="0.25">
      <c r="A1912" s="1" t="s">
        <v>1997</v>
      </c>
      <c r="B1912" s="1" t="s">
        <v>29</v>
      </c>
      <c r="C1912" s="1">
        <v>3</v>
      </c>
      <c r="D1912" s="1">
        <v>19.7</v>
      </c>
      <c r="E1912" s="1">
        <v>59.099999999999994</v>
      </c>
      <c r="F1912" s="2">
        <v>45727</v>
      </c>
      <c r="G1912" s="2">
        <v>45728</v>
      </c>
      <c r="H1912" s="1" t="s">
        <v>12</v>
      </c>
      <c r="I1912" s="1" t="s">
        <v>55</v>
      </c>
      <c r="J1912" s="1">
        <v>2</v>
      </c>
      <c r="K1912" s="1" t="s">
        <v>4</v>
      </c>
      <c r="L1912" s="1" t="s">
        <v>18</v>
      </c>
      <c r="M1912" s="1">
        <f>[1]!orders[[#This Row],[Ship Date]]-[1]!orders[[#This Row],[Order Date]]</f>
        <v>1</v>
      </c>
      <c r="N1912" s="1">
        <f>WEEKNUM([1]!orders[[#This Row],[Order Date]])</f>
        <v>11</v>
      </c>
      <c r="O1912" t="str" cm="1">
        <f t="array" ref="O1912">_xlfn.IFS([1]!orders[[#This Row],[Customer Gender]]="M","Male", [1]!orders[[#This Row],[Customer Gender]]="F","Female", [1]!orders[[#This Row],[Customer Gender]]="O","Other", TRUE,"Unknown")</f>
        <v>Female</v>
      </c>
    </row>
    <row r="1913" spans="1:15" x14ac:dyDescent="0.25">
      <c r="A1913" t="s">
        <v>1998</v>
      </c>
      <c r="B1913" t="s">
        <v>7</v>
      </c>
      <c r="C1913">
        <v>1</v>
      </c>
      <c r="D1913">
        <v>40.299999999999997</v>
      </c>
      <c r="E1913">
        <v>40.299999999999997</v>
      </c>
      <c r="F1913" s="3">
        <v>45727</v>
      </c>
      <c r="G1913" s="3">
        <v>45728</v>
      </c>
      <c r="H1913" t="s">
        <v>74</v>
      </c>
      <c r="I1913" t="s">
        <v>20</v>
      </c>
      <c r="J1913">
        <v>4</v>
      </c>
      <c r="K1913" t="s">
        <v>4</v>
      </c>
      <c r="L1913" t="s">
        <v>18</v>
      </c>
      <c r="M1913">
        <f>[1]!orders[[#This Row],[Ship Date]]-[1]!orders[[#This Row],[Order Date]]</f>
        <v>1</v>
      </c>
      <c r="N1913">
        <f>WEEKNUM([1]!orders[[#This Row],[Order Date]])</f>
        <v>11</v>
      </c>
      <c r="O1913" t="str" cm="1">
        <f t="array" ref="O1913">_xlfn.IFS([1]!orders[[#This Row],[Customer Gender]]="M","Male", [1]!orders[[#This Row],[Customer Gender]]="F","Female", [1]!orders[[#This Row],[Customer Gender]]="O","Other", TRUE,"Unknown")</f>
        <v>Other</v>
      </c>
    </row>
    <row r="1914" spans="1:15" x14ac:dyDescent="0.25">
      <c r="A1914" s="1" t="s">
        <v>1999</v>
      </c>
      <c r="B1914" s="1" t="s">
        <v>24</v>
      </c>
      <c r="C1914" s="1">
        <v>2</v>
      </c>
      <c r="D1914" s="1">
        <v>108.8</v>
      </c>
      <c r="E1914" s="1">
        <v>217.6</v>
      </c>
      <c r="F1914" s="2">
        <v>45727</v>
      </c>
      <c r="G1914" s="2">
        <v>45732</v>
      </c>
      <c r="H1914" s="1" t="s">
        <v>8</v>
      </c>
      <c r="I1914" s="1" t="s">
        <v>3</v>
      </c>
      <c r="J1914" s="1">
        <v>5</v>
      </c>
      <c r="K1914" s="1" t="s">
        <v>4</v>
      </c>
      <c r="L1914" s="1" t="s">
        <v>40</v>
      </c>
      <c r="M1914" s="1">
        <f>[1]!orders[[#This Row],[Ship Date]]-[1]!orders[[#This Row],[Order Date]]</f>
        <v>5</v>
      </c>
      <c r="N1914" s="1">
        <f>WEEKNUM([1]!orders[[#This Row],[Order Date]])</f>
        <v>11</v>
      </c>
      <c r="O1914" t="str" cm="1">
        <f t="array" ref="O1914">_xlfn.IFS([1]!orders[[#This Row],[Customer Gender]]="M","Male", [1]!orders[[#This Row],[Customer Gender]]="F","Female", [1]!orders[[#This Row],[Customer Gender]]="O","Other", TRUE,"Unknown")</f>
        <v>Male</v>
      </c>
    </row>
    <row r="1915" spans="1:15" x14ac:dyDescent="0.25">
      <c r="A1915" t="s">
        <v>2000</v>
      </c>
      <c r="B1915" t="s">
        <v>29</v>
      </c>
      <c r="C1915">
        <v>3</v>
      </c>
      <c r="D1915">
        <v>48.2</v>
      </c>
      <c r="E1915">
        <v>144.60000000000002</v>
      </c>
      <c r="F1915" s="3">
        <v>45727</v>
      </c>
      <c r="G1915" s="3">
        <v>45732</v>
      </c>
      <c r="H1915" t="s">
        <v>12</v>
      </c>
      <c r="I1915" t="s">
        <v>55</v>
      </c>
      <c r="J1915">
        <v>4</v>
      </c>
      <c r="K1915" t="s">
        <v>4</v>
      </c>
      <c r="L1915" t="s">
        <v>44</v>
      </c>
      <c r="M1915">
        <f>[1]!orders[[#This Row],[Ship Date]]-[1]!orders[[#This Row],[Order Date]]</f>
        <v>5</v>
      </c>
      <c r="N1915">
        <f>WEEKNUM([1]!orders[[#This Row],[Order Date]])</f>
        <v>11</v>
      </c>
      <c r="O1915" t="str" cm="1">
        <f t="array" ref="O1915">_xlfn.IFS([1]!orders[[#This Row],[Customer Gender]]="M","Male", [1]!orders[[#This Row],[Customer Gender]]="F","Female", [1]!orders[[#This Row],[Customer Gender]]="O","Other", TRUE,"Unknown")</f>
        <v>Female</v>
      </c>
    </row>
    <row r="1916" spans="1:15" x14ac:dyDescent="0.25">
      <c r="A1916" s="1" t="s">
        <v>2001</v>
      </c>
      <c r="B1916" s="1" t="s">
        <v>11</v>
      </c>
      <c r="C1916" s="1">
        <v>3</v>
      </c>
      <c r="D1916" s="1">
        <v>104.7</v>
      </c>
      <c r="E1916" s="1">
        <v>314.10000000000002</v>
      </c>
      <c r="F1916" s="2">
        <v>45727</v>
      </c>
      <c r="G1916" s="2">
        <v>45729</v>
      </c>
      <c r="H1916" s="1" t="s">
        <v>12</v>
      </c>
      <c r="I1916" s="1" t="s">
        <v>3</v>
      </c>
      <c r="J1916" s="1">
        <v>3</v>
      </c>
      <c r="K1916" s="1" t="s">
        <v>4</v>
      </c>
      <c r="L1916" s="1" t="s">
        <v>44</v>
      </c>
      <c r="M1916" s="1">
        <f>[1]!orders[[#This Row],[Ship Date]]-[1]!orders[[#This Row],[Order Date]]</f>
        <v>2</v>
      </c>
      <c r="N1916" s="1">
        <f>WEEKNUM([1]!orders[[#This Row],[Order Date]])</f>
        <v>11</v>
      </c>
      <c r="O1916" t="str" cm="1">
        <f t="array" ref="O1916">_xlfn.IFS([1]!orders[[#This Row],[Customer Gender]]="M","Male", [1]!orders[[#This Row],[Customer Gender]]="F","Female", [1]!orders[[#This Row],[Customer Gender]]="O","Other", TRUE,"Unknown")</f>
        <v>Female</v>
      </c>
    </row>
    <row r="1917" spans="1:15" x14ac:dyDescent="0.25">
      <c r="A1917" t="s">
        <v>2002</v>
      </c>
      <c r="B1917" t="s">
        <v>7</v>
      </c>
      <c r="C1917">
        <v>2</v>
      </c>
      <c r="D1917">
        <v>80.599999999999994</v>
      </c>
      <c r="E1917">
        <v>161.19999999999999</v>
      </c>
      <c r="F1917" s="3">
        <v>45727</v>
      </c>
      <c r="G1917" s="3">
        <v>45727</v>
      </c>
      <c r="H1917" t="s">
        <v>12</v>
      </c>
      <c r="I1917" t="s">
        <v>20</v>
      </c>
      <c r="J1917">
        <v>4</v>
      </c>
      <c r="K1917" t="s">
        <v>4</v>
      </c>
      <c r="L1917" t="s">
        <v>47</v>
      </c>
      <c r="M1917">
        <f>[1]!orders[[#This Row],[Ship Date]]-[1]!orders[[#This Row],[Order Date]]</f>
        <v>0</v>
      </c>
      <c r="N1917">
        <f>WEEKNUM([1]!orders[[#This Row],[Order Date]])</f>
        <v>11</v>
      </c>
      <c r="O1917" t="str" cm="1">
        <f t="array" ref="O1917">_xlfn.IFS([1]!orders[[#This Row],[Customer Gender]]="M","Male", [1]!orders[[#This Row],[Customer Gender]]="F","Female", [1]!orders[[#This Row],[Customer Gender]]="O","Other", TRUE,"Unknown")</f>
        <v>Female</v>
      </c>
    </row>
    <row r="1918" spans="1:15" x14ac:dyDescent="0.25">
      <c r="A1918" s="1" t="s">
        <v>2003</v>
      </c>
      <c r="B1918" s="1" t="s">
        <v>24</v>
      </c>
      <c r="C1918" s="1">
        <v>1</v>
      </c>
      <c r="D1918" s="1">
        <v>65.5</v>
      </c>
      <c r="E1918" s="1">
        <v>65.5</v>
      </c>
      <c r="F1918" s="2">
        <v>45727</v>
      </c>
      <c r="G1918" s="2">
        <v>45729</v>
      </c>
      <c r="H1918" s="1" t="s">
        <v>74</v>
      </c>
      <c r="I1918" s="1" t="s">
        <v>20</v>
      </c>
      <c r="J1918" s="1">
        <v>4</v>
      </c>
      <c r="K1918" s="1" t="s">
        <v>4</v>
      </c>
      <c r="L1918" s="1" t="s">
        <v>47</v>
      </c>
      <c r="M1918" s="1">
        <f>[1]!orders[[#This Row],[Ship Date]]-[1]!orders[[#This Row],[Order Date]]</f>
        <v>2</v>
      </c>
      <c r="N1918" s="1">
        <f>WEEKNUM([1]!orders[[#This Row],[Order Date]])</f>
        <v>11</v>
      </c>
      <c r="O1918" t="str" cm="1">
        <f t="array" ref="O1918">_xlfn.IFS([1]!orders[[#This Row],[Customer Gender]]="M","Male", [1]!orders[[#This Row],[Customer Gender]]="F","Female", [1]!orders[[#This Row],[Customer Gender]]="O","Other", TRUE,"Unknown")</f>
        <v>Other</v>
      </c>
    </row>
    <row r="1919" spans="1:15" x14ac:dyDescent="0.25">
      <c r="A1919" t="s">
        <v>2004</v>
      </c>
      <c r="B1919" t="s">
        <v>31</v>
      </c>
      <c r="C1919">
        <v>3</v>
      </c>
      <c r="D1919">
        <v>61.4</v>
      </c>
      <c r="E1919">
        <v>184.2</v>
      </c>
      <c r="F1919" s="3">
        <v>45727</v>
      </c>
      <c r="G1919" s="3">
        <v>45729</v>
      </c>
      <c r="H1919" t="s">
        <v>12</v>
      </c>
      <c r="I1919" t="s">
        <v>55</v>
      </c>
      <c r="J1919">
        <v>5</v>
      </c>
      <c r="K1919" t="s">
        <v>4</v>
      </c>
      <c r="L1919" t="s">
        <v>47</v>
      </c>
      <c r="M1919">
        <f>[1]!orders[[#This Row],[Ship Date]]-[1]!orders[[#This Row],[Order Date]]</f>
        <v>2</v>
      </c>
      <c r="N1919">
        <f>WEEKNUM([1]!orders[[#This Row],[Order Date]])</f>
        <v>11</v>
      </c>
      <c r="O1919" t="str" cm="1">
        <f t="array" ref="O1919">_xlfn.IFS([1]!orders[[#This Row],[Customer Gender]]="M","Male", [1]!orders[[#This Row],[Customer Gender]]="F","Female", [1]!orders[[#This Row],[Customer Gender]]="O","Other", TRUE,"Unknown")</f>
        <v>Female</v>
      </c>
    </row>
    <row r="1920" spans="1:15" x14ac:dyDescent="0.25">
      <c r="A1920" s="1" t="s">
        <v>2005</v>
      </c>
      <c r="B1920" s="1" t="s">
        <v>1</v>
      </c>
      <c r="C1920" s="1">
        <v>1</v>
      </c>
      <c r="D1920" s="1">
        <v>12.5</v>
      </c>
      <c r="E1920" s="1">
        <v>12.5</v>
      </c>
      <c r="F1920" s="2">
        <v>45728</v>
      </c>
      <c r="G1920" s="2">
        <v>45731</v>
      </c>
      <c r="H1920" s="1" t="s">
        <v>12</v>
      </c>
      <c r="I1920" s="1" t="s">
        <v>3</v>
      </c>
      <c r="J1920" s="1">
        <v>3</v>
      </c>
      <c r="K1920" s="1" t="s">
        <v>4</v>
      </c>
      <c r="L1920" s="1" t="s">
        <v>47</v>
      </c>
      <c r="M1920" s="1">
        <f>[1]!orders[[#This Row],[Ship Date]]-[1]!orders[[#This Row],[Order Date]]</f>
        <v>3</v>
      </c>
      <c r="N1920" s="1">
        <f>WEEKNUM([1]!orders[[#This Row],[Order Date]])</f>
        <v>11</v>
      </c>
      <c r="O1920" t="str" cm="1">
        <f t="array" ref="O1920">_xlfn.IFS([1]!orders[[#This Row],[Customer Gender]]="M","Male", [1]!orders[[#This Row],[Customer Gender]]="F","Female", [1]!orders[[#This Row],[Customer Gender]]="O","Other", TRUE,"Unknown")</f>
        <v>Female</v>
      </c>
    </row>
    <row r="1921" spans="1:15" x14ac:dyDescent="0.25">
      <c r="A1921" t="s">
        <v>2006</v>
      </c>
      <c r="B1921" t="s">
        <v>17</v>
      </c>
      <c r="C1921">
        <v>4</v>
      </c>
      <c r="D1921">
        <v>35.1</v>
      </c>
      <c r="E1921">
        <v>140.4</v>
      </c>
      <c r="F1921" s="3">
        <v>45728</v>
      </c>
      <c r="G1921" s="3">
        <v>45729</v>
      </c>
      <c r="H1921" t="s">
        <v>8</v>
      </c>
      <c r="I1921" t="s">
        <v>25</v>
      </c>
      <c r="J1921">
        <v>3</v>
      </c>
      <c r="K1921" t="s">
        <v>4</v>
      </c>
      <c r="L1921" t="s">
        <v>88</v>
      </c>
      <c r="M1921">
        <f>[1]!orders[[#This Row],[Ship Date]]-[1]!orders[[#This Row],[Order Date]]</f>
        <v>1</v>
      </c>
      <c r="N1921">
        <f>WEEKNUM([1]!orders[[#This Row],[Order Date]])</f>
        <v>11</v>
      </c>
      <c r="O1921" t="str" cm="1">
        <f t="array" ref="O1921">_xlfn.IFS([1]!orders[[#This Row],[Customer Gender]]="M","Male", [1]!orders[[#This Row],[Customer Gender]]="F","Female", [1]!orders[[#This Row],[Customer Gender]]="O","Other", TRUE,"Unknown")</f>
        <v>Male</v>
      </c>
    </row>
    <row r="1922" spans="1:15" x14ac:dyDescent="0.25">
      <c r="A1922" s="1" t="s">
        <v>2007</v>
      </c>
      <c r="B1922" s="1" t="s">
        <v>22</v>
      </c>
      <c r="C1922" s="1">
        <v>2</v>
      </c>
      <c r="D1922" s="1">
        <v>55.7</v>
      </c>
      <c r="E1922" s="1">
        <v>111.4</v>
      </c>
      <c r="F1922" s="2">
        <v>45728</v>
      </c>
      <c r="G1922" s="2">
        <v>45729</v>
      </c>
      <c r="H1922" s="1" t="s">
        <v>8</v>
      </c>
      <c r="I1922" s="1" t="s">
        <v>3</v>
      </c>
      <c r="J1922" s="1">
        <v>3</v>
      </c>
      <c r="K1922" s="1" t="s">
        <v>4</v>
      </c>
      <c r="L1922" s="1" t="s">
        <v>186</v>
      </c>
      <c r="M1922" s="1">
        <f>[1]!orders[[#This Row],[Ship Date]]-[1]!orders[[#This Row],[Order Date]]</f>
        <v>1</v>
      </c>
      <c r="N1922" s="1">
        <f>WEEKNUM([1]!orders[[#This Row],[Order Date]])</f>
        <v>11</v>
      </c>
      <c r="O1922" t="str" cm="1">
        <f t="array" ref="O1922">_xlfn.IFS([1]!orders[[#This Row],[Customer Gender]]="M","Male", [1]!orders[[#This Row],[Customer Gender]]="F","Female", [1]!orders[[#This Row],[Customer Gender]]="O","Other", TRUE,"Unknown")</f>
        <v>Male</v>
      </c>
    </row>
    <row r="1923" spans="1:15" x14ac:dyDescent="0.25">
      <c r="A1923" t="s">
        <v>2008</v>
      </c>
      <c r="B1923" t="s">
        <v>27</v>
      </c>
      <c r="C1923">
        <v>2</v>
      </c>
      <c r="D1923">
        <v>57.7</v>
      </c>
      <c r="E1923">
        <v>115.4</v>
      </c>
      <c r="F1923" s="3">
        <v>45728</v>
      </c>
      <c r="G1923" s="3">
        <v>45730</v>
      </c>
      <c r="H1923" t="s">
        <v>8</v>
      </c>
      <c r="I1923" t="s">
        <v>55</v>
      </c>
      <c r="J1923">
        <v>3</v>
      </c>
      <c r="K1923" t="s">
        <v>4</v>
      </c>
      <c r="L1923" t="s">
        <v>57</v>
      </c>
      <c r="M1923">
        <f>[1]!orders[[#This Row],[Ship Date]]-[1]!orders[[#This Row],[Order Date]]</f>
        <v>2</v>
      </c>
      <c r="N1923">
        <f>WEEKNUM([1]!orders[[#This Row],[Order Date]])</f>
        <v>11</v>
      </c>
      <c r="O1923" t="str" cm="1">
        <f t="array" ref="O1923">_xlfn.IFS([1]!orders[[#This Row],[Customer Gender]]="M","Male", [1]!orders[[#This Row],[Customer Gender]]="F","Female", [1]!orders[[#This Row],[Customer Gender]]="O","Other", TRUE,"Unknown")</f>
        <v>Male</v>
      </c>
    </row>
    <row r="1924" spans="1:15" x14ac:dyDescent="0.25">
      <c r="A1924" s="1" t="s">
        <v>2009</v>
      </c>
      <c r="B1924" s="1" t="s">
        <v>11</v>
      </c>
      <c r="C1924" s="1">
        <v>6</v>
      </c>
      <c r="D1924" s="1">
        <v>85.7</v>
      </c>
      <c r="E1924" s="1">
        <v>514.20000000000005</v>
      </c>
      <c r="F1924" s="2">
        <v>45728</v>
      </c>
      <c r="G1924" s="2">
        <v>45729</v>
      </c>
      <c r="H1924" s="1" t="s">
        <v>8</v>
      </c>
      <c r="I1924" s="1" t="s">
        <v>36</v>
      </c>
      <c r="J1924" s="1">
        <v>5</v>
      </c>
      <c r="K1924" s="1" t="s">
        <v>4</v>
      </c>
      <c r="L1924" s="1" t="s">
        <v>57</v>
      </c>
      <c r="M1924" s="1">
        <f>[1]!orders[[#This Row],[Ship Date]]-[1]!orders[[#This Row],[Order Date]]</f>
        <v>1</v>
      </c>
      <c r="N1924" s="1">
        <f>WEEKNUM([1]!orders[[#This Row],[Order Date]])</f>
        <v>11</v>
      </c>
      <c r="O1924" t="str" cm="1">
        <f t="array" ref="O1924">_xlfn.IFS([1]!orders[[#This Row],[Customer Gender]]="M","Male", [1]!orders[[#This Row],[Customer Gender]]="F","Female", [1]!orders[[#This Row],[Customer Gender]]="O","Other", TRUE,"Unknown")</f>
        <v>Male</v>
      </c>
    </row>
    <row r="1925" spans="1:15" x14ac:dyDescent="0.25">
      <c r="A1925" t="s">
        <v>2010</v>
      </c>
      <c r="B1925" t="s">
        <v>11</v>
      </c>
      <c r="C1925">
        <v>3</v>
      </c>
      <c r="D1925">
        <v>86.9</v>
      </c>
      <c r="E1925">
        <v>260.70000000000005</v>
      </c>
      <c r="F1925" s="3">
        <v>45728</v>
      </c>
      <c r="G1925" s="3">
        <v>45730</v>
      </c>
      <c r="H1925" t="s">
        <v>12</v>
      </c>
      <c r="I1925" t="s">
        <v>20</v>
      </c>
      <c r="J1925">
        <v>4</v>
      </c>
      <c r="K1925" t="s">
        <v>4</v>
      </c>
      <c r="L1925" t="s">
        <v>62</v>
      </c>
      <c r="M1925">
        <f>[1]!orders[[#This Row],[Ship Date]]-[1]!orders[[#This Row],[Order Date]]</f>
        <v>2</v>
      </c>
      <c r="N1925">
        <f>WEEKNUM([1]!orders[[#This Row],[Order Date]])</f>
        <v>11</v>
      </c>
      <c r="O1925" t="str" cm="1">
        <f t="array" ref="O1925">_xlfn.IFS([1]!orders[[#This Row],[Customer Gender]]="M","Male", [1]!orders[[#This Row],[Customer Gender]]="F","Female", [1]!orders[[#This Row],[Customer Gender]]="O","Other", TRUE,"Unknown")</f>
        <v>Female</v>
      </c>
    </row>
    <row r="1926" spans="1:15" x14ac:dyDescent="0.25">
      <c r="A1926" s="1" t="s">
        <v>2011</v>
      </c>
      <c r="B1926" s="1" t="s">
        <v>131</v>
      </c>
      <c r="C1926" s="1">
        <v>2</v>
      </c>
      <c r="D1926" s="1">
        <v>46.4</v>
      </c>
      <c r="E1926" s="1">
        <v>92.8</v>
      </c>
      <c r="F1926" s="2">
        <v>45728</v>
      </c>
      <c r="G1926" s="2">
        <v>45731</v>
      </c>
      <c r="H1926" s="1" t="s">
        <v>12</v>
      </c>
      <c r="I1926" s="1" t="s">
        <v>55</v>
      </c>
      <c r="J1926" s="1">
        <v>4</v>
      </c>
      <c r="K1926" s="1" t="s">
        <v>4</v>
      </c>
      <c r="L1926" s="1" t="s">
        <v>62</v>
      </c>
      <c r="M1926" s="1">
        <f>[1]!orders[[#This Row],[Ship Date]]-[1]!orders[[#This Row],[Order Date]]</f>
        <v>3</v>
      </c>
      <c r="N1926" s="1">
        <f>WEEKNUM([1]!orders[[#This Row],[Order Date]])</f>
        <v>11</v>
      </c>
      <c r="O1926" t="str" cm="1">
        <f t="array" ref="O1926">_xlfn.IFS([1]!orders[[#This Row],[Customer Gender]]="M","Male", [1]!orders[[#This Row],[Customer Gender]]="F","Female", [1]!orders[[#This Row],[Customer Gender]]="O","Other", TRUE,"Unknown")</f>
        <v>Female</v>
      </c>
    </row>
    <row r="1927" spans="1:15" x14ac:dyDescent="0.25">
      <c r="A1927" t="s">
        <v>2012</v>
      </c>
      <c r="B1927" t="s">
        <v>22</v>
      </c>
      <c r="C1927">
        <v>3</v>
      </c>
      <c r="D1927">
        <v>25.4</v>
      </c>
      <c r="E1927">
        <v>76.199999999999989</v>
      </c>
      <c r="F1927" s="3">
        <v>45728</v>
      </c>
      <c r="G1927" s="3">
        <v>45728</v>
      </c>
      <c r="H1927" t="s">
        <v>12</v>
      </c>
      <c r="I1927" t="s">
        <v>25</v>
      </c>
      <c r="J1927">
        <v>5</v>
      </c>
      <c r="K1927" t="s">
        <v>4</v>
      </c>
      <c r="L1927" t="s">
        <v>93</v>
      </c>
      <c r="M1927">
        <f>[1]!orders[[#This Row],[Ship Date]]-[1]!orders[[#This Row],[Order Date]]</f>
        <v>0</v>
      </c>
      <c r="N1927">
        <f>WEEKNUM([1]!orders[[#This Row],[Order Date]])</f>
        <v>11</v>
      </c>
      <c r="O1927" t="str" cm="1">
        <f t="array" ref="O1927">_xlfn.IFS([1]!orders[[#This Row],[Customer Gender]]="M","Male", [1]!orders[[#This Row],[Customer Gender]]="F","Female", [1]!orders[[#This Row],[Customer Gender]]="O","Other", TRUE,"Unknown")</f>
        <v>Female</v>
      </c>
    </row>
    <row r="1928" spans="1:15" x14ac:dyDescent="0.25">
      <c r="A1928" s="1" t="s">
        <v>2013</v>
      </c>
      <c r="B1928" s="1" t="s">
        <v>39</v>
      </c>
      <c r="C1928" s="1">
        <v>3</v>
      </c>
      <c r="D1928" s="1">
        <v>47.8</v>
      </c>
      <c r="E1928" s="1">
        <v>143.39999999999998</v>
      </c>
      <c r="F1928" s="2">
        <v>45728</v>
      </c>
      <c r="G1928" s="2">
        <v>45728</v>
      </c>
      <c r="H1928" s="1" t="s">
        <v>2</v>
      </c>
      <c r="I1928" s="1" t="s">
        <v>25</v>
      </c>
      <c r="J1928" s="1">
        <v>5</v>
      </c>
      <c r="K1928" s="1" t="s">
        <v>4</v>
      </c>
      <c r="L1928" s="1" t="s">
        <v>95</v>
      </c>
      <c r="M1928" s="1">
        <f>[1]!orders[[#This Row],[Ship Date]]-[1]!orders[[#This Row],[Order Date]]</f>
        <v>0</v>
      </c>
      <c r="N1928" s="1">
        <f>WEEKNUM([1]!orders[[#This Row],[Order Date]])</f>
        <v>11</v>
      </c>
      <c r="O1928" t="str" cm="1">
        <f t="array" ref="O1928">_xlfn.IFS([1]!orders[[#This Row],[Customer Gender]]="M","Male", [1]!orders[[#This Row],[Customer Gender]]="F","Female", [1]!orders[[#This Row],[Customer Gender]]="O","Other", TRUE,"Unknown")</f>
        <v>Unknown</v>
      </c>
    </row>
    <row r="1929" spans="1:15" x14ac:dyDescent="0.25">
      <c r="A1929" t="s">
        <v>2014</v>
      </c>
      <c r="B1929" t="s">
        <v>29</v>
      </c>
      <c r="C1929">
        <v>19</v>
      </c>
      <c r="D1929">
        <v>18.399999999999999</v>
      </c>
      <c r="E1929">
        <v>349.59999999999997</v>
      </c>
      <c r="F1929" s="3">
        <v>45728</v>
      </c>
      <c r="G1929" s="3">
        <v>45730</v>
      </c>
      <c r="H1929" t="s">
        <v>74</v>
      </c>
      <c r="I1929" t="s">
        <v>25</v>
      </c>
      <c r="J1929">
        <v>4</v>
      </c>
      <c r="K1929" t="s">
        <v>4</v>
      </c>
      <c r="L1929" t="s">
        <v>98</v>
      </c>
      <c r="M1929">
        <f>[1]!orders[[#This Row],[Ship Date]]-[1]!orders[[#This Row],[Order Date]]</f>
        <v>2</v>
      </c>
      <c r="N1929">
        <f>WEEKNUM([1]!orders[[#This Row],[Order Date]])</f>
        <v>11</v>
      </c>
      <c r="O1929" t="str" cm="1">
        <f t="array" ref="O1929">_xlfn.IFS([1]!orders[[#This Row],[Customer Gender]]="M","Male", [1]!orders[[#This Row],[Customer Gender]]="F","Female", [1]!orders[[#This Row],[Customer Gender]]="O","Other", TRUE,"Unknown")</f>
        <v>Other</v>
      </c>
    </row>
    <row r="1930" spans="1:15" x14ac:dyDescent="0.25">
      <c r="A1930" s="1" t="s">
        <v>2015</v>
      </c>
      <c r="B1930" s="1" t="s">
        <v>54</v>
      </c>
      <c r="C1930" s="1">
        <v>3</v>
      </c>
      <c r="D1930" s="1">
        <v>65.5</v>
      </c>
      <c r="E1930" s="1">
        <v>196.5</v>
      </c>
      <c r="F1930" s="2">
        <v>45728</v>
      </c>
      <c r="G1930" s="2">
        <v>45736</v>
      </c>
      <c r="H1930" s="1" t="s">
        <v>12</v>
      </c>
      <c r="I1930" s="1" t="s">
        <v>3</v>
      </c>
      <c r="J1930" s="1">
        <v>4</v>
      </c>
      <c r="K1930" s="1" t="s">
        <v>4</v>
      </c>
      <c r="L1930" s="1" t="s">
        <v>100</v>
      </c>
      <c r="M1930" s="1">
        <f>[1]!orders[[#This Row],[Ship Date]]-[1]!orders[[#This Row],[Order Date]]</f>
        <v>8</v>
      </c>
      <c r="N1930" s="1">
        <f>WEEKNUM([1]!orders[[#This Row],[Order Date]])</f>
        <v>11</v>
      </c>
      <c r="O1930" t="str" cm="1">
        <f t="array" ref="O1930">_xlfn.IFS([1]!orders[[#This Row],[Customer Gender]]="M","Male", [1]!orders[[#This Row],[Customer Gender]]="F","Female", [1]!orders[[#This Row],[Customer Gender]]="O","Other", TRUE,"Unknown")</f>
        <v>Female</v>
      </c>
    </row>
    <row r="1931" spans="1:15" x14ac:dyDescent="0.25">
      <c r="A1931" t="s">
        <v>2016</v>
      </c>
      <c r="B1931" t="s">
        <v>39</v>
      </c>
      <c r="C1931">
        <v>2</v>
      </c>
      <c r="D1931">
        <v>50.6</v>
      </c>
      <c r="E1931">
        <v>101.2</v>
      </c>
      <c r="F1931" s="3">
        <v>45728</v>
      </c>
      <c r="G1931" s="3">
        <v>45731</v>
      </c>
      <c r="H1931" t="s">
        <v>8</v>
      </c>
      <c r="I1931" t="s">
        <v>25</v>
      </c>
      <c r="J1931">
        <v>2</v>
      </c>
      <c r="K1931" t="s">
        <v>4</v>
      </c>
      <c r="L1931" t="s">
        <v>100</v>
      </c>
      <c r="M1931">
        <f>[1]!orders[[#This Row],[Ship Date]]-[1]!orders[[#This Row],[Order Date]]</f>
        <v>3</v>
      </c>
      <c r="N1931">
        <f>WEEKNUM([1]!orders[[#This Row],[Order Date]])</f>
        <v>11</v>
      </c>
      <c r="O1931" t="str" cm="1">
        <f t="array" ref="O1931">_xlfn.IFS([1]!orders[[#This Row],[Customer Gender]]="M","Male", [1]!orders[[#This Row],[Customer Gender]]="F","Female", [1]!orders[[#This Row],[Customer Gender]]="O","Other", TRUE,"Unknown")</f>
        <v>Male</v>
      </c>
    </row>
    <row r="1932" spans="1:15" x14ac:dyDescent="0.25">
      <c r="A1932" s="1" t="s">
        <v>2017</v>
      </c>
      <c r="B1932" s="1" t="s">
        <v>15</v>
      </c>
      <c r="C1932" s="1">
        <v>5</v>
      </c>
      <c r="D1932" s="1">
        <v>69</v>
      </c>
      <c r="E1932" s="1">
        <v>345</v>
      </c>
      <c r="F1932" s="2">
        <v>45728</v>
      </c>
      <c r="G1932" s="2">
        <v>45732</v>
      </c>
      <c r="H1932" s="1" t="s">
        <v>8</v>
      </c>
      <c r="I1932" s="1" t="s">
        <v>36</v>
      </c>
      <c r="J1932" s="1">
        <v>4</v>
      </c>
      <c r="K1932" s="1" t="s">
        <v>4</v>
      </c>
      <c r="L1932" s="1" t="s">
        <v>100</v>
      </c>
      <c r="M1932" s="1">
        <f>[1]!orders[[#This Row],[Ship Date]]-[1]!orders[[#This Row],[Order Date]]</f>
        <v>4</v>
      </c>
      <c r="N1932" s="1">
        <f>WEEKNUM([1]!orders[[#This Row],[Order Date]])</f>
        <v>11</v>
      </c>
      <c r="O1932" t="str" cm="1">
        <f t="array" ref="O1932">_xlfn.IFS([1]!orders[[#This Row],[Customer Gender]]="M","Male", [1]!orders[[#This Row],[Customer Gender]]="F","Female", [1]!orders[[#This Row],[Customer Gender]]="O","Other", TRUE,"Unknown")</f>
        <v>Male</v>
      </c>
    </row>
    <row r="1933" spans="1:15" x14ac:dyDescent="0.25">
      <c r="A1933" t="s">
        <v>2018</v>
      </c>
      <c r="B1933" t="s">
        <v>31</v>
      </c>
      <c r="C1933">
        <v>8</v>
      </c>
      <c r="D1933">
        <v>51.1</v>
      </c>
      <c r="E1933">
        <v>408.8</v>
      </c>
      <c r="F1933" s="3">
        <v>45728</v>
      </c>
      <c r="G1933" s="3">
        <v>45730</v>
      </c>
      <c r="H1933" t="s">
        <v>12</v>
      </c>
      <c r="I1933" t="s">
        <v>3</v>
      </c>
      <c r="J1933">
        <v>4</v>
      </c>
      <c r="K1933" t="s">
        <v>4</v>
      </c>
      <c r="L1933" t="s">
        <v>9</v>
      </c>
      <c r="M1933">
        <f>[1]!orders[[#This Row],[Ship Date]]-[1]!orders[[#This Row],[Order Date]]</f>
        <v>2</v>
      </c>
      <c r="N1933">
        <f>WEEKNUM([1]!orders[[#This Row],[Order Date]])</f>
        <v>11</v>
      </c>
      <c r="O1933" t="str" cm="1">
        <f t="array" ref="O1933">_xlfn.IFS([1]!orders[[#This Row],[Customer Gender]]="M","Male", [1]!orders[[#This Row],[Customer Gender]]="F","Female", [1]!orders[[#This Row],[Customer Gender]]="O","Other", TRUE,"Unknown")</f>
        <v>Female</v>
      </c>
    </row>
    <row r="1934" spans="1:15" x14ac:dyDescent="0.25">
      <c r="A1934" s="1" t="s">
        <v>2019</v>
      </c>
      <c r="B1934" s="1" t="s">
        <v>31</v>
      </c>
      <c r="C1934" s="1">
        <v>1</v>
      </c>
      <c r="D1934" s="1">
        <v>36.1</v>
      </c>
      <c r="E1934" s="1">
        <v>36.1</v>
      </c>
      <c r="F1934" s="2">
        <v>45728</v>
      </c>
      <c r="G1934" s="2">
        <v>45729</v>
      </c>
      <c r="H1934" s="1" t="s">
        <v>12</v>
      </c>
      <c r="I1934" s="1" t="s">
        <v>3</v>
      </c>
      <c r="J1934" s="1">
        <v>5</v>
      </c>
      <c r="K1934" s="1" t="s">
        <v>4</v>
      </c>
      <c r="L1934" s="1" t="s">
        <v>319</v>
      </c>
      <c r="M1934" s="1">
        <f>[1]!orders[[#This Row],[Ship Date]]-[1]!orders[[#This Row],[Order Date]]</f>
        <v>1</v>
      </c>
      <c r="N1934" s="1">
        <f>WEEKNUM([1]!orders[[#This Row],[Order Date]])</f>
        <v>11</v>
      </c>
      <c r="O1934" t="str" cm="1">
        <f t="array" ref="O1934">_xlfn.IFS([1]!orders[[#This Row],[Customer Gender]]="M","Male", [1]!orders[[#This Row],[Customer Gender]]="F","Female", [1]!orders[[#This Row],[Customer Gender]]="O","Other", TRUE,"Unknown")</f>
        <v>Female</v>
      </c>
    </row>
    <row r="1935" spans="1:15" x14ac:dyDescent="0.25">
      <c r="A1935" t="s">
        <v>2020</v>
      </c>
      <c r="B1935" t="s">
        <v>66</v>
      </c>
      <c r="C1935">
        <v>1</v>
      </c>
      <c r="D1935">
        <v>18.7</v>
      </c>
      <c r="E1935">
        <v>18.7</v>
      </c>
      <c r="F1935" s="3">
        <v>45728</v>
      </c>
      <c r="G1935" s="3">
        <v>45729</v>
      </c>
      <c r="H1935" t="s">
        <v>8</v>
      </c>
      <c r="I1935" t="s">
        <v>3</v>
      </c>
      <c r="J1935">
        <v>4</v>
      </c>
      <c r="K1935" t="s">
        <v>4</v>
      </c>
      <c r="L1935" t="s">
        <v>18</v>
      </c>
      <c r="M1935">
        <f>[1]!orders[[#This Row],[Ship Date]]-[1]!orders[[#This Row],[Order Date]]</f>
        <v>1</v>
      </c>
      <c r="N1935">
        <f>WEEKNUM([1]!orders[[#This Row],[Order Date]])</f>
        <v>11</v>
      </c>
      <c r="O1935" t="str" cm="1">
        <f t="array" ref="O1935">_xlfn.IFS([1]!orders[[#This Row],[Customer Gender]]="M","Male", [1]!orders[[#This Row],[Customer Gender]]="F","Female", [1]!orders[[#This Row],[Customer Gender]]="O","Other", TRUE,"Unknown")</f>
        <v>Male</v>
      </c>
    </row>
    <row r="1936" spans="1:15" x14ac:dyDescent="0.25">
      <c r="A1936" s="1" t="s">
        <v>2021</v>
      </c>
      <c r="B1936" s="1" t="s">
        <v>120</v>
      </c>
      <c r="C1936" s="1">
        <v>1</v>
      </c>
      <c r="D1936" s="1">
        <v>30.1</v>
      </c>
      <c r="E1936" s="1">
        <v>30.1</v>
      </c>
      <c r="F1936" s="2">
        <v>45728</v>
      </c>
      <c r="G1936" s="2">
        <v>45731</v>
      </c>
      <c r="H1936" s="1" t="s">
        <v>12</v>
      </c>
      <c r="I1936" s="1" t="s">
        <v>36</v>
      </c>
      <c r="J1936" s="1">
        <v>3</v>
      </c>
      <c r="K1936" s="1" t="s">
        <v>4</v>
      </c>
      <c r="L1936" s="1" t="s">
        <v>18</v>
      </c>
      <c r="M1936" s="1">
        <f>[1]!orders[[#This Row],[Ship Date]]-[1]!orders[[#This Row],[Order Date]]</f>
        <v>3</v>
      </c>
      <c r="N1936" s="1">
        <f>WEEKNUM([1]!orders[[#This Row],[Order Date]])</f>
        <v>11</v>
      </c>
      <c r="O1936" t="str" cm="1">
        <f t="array" ref="O1936">_xlfn.IFS([1]!orders[[#This Row],[Customer Gender]]="M","Male", [1]!orders[[#This Row],[Customer Gender]]="F","Female", [1]!orders[[#This Row],[Customer Gender]]="O","Other", TRUE,"Unknown")</f>
        <v>Female</v>
      </c>
    </row>
    <row r="1937" spans="1:15" x14ac:dyDescent="0.25">
      <c r="A1937" t="s">
        <v>2022</v>
      </c>
      <c r="B1937" t="s">
        <v>29</v>
      </c>
      <c r="C1937">
        <v>1</v>
      </c>
      <c r="D1937">
        <v>16.3</v>
      </c>
      <c r="E1937">
        <v>16.3</v>
      </c>
      <c r="F1937" s="3">
        <v>45728</v>
      </c>
      <c r="G1937" s="3">
        <v>45729</v>
      </c>
      <c r="H1937" t="s">
        <v>8</v>
      </c>
      <c r="I1937" t="s">
        <v>36</v>
      </c>
      <c r="J1937">
        <v>4</v>
      </c>
      <c r="K1937" t="s">
        <v>4</v>
      </c>
      <c r="L1937" t="s">
        <v>18</v>
      </c>
      <c r="M1937">
        <f>[1]!orders[[#This Row],[Ship Date]]-[1]!orders[[#This Row],[Order Date]]</f>
        <v>1</v>
      </c>
      <c r="N1937">
        <f>WEEKNUM([1]!orders[[#This Row],[Order Date]])</f>
        <v>11</v>
      </c>
      <c r="O1937" t="str" cm="1">
        <f t="array" ref="O1937">_xlfn.IFS([1]!orders[[#This Row],[Customer Gender]]="M","Male", [1]!orders[[#This Row],[Customer Gender]]="F","Female", [1]!orders[[#This Row],[Customer Gender]]="O","Other", TRUE,"Unknown")</f>
        <v>Male</v>
      </c>
    </row>
    <row r="1938" spans="1:15" x14ac:dyDescent="0.25">
      <c r="A1938" s="1" t="s">
        <v>2023</v>
      </c>
      <c r="B1938" s="1" t="s">
        <v>7</v>
      </c>
      <c r="C1938" s="1">
        <v>3</v>
      </c>
      <c r="D1938" s="1">
        <v>63.8</v>
      </c>
      <c r="E1938" s="1">
        <v>191.39999999999998</v>
      </c>
      <c r="F1938" s="2">
        <v>45728</v>
      </c>
      <c r="G1938" s="2">
        <v>45733</v>
      </c>
      <c r="H1938" s="1" t="s">
        <v>12</v>
      </c>
      <c r="I1938" s="1" t="s">
        <v>25</v>
      </c>
      <c r="J1938" s="1">
        <v>3</v>
      </c>
      <c r="K1938" s="1" t="s">
        <v>4</v>
      </c>
      <c r="L1938" s="1" t="s">
        <v>18</v>
      </c>
      <c r="M1938" s="1">
        <f>[1]!orders[[#This Row],[Ship Date]]-[1]!orders[[#This Row],[Order Date]]</f>
        <v>5</v>
      </c>
      <c r="N1938" s="1">
        <f>WEEKNUM([1]!orders[[#This Row],[Order Date]])</f>
        <v>11</v>
      </c>
      <c r="O1938" t="str" cm="1">
        <f t="array" ref="O1938">_xlfn.IFS([1]!orders[[#This Row],[Customer Gender]]="M","Male", [1]!orders[[#This Row],[Customer Gender]]="F","Female", [1]!orders[[#This Row],[Customer Gender]]="O","Other", TRUE,"Unknown")</f>
        <v>Female</v>
      </c>
    </row>
    <row r="1939" spans="1:15" x14ac:dyDescent="0.25">
      <c r="A1939" t="s">
        <v>2024</v>
      </c>
      <c r="B1939" t="s">
        <v>7</v>
      </c>
      <c r="C1939">
        <v>7</v>
      </c>
      <c r="D1939">
        <v>73.900000000000006</v>
      </c>
      <c r="E1939">
        <v>517.30000000000007</v>
      </c>
      <c r="F1939" s="3">
        <v>45728</v>
      </c>
      <c r="G1939" s="3">
        <v>45728</v>
      </c>
      <c r="H1939" t="s">
        <v>12</v>
      </c>
      <c r="I1939" t="s">
        <v>3</v>
      </c>
      <c r="J1939">
        <v>3</v>
      </c>
      <c r="K1939" t="s">
        <v>4</v>
      </c>
      <c r="L1939" t="s">
        <v>18</v>
      </c>
      <c r="M1939">
        <f>[1]!orders[[#This Row],[Ship Date]]-[1]!orders[[#This Row],[Order Date]]</f>
        <v>0</v>
      </c>
      <c r="N1939">
        <f>WEEKNUM([1]!orders[[#This Row],[Order Date]])</f>
        <v>11</v>
      </c>
      <c r="O1939" t="str" cm="1">
        <f t="array" ref="O1939">_xlfn.IFS([1]!orders[[#This Row],[Customer Gender]]="M","Male", [1]!orders[[#This Row],[Customer Gender]]="F","Female", [1]!orders[[#This Row],[Customer Gender]]="O","Other", TRUE,"Unknown")</f>
        <v>Female</v>
      </c>
    </row>
    <row r="1940" spans="1:15" x14ac:dyDescent="0.25">
      <c r="A1940" s="1" t="s">
        <v>2025</v>
      </c>
      <c r="B1940" s="1" t="s">
        <v>1</v>
      </c>
      <c r="C1940" s="1">
        <v>2</v>
      </c>
      <c r="D1940" s="1">
        <v>20.2</v>
      </c>
      <c r="E1940" s="1">
        <v>40.4</v>
      </c>
      <c r="F1940" s="2">
        <v>45728</v>
      </c>
      <c r="G1940" s="2">
        <v>45729</v>
      </c>
      <c r="H1940" s="1" t="s">
        <v>8</v>
      </c>
      <c r="I1940" s="1" t="s">
        <v>3</v>
      </c>
      <c r="J1940" s="1">
        <v>3</v>
      </c>
      <c r="K1940" s="1" t="s">
        <v>4</v>
      </c>
      <c r="L1940" s="1" t="s">
        <v>18</v>
      </c>
      <c r="M1940" s="1">
        <f>[1]!orders[[#This Row],[Ship Date]]-[1]!orders[[#This Row],[Order Date]]</f>
        <v>1</v>
      </c>
      <c r="N1940" s="1">
        <f>WEEKNUM([1]!orders[[#This Row],[Order Date]])</f>
        <v>11</v>
      </c>
      <c r="O1940" t="str" cm="1">
        <f t="array" ref="O1940">_xlfn.IFS([1]!orders[[#This Row],[Customer Gender]]="M","Male", [1]!orders[[#This Row],[Customer Gender]]="F","Female", [1]!orders[[#This Row],[Customer Gender]]="O","Other", TRUE,"Unknown")</f>
        <v>Male</v>
      </c>
    </row>
    <row r="1941" spans="1:15" x14ac:dyDescent="0.25">
      <c r="A1941" t="s">
        <v>2026</v>
      </c>
      <c r="B1941" t="s">
        <v>52</v>
      </c>
      <c r="C1941">
        <v>11</v>
      </c>
      <c r="D1941">
        <v>29.5</v>
      </c>
      <c r="E1941">
        <v>324.5</v>
      </c>
      <c r="F1941" s="3">
        <v>45728</v>
      </c>
      <c r="G1941" s="3">
        <v>45729</v>
      </c>
      <c r="H1941" t="s">
        <v>8</v>
      </c>
      <c r="I1941" t="s">
        <v>3</v>
      </c>
      <c r="J1941">
        <v>4</v>
      </c>
      <c r="K1941" t="s">
        <v>4</v>
      </c>
      <c r="L1941" t="s">
        <v>18</v>
      </c>
      <c r="M1941">
        <f>[1]!orders[[#This Row],[Ship Date]]-[1]!orders[[#This Row],[Order Date]]</f>
        <v>1</v>
      </c>
      <c r="N1941">
        <f>WEEKNUM([1]!orders[[#This Row],[Order Date]])</f>
        <v>11</v>
      </c>
      <c r="O1941" t="str" cm="1">
        <f t="array" ref="O1941">_xlfn.IFS([1]!orders[[#This Row],[Customer Gender]]="M","Male", [1]!orders[[#This Row],[Customer Gender]]="F","Female", [1]!orders[[#This Row],[Customer Gender]]="O","Other", TRUE,"Unknown")</f>
        <v>Male</v>
      </c>
    </row>
    <row r="1942" spans="1:15" x14ac:dyDescent="0.25">
      <c r="A1942" s="1" t="s">
        <v>2027</v>
      </c>
      <c r="B1942" s="1" t="s">
        <v>108</v>
      </c>
      <c r="C1942" s="1">
        <v>7</v>
      </c>
      <c r="D1942" s="1">
        <v>37.9</v>
      </c>
      <c r="E1942" s="1">
        <v>265.3</v>
      </c>
      <c r="F1942" s="2">
        <v>45728</v>
      </c>
      <c r="G1942" s="2">
        <v>45729</v>
      </c>
      <c r="H1942" s="1" t="s">
        <v>8</v>
      </c>
      <c r="I1942" s="1" t="s">
        <v>20</v>
      </c>
      <c r="J1942" s="1">
        <v>4</v>
      </c>
      <c r="K1942" s="1" t="s">
        <v>4</v>
      </c>
      <c r="L1942" s="1" t="s">
        <v>18</v>
      </c>
      <c r="M1942" s="1">
        <f>[1]!orders[[#This Row],[Ship Date]]-[1]!orders[[#This Row],[Order Date]]</f>
        <v>1</v>
      </c>
      <c r="N1942" s="1">
        <f>WEEKNUM([1]!orders[[#This Row],[Order Date]])</f>
        <v>11</v>
      </c>
      <c r="O1942" t="str" cm="1">
        <f t="array" ref="O1942">_xlfn.IFS([1]!orders[[#This Row],[Customer Gender]]="M","Male", [1]!orders[[#This Row],[Customer Gender]]="F","Female", [1]!orders[[#This Row],[Customer Gender]]="O","Other", TRUE,"Unknown")</f>
        <v>Male</v>
      </c>
    </row>
    <row r="1943" spans="1:15" x14ac:dyDescent="0.25">
      <c r="A1943" t="s">
        <v>2028</v>
      </c>
      <c r="B1943" t="s">
        <v>11</v>
      </c>
      <c r="C1943">
        <v>1</v>
      </c>
      <c r="D1943">
        <v>56.5</v>
      </c>
      <c r="E1943">
        <v>56.5</v>
      </c>
      <c r="F1943" s="3">
        <v>45728</v>
      </c>
      <c r="G1943" s="3">
        <v>45729</v>
      </c>
      <c r="H1943" t="s">
        <v>12</v>
      </c>
      <c r="I1943" t="s">
        <v>25</v>
      </c>
      <c r="J1943">
        <v>3</v>
      </c>
      <c r="K1943" t="s">
        <v>4</v>
      </c>
      <c r="L1943" t="s">
        <v>18</v>
      </c>
      <c r="M1943">
        <f>[1]!orders[[#This Row],[Ship Date]]-[1]!orders[[#This Row],[Order Date]]</f>
        <v>1</v>
      </c>
      <c r="N1943">
        <f>WEEKNUM([1]!orders[[#This Row],[Order Date]])</f>
        <v>11</v>
      </c>
      <c r="O1943" t="str" cm="1">
        <f t="array" ref="O1943">_xlfn.IFS([1]!orders[[#This Row],[Customer Gender]]="M","Male", [1]!orders[[#This Row],[Customer Gender]]="F","Female", [1]!orders[[#This Row],[Customer Gender]]="O","Other", TRUE,"Unknown")</f>
        <v>Female</v>
      </c>
    </row>
    <row r="1944" spans="1:15" x14ac:dyDescent="0.25">
      <c r="A1944" s="1" t="s">
        <v>2029</v>
      </c>
      <c r="B1944" s="1" t="s">
        <v>11</v>
      </c>
      <c r="C1944" s="1">
        <v>2</v>
      </c>
      <c r="D1944" s="1">
        <v>66.900000000000006</v>
      </c>
      <c r="E1944" s="1">
        <v>133.80000000000001</v>
      </c>
      <c r="F1944" s="2">
        <v>45728</v>
      </c>
      <c r="G1944" s="2">
        <v>45734</v>
      </c>
      <c r="H1944" s="1" t="s">
        <v>8</v>
      </c>
      <c r="I1944" s="1" t="s">
        <v>20</v>
      </c>
      <c r="J1944" s="1">
        <v>2</v>
      </c>
      <c r="K1944" s="1" t="s">
        <v>4</v>
      </c>
      <c r="L1944" s="1" t="s">
        <v>173</v>
      </c>
      <c r="M1944" s="1">
        <f>[1]!orders[[#This Row],[Ship Date]]-[1]!orders[[#This Row],[Order Date]]</f>
        <v>6</v>
      </c>
      <c r="N1944" s="1">
        <f>WEEKNUM([1]!orders[[#This Row],[Order Date]])</f>
        <v>11</v>
      </c>
      <c r="O1944" t="str" cm="1">
        <f t="array" ref="O1944">_xlfn.IFS([1]!orders[[#This Row],[Customer Gender]]="M","Male", [1]!orders[[#This Row],[Customer Gender]]="F","Female", [1]!orders[[#This Row],[Customer Gender]]="O","Other", TRUE,"Unknown")</f>
        <v>Male</v>
      </c>
    </row>
    <row r="1945" spans="1:15" x14ac:dyDescent="0.25">
      <c r="A1945" t="s">
        <v>2030</v>
      </c>
      <c r="B1945" t="s">
        <v>11</v>
      </c>
      <c r="C1945">
        <v>5</v>
      </c>
      <c r="D1945">
        <v>51.9</v>
      </c>
      <c r="E1945">
        <v>259.5</v>
      </c>
      <c r="F1945" s="3">
        <v>45728</v>
      </c>
      <c r="G1945" s="3">
        <v>45731</v>
      </c>
      <c r="H1945" t="s">
        <v>8</v>
      </c>
      <c r="I1945" t="s">
        <v>20</v>
      </c>
      <c r="J1945">
        <v>4</v>
      </c>
      <c r="K1945" t="s">
        <v>4</v>
      </c>
      <c r="L1945" t="s">
        <v>44</v>
      </c>
      <c r="M1945">
        <f>[1]!orders[[#This Row],[Ship Date]]-[1]!orders[[#This Row],[Order Date]]</f>
        <v>3</v>
      </c>
      <c r="N1945">
        <f>WEEKNUM([1]!orders[[#This Row],[Order Date]])</f>
        <v>11</v>
      </c>
      <c r="O1945" t="str" cm="1">
        <f t="array" ref="O1945">_xlfn.IFS([1]!orders[[#This Row],[Customer Gender]]="M","Male", [1]!orders[[#This Row],[Customer Gender]]="F","Female", [1]!orders[[#This Row],[Customer Gender]]="O","Other", TRUE,"Unknown")</f>
        <v>Male</v>
      </c>
    </row>
    <row r="1946" spans="1:15" x14ac:dyDescent="0.25">
      <c r="A1946" s="1" t="s">
        <v>2031</v>
      </c>
      <c r="B1946" s="1" t="s">
        <v>11</v>
      </c>
      <c r="C1946" s="1">
        <v>2</v>
      </c>
      <c r="D1946" s="1">
        <v>75.599999999999994</v>
      </c>
      <c r="E1946" s="1">
        <v>151.19999999999999</v>
      </c>
      <c r="F1946" s="2">
        <v>45728</v>
      </c>
      <c r="G1946" s="2">
        <v>45731</v>
      </c>
      <c r="H1946" s="1" t="s">
        <v>8</v>
      </c>
      <c r="I1946" s="1" t="s">
        <v>20</v>
      </c>
      <c r="J1946" s="1">
        <v>4</v>
      </c>
      <c r="K1946" s="1" t="s">
        <v>4</v>
      </c>
      <c r="L1946" s="1" t="s">
        <v>47</v>
      </c>
      <c r="M1946" s="1">
        <f>[1]!orders[[#This Row],[Ship Date]]-[1]!orders[[#This Row],[Order Date]]</f>
        <v>3</v>
      </c>
      <c r="N1946" s="1">
        <f>WEEKNUM([1]!orders[[#This Row],[Order Date]])</f>
        <v>11</v>
      </c>
      <c r="O1946" t="str" cm="1">
        <f t="array" ref="O1946">_xlfn.IFS([1]!orders[[#This Row],[Customer Gender]]="M","Male", [1]!orders[[#This Row],[Customer Gender]]="F","Female", [1]!orders[[#This Row],[Customer Gender]]="O","Other", TRUE,"Unknown")</f>
        <v>Male</v>
      </c>
    </row>
    <row r="1947" spans="1:15" x14ac:dyDescent="0.25">
      <c r="A1947" t="s">
        <v>2032</v>
      </c>
      <c r="B1947" t="s">
        <v>54</v>
      </c>
      <c r="C1947">
        <v>6</v>
      </c>
      <c r="D1947">
        <v>47.3</v>
      </c>
      <c r="E1947">
        <v>283.79999999999995</v>
      </c>
      <c r="F1947" s="3">
        <v>45728</v>
      </c>
      <c r="G1947" s="3">
        <v>45739</v>
      </c>
      <c r="H1947" t="s">
        <v>8</v>
      </c>
      <c r="I1947" t="s">
        <v>3</v>
      </c>
      <c r="J1947">
        <v>4</v>
      </c>
      <c r="K1947" t="s">
        <v>4</v>
      </c>
      <c r="L1947" t="s">
        <v>47</v>
      </c>
      <c r="M1947">
        <f>[1]!orders[[#This Row],[Ship Date]]-[1]!orders[[#This Row],[Order Date]]</f>
        <v>11</v>
      </c>
      <c r="N1947">
        <f>WEEKNUM([1]!orders[[#This Row],[Order Date]])</f>
        <v>11</v>
      </c>
      <c r="O1947" t="str" cm="1">
        <f t="array" ref="O1947">_xlfn.IFS([1]!orders[[#This Row],[Customer Gender]]="M","Male", [1]!orders[[#This Row],[Customer Gender]]="F","Female", [1]!orders[[#This Row],[Customer Gender]]="O","Other", TRUE,"Unknown")</f>
        <v>Male</v>
      </c>
    </row>
    <row r="1948" spans="1:15" x14ac:dyDescent="0.25">
      <c r="A1948" s="1" t="s">
        <v>2033</v>
      </c>
      <c r="B1948" s="1" t="s">
        <v>17</v>
      </c>
      <c r="C1948" s="1">
        <v>1</v>
      </c>
      <c r="D1948" s="1">
        <v>20.6</v>
      </c>
      <c r="E1948" s="1">
        <v>20.6</v>
      </c>
      <c r="F1948" s="2">
        <v>45728</v>
      </c>
      <c r="G1948" s="2">
        <v>45729</v>
      </c>
      <c r="H1948" s="1" t="s">
        <v>2</v>
      </c>
      <c r="I1948" s="1" t="s">
        <v>3</v>
      </c>
      <c r="J1948" s="1">
        <v>3</v>
      </c>
      <c r="K1948" s="1" t="s">
        <v>4</v>
      </c>
      <c r="L1948" s="1" t="s">
        <v>47</v>
      </c>
      <c r="M1948" s="1">
        <f>[1]!orders[[#This Row],[Ship Date]]-[1]!orders[[#This Row],[Order Date]]</f>
        <v>1</v>
      </c>
      <c r="N1948" s="1">
        <f>WEEKNUM([1]!orders[[#This Row],[Order Date]])</f>
        <v>11</v>
      </c>
      <c r="O1948" t="str" cm="1">
        <f t="array" ref="O1948">_xlfn.IFS([1]!orders[[#This Row],[Customer Gender]]="M","Male", [1]!orders[[#This Row],[Customer Gender]]="F","Female", [1]!orders[[#This Row],[Customer Gender]]="O","Other", TRUE,"Unknown")</f>
        <v>Unknown</v>
      </c>
    </row>
    <row r="1949" spans="1:15" x14ac:dyDescent="0.25">
      <c r="A1949" t="s">
        <v>2034</v>
      </c>
      <c r="B1949" t="s">
        <v>24</v>
      </c>
      <c r="C1949">
        <v>3</v>
      </c>
      <c r="D1949">
        <v>49.7</v>
      </c>
      <c r="E1949">
        <v>149.10000000000002</v>
      </c>
      <c r="F1949" s="3">
        <v>45728</v>
      </c>
      <c r="G1949" s="3">
        <v>45730</v>
      </c>
      <c r="H1949" t="s">
        <v>8</v>
      </c>
      <c r="I1949" t="s">
        <v>3</v>
      </c>
      <c r="J1949">
        <v>3</v>
      </c>
      <c r="K1949" t="s">
        <v>4</v>
      </c>
      <c r="L1949" t="s">
        <v>47</v>
      </c>
      <c r="M1949">
        <f>[1]!orders[[#This Row],[Ship Date]]-[1]!orders[[#This Row],[Order Date]]</f>
        <v>2</v>
      </c>
      <c r="N1949">
        <f>WEEKNUM([1]!orders[[#This Row],[Order Date]])</f>
        <v>11</v>
      </c>
      <c r="O1949" t="str" cm="1">
        <f t="array" ref="O1949">_xlfn.IFS([1]!orders[[#This Row],[Customer Gender]]="M","Male", [1]!orders[[#This Row],[Customer Gender]]="F","Female", [1]!orders[[#This Row],[Customer Gender]]="O","Other", TRUE,"Unknown")</f>
        <v>Male</v>
      </c>
    </row>
    <row r="1950" spans="1:15" x14ac:dyDescent="0.25">
      <c r="A1950" s="1" t="s">
        <v>2035</v>
      </c>
      <c r="B1950" s="1" t="s">
        <v>15</v>
      </c>
      <c r="C1950" s="1">
        <v>1</v>
      </c>
      <c r="D1950" s="1">
        <v>37.9</v>
      </c>
      <c r="E1950" s="1">
        <v>37.9</v>
      </c>
      <c r="F1950" s="2">
        <v>45728</v>
      </c>
      <c r="G1950" s="2">
        <v>45730</v>
      </c>
      <c r="H1950" s="1" t="s">
        <v>12</v>
      </c>
      <c r="I1950" s="1" t="s">
        <v>3</v>
      </c>
      <c r="J1950" s="1">
        <v>4</v>
      </c>
      <c r="K1950" s="1" t="s">
        <v>4</v>
      </c>
      <c r="L1950" s="1" t="s">
        <v>47</v>
      </c>
      <c r="M1950" s="1">
        <f>[1]!orders[[#This Row],[Ship Date]]-[1]!orders[[#This Row],[Order Date]]</f>
        <v>2</v>
      </c>
      <c r="N1950" s="1">
        <f>WEEKNUM([1]!orders[[#This Row],[Order Date]])</f>
        <v>11</v>
      </c>
      <c r="O1950" t="str" cm="1">
        <f t="array" ref="O1950">_xlfn.IFS([1]!orders[[#This Row],[Customer Gender]]="M","Male", [1]!orders[[#This Row],[Customer Gender]]="F","Female", [1]!orders[[#This Row],[Customer Gender]]="O","Other", TRUE,"Unknown")</f>
        <v>Female</v>
      </c>
    </row>
    <row r="1951" spans="1:15" x14ac:dyDescent="0.25">
      <c r="A1951" t="s">
        <v>2036</v>
      </c>
      <c r="B1951" t="s">
        <v>61</v>
      </c>
      <c r="C1951">
        <v>15</v>
      </c>
      <c r="D1951">
        <v>32</v>
      </c>
      <c r="E1951">
        <v>480</v>
      </c>
      <c r="F1951" s="3">
        <v>45728</v>
      </c>
      <c r="G1951" s="3">
        <v>45730</v>
      </c>
      <c r="H1951" t="s">
        <v>12</v>
      </c>
      <c r="I1951" t="s">
        <v>55</v>
      </c>
      <c r="J1951">
        <v>4</v>
      </c>
      <c r="K1951" t="s">
        <v>4</v>
      </c>
      <c r="L1951" t="s">
        <v>62</v>
      </c>
      <c r="M1951">
        <f>[1]!orders[[#This Row],[Ship Date]]-[1]!orders[[#This Row],[Order Date]]</f>
        <v>2</v>
      </c>
      <c r="N1951">
        <f>WEEKNUM([1]!orders[[#This Row],[Order Date]])</f>
        <v>11</v>
      </c>
      <c r="O1951" t="str" cm="1">
        <f t="array" ref="O1951">_xlfn.IFS([1]!orders[[#This Row],[Customer Gender]]="M","Male", [1]!orders[[#This Row],[Customer Gender]]="F","Female", [1]!orders[[#This Row],[Customer Gender]]="O","Other", TRUE,"Unknown")</f>
        <v>Female</v>
      </c>
    </row>
    <row r="1952" spans="1:15" x14ac:dyDescent="0.25">
      <c r="A1952" s="1" t="s">
        <v>2037</v>
      </c>
      <c r="B1952" s="1" t="s">
        <v>39</v>
      </c>
      <c r="C1952" s="1">
        <v>18</v>
      </c>
      <c r="D1952" s="1">
        <v>38.5</v>
      </c>
      <c r="E1952" s="1">
        <v>693</v>
      </c>
      <c r="F1952" s="2">
        <v>45729</v>
      </c>
      <c r="G1952" s="2">
        <v>45730</v>
      </c>
      <c r="H1952" s="1" t="s">
        <v>8</v>
      </c>
      <c r="I1952" s="1" t="s">
        <v>3</v>
      </c>
      <c r="J1952" s="1">
        <v>5</v>
      </c>
      <c r="K1952" s="1" t="s">
        <v>4</v>
      </c>
      <c r="L1952" s="1" t="s">
        <v>62</v>
      </c>
      <c r="M1952" s="1">
        <f>[1]!orders[[#This Row],[Ship Date]]-[1]!orders[[#This Row],[Order Date]]</f>
        <v>1</v>
      </c>
      <c r="N1952" s="1">
        <f>WEEKNUM([1]!orders[[#This Row],[Order Date]])</f>
        <v>11</v>
      </c>
      <c r="O1952" t="str" cm="1">
        <f t="array" ref="O1952">_xlfn.IFS([1]!orders[[#This Row],[Customer Gender]]="M","Male", [1]!orders[[#This Row],[Customer Gender]]="F","Female", [1]!orders[[#This Row],[Customer Gender]]="O","Other", TRUE,"Unknown")</f>
        <v>Male</v>
      </c>
    </row>
    <row r="1953" spans="1:15" x14ac:dyDescent="0.25">
      <c r="A1953" t="s">
        <v>2038</v>
      </c>
      <c r="B1953" t="s">
        <v>1</v>
      </c>
      <c r="C1953">
        <v>4</v>
      </c>
      <c r="D1953">
        <v>11.7</v>
      </c>
      <c r="E1953">
        <v>46.8</v>
      </c>
      <c r="F1953" s="3">
        <v>45729</v>
      </c>
      <c r="G1953" s="3">
        <v>45731</v>
      </c>
      <c r="H1953" t="s">
        <v>12</v>
      </c>
      <c r="I1953" t="s">
        <v>20</v>
      </c>
      <c r="J1953">
        <v>4</v>
      </c>
      <c r="K1953" t="s">
        <v>4</v>
      </c>
      <c r="L1953" t="s">
        <v>98</v>
      </c>
      <c r="M1953">
        <f>[1]!orders[[#This Row],[Ship Date]]-[1]!orders[[#This Row],[Order Date]]</f>
        <v>2</v>
      </c>
      <c r="N1953">
        <f>WEEKNUM([1]!orders[[#This Row],[Order Date]])</f>
        <v>11</v>
      </c>
      <c r="O1953" t="str" cm="1">
        <f t="array" ref="O1953">_xlfn.IFS([1]!orders[[#This Row],[Customer Gender]]="M","Male", [1]!orders[[#This Row],[Customer Gender]]="F","Female", [1]!orders[[#This Row],[Customer Gender]]="O","Other", TRUE,"Unknown")</f>
        <v>Female</v>
      </c>
    </row>
    <row r="1954" spans="1:15" x14ac:dyDescent="0.25">
      <c r="A1954" s="1" t="s">
        <v>2039</v>
      </c>
      <c r="B1954" s="1" t="s">
        <v>15</v>
      </c>
      <c r="C1954" s="1">
        <v>6</v>
      </c>
      <c r="D1954" s="1">
        <v>83.8</v>
      </c>
      <c r="E1954" s="1">
        <v>502.79999999999995</v>
      </c>
      <c r="F1954" s="2">
        <v>45729</v>
      </c>
      <c r="G1954" s="2">
        <v>45730</v>
      </c>
      <c r="H1954" s="1" t="s">
        <v>8</v>
      </c>
      <c r="I1954" s="1" t="s">
        <v>3</v>
      </c>
      <c r="J1954" s="1">
        <v>4</v>
      </c>
      <c r="K1954" s="1" t="s">
        <v>4</v>
      </c>
      <c r="L1954" s="1" t="s">
        <v>100</v>
      </c>
      <c r="M1954" s="1">
        <f>[1]!orders[[#This Row],[Ship Date]]-[1]!orders[[#This Row],[Order Date]]</f>
        <v>1</v>
      </c>
      <c r="N1954" s="1">
        <f>WEEKNUM([1]!orders[[#This Row],[Order Date]])</f>
        <v>11</v>
      </c>
      <c r="O1954" t="str" cm="1">
        <f t="array" ref="O1954">_xlfn.IFS([1]!orders[[#This Row],[Customer Gender]]="M","Male", [1]!orders[[#This Row],[Customer Gender]]="F","Female", [1]!orders[[#This Row],[Customer Gender]]="O","Other", TRUE,"Unknown")</f>
        <v>Male</v>
      </c>
    </row>
    <row r="1955" spans="1:15" x14ac:dyDescent="0.25">
      <c r="A1955" t="s">
        <v>2040</v>
      </c>
      <c r="B1955" t="s">
        <v>1</v>
      </c>
      <c r="C1955">
        <v>7</v>
      </c>
      <c r="D1955">
        <v>14</v>
      </c>
      <c r="E1955">
        <v>98</v>
      </c>
      <c r="F1955" s="3">
        <v>45729</v>
      </c>
      <c r="G1955" s="3">
        <v>45732</v>
      </c>
      <c r="H1955" t="s">
        <v>8</v>
      </c>
      <c r="I1955" t="s">
        <v>3</v>
      </c>
      <c r="J1955">
        <v>3</v>
      </c>
      <c r="K1955" t="s">
        <v>4</v>
      </c>
      <c r="L1955" t="s">
        <v>132</v>
      </c>
      <c r="M1955">
        <f>[1]!orders[[#This Row],[Ship Date]]-[1]!orders[[#This Row],[Order Date]]</f>
        <v>3</v>
      </c>
      <c r="N1955">
        <f>WEEKNUM([1]!orders[[#This Row],[Order Date]])</f>
        <v>11</v>
      </c>
      <c r="O1955" t="str" cm="1">
        <f t="array" ref="O1955">_xlfn.IFS([1]!orders[[#This Row],[Customer Gender]]="M","Male", [1]!orders[[#This Row],[Customer Gender]]="F","Female", [1]!orders[[#This Row],[Customer Gender]]="O","Other", TRUE,"Unknown")</f>
        <v>Male</v>
      </c>
    </row>
    <row r="1956" spans="1:15" x14ac:dyDescent="0.25">
      <c r="A1956" s="1" t="s">
        <v>2041</v>
      </c>
      <c r="B1956" s="1" t="s">
        <v>113</v>
      </c>
      <c r="C1956" s="1">
        <v>4</v>
      </c>
      <c r="D1956" s="1">
        <v>77.3</v>
      </c>
      <c r="E1956" s="1">
        <v>309.2</v>
      </c>
      <c r="F1956" s="2">
        <v>45729</v>
      </c>
      <c r="G1956" s="2">
        <v>45731</v>
      </c>
      <c r="H1956" s="1" t="s">
        <v>12</v>
      </c>
      <c r="I1956" s="1" t="s">
        <v>55</v>
      </c>
      <c r="J1956" s="1">
        <v>5</v>
      </c>
      <c r="K1956" s="1" t="s">
        <v>4</v>
      </c>
      <c r="L1956" s="1" t="s">
        <v>18</v>
      </c>
      <c r="M1956" s="1">
        <f>[1]!orders[[#This Row],[Ship Date]]-[1]!orders[[#This Row],[Order Date]]</f>
        <v>2</v>
      </c>
      <c r="N1956" s="1">
        <f>WEEKNUM([1]!orders[[#This Row],[Order Date]])</f>
        <v>11</v>
      </c>
      <c r="O1956" t="str" cm="1">
        <f t="array" ref="O1956">_xlfn.IFS([1]!orders[[#This Row],[Customer Gender]]="M","Male", [1]!orders[[#This Row],[Customer Gender]]="F","Female", [1]!orders[[#This Row],[Customer Gender]]="O","Other", TRUE,"Unknown")</f>
        <v>Female</v>
      </c>
    </row>
    <row r="1957" spans="1:15" x14ac:dyDescent="0.25">
      <c r="A1957" t="s">
        <v>2042</v>
      </c>
      <c r="B1957" t="s">
        <v>11</v>
      </c>
      <c r="C1957">
        <v>2</v>
      </c>
      <c r="D1957">
        <v>76.900000000000006</v>
      </c>
      <c r="E1957">
        <v>153.80000000000001</v>
      </c>
      <c r="F1957" s="3">
        <v>45729</v>
      </c>
      <c r="G1957" s="3">
        <v>45733</v>
      </c>
      <c r="H1957" t="s">
        <v>12</v>
      </c>
      <c r="I1957" t="s">
        <v>3</v>
      </c>
      <c r="J1957">
        <v>3</v>
      </c>
      <c r="K1957" t="s">
        <v>4</v>
      </c>
      <c r="L1957" t="s">
        <v>18</v>
      </c>
      <c r="M1957">
        <f>[1]!orders[[#This Row],[Ship Date]]-[1]!orders[[#This Row],[Order Date]]</f>
        <v>4</v>
      </c>
      <c r="N1957">
        <f>WEEKNUM([1]!orders[[#This Row],[Order Date]])</f>
        <v>11</v>
      </c>
      <c r="O1957" t="str" cm="1">
        <f t="array" ref="O1957">_xlfn.IFS([1]!orders[[#This Row],[Customer Gender]]="M","Male", [1]!orders[[#This Row],[Customer Gender]]="F","Female", [1]!orders[[#This Row],[Customer Gender]]="O","Other", TRUE,"Unknown")</f>
        <v>Female</v>
      </c>
    </row>
    <row r="1958" spans="1:15" x14ac:dyDescent="0.25">
      <c r="A1958" s="1" t="s">
        <v>2043</v>
      </c>
      <c r="B1958" s="1" t="s">
        <v>7</v>
      </c>
      <c r="C1958" s="1">
        <v>1</v>
      </c>
      <c r="D1958" s="1">
        <v>48</v>
      </c>
      <c r="E1958" s="1">
        <v>48</v>
      </c>
      <c r="F1958" s="2">
        <v>45729</v>
      </c>
      <c r="G1958" s="2">
        <v>45731</v>
      </c>
      <c r="H1958" s="1" t="s">
        <v>12</v>
      </c>
      <c r="I1958" s="1" t="s">
        <v>20</v>
      </c>
      <c r="J1958" s="1">
        <v>5</v>
      </c>
      <c r="K1958" s="1" t="s">
        <v>4</v>
      </c>
      <c r="L1958" s="1" t="s">
        <v>18</v>
      </c>
      <c r="M1958" s="1">
        <f>[1]!orders[[#This Row],[Ship Date]]-[1]!orders[[#This Row],[Order Date]]</f>
        <v>2</v>
      </c>
      <c r="N1958" s="1">
        <f>WEEKNUM([1]!orders[[#This Row],[Order Date]])</f>
        <v>11</v>
      </c>
      <c r="O1958" t="str" cm="1">
        <f t="array" ref="O1958">_xlfn.IFS([1]!orders[[#This Row],[Customer Gender]]="M","Male", [1]!orders[[#This Row],[Customer Gender]]="F","Female", [1]!orders[[#This Row],[Customer Gender]]="O","Other", TRUE,"Unknown")</f>
        <v>Female</v>
      </c>
    </row>
    <row r="1959" spans="1:15" x14ac:dyDescent="0.25">
      <c r="A1959" t="s">
        <v>2044</v>
      </c>
      <c r="B1959" t="s">
        <v>11</v>
      </c>
      <c r="C1959">
        <v>1</v>
      </c>
      <c r="D1959">
        <v>94.5</v>
      </c>
      <c r="E1959">
        <v>94.5</v>
      </c>
      <c r="F1959" s="3">
        <v>45729</v>
      </c>
      <c r="G1959" s="3">
        <v>45732</v>
      </c>
      <c r="H1959" t="s">
        <v>8</v>
      </c>
      <c r="I1959" t="s">
        <v>20</v>
      </c>
      <c r="J1959">
        <v>3</v>
      </c>
      <c r="K1959" t="s">
        <v>4</v>
      </c>
      <c r="L1959" t="s">
        <v>18</v>
      </c>
      <c r="M1959">
        <f>[1]!orders[[#This Row],[Ship Date]]-[1]!orders[[#This Row],[Order Date]]</f>
        <v>3</v>
      </c>
      <c r="N1959">
        <f>WEEKNUM([1]!orders[[#This Row],[Order Date]])</f>
        <v>11</v>
      </c>
      <c r="O1959" t="str" cm="1">
        <f t="array" ref="O1959">_xlfn.IFS([1]!orders[[#This Row],[Customer Gender]]="M","Male", [1]!orders[[#This Row],[Customer Gender]]="F","Female", [1]!orders[[#This Row],[Customer Gender]]="O","Other", TRUE,"Unknown")</f>
        <v>Male</v>
      </c>
    </row>
    <row r="1960" spans="1:15" x14ac:dyDescent="0.25">
      <c r="A1960" s="1" t="s">
        <v>2045</v>
      </c>
      <c r="B1960" s="1" t="s">
        <v>39</v>
      </c>
      <c r="C1960" s="1">
        <v>3</v>
      </c>
      <c r="D1960" s="1">
        <v>58.4</v>
      </c>
      <c r="E1960" s="1">
        <v>175.2</v>
      </c>
      <c r="F1960" s="2">
        <v>45729</v>
      </c>
      <c r="G1960" s="2">
        <v>45731</v>
      </c>
      <c r="H1960" s="1" t="s">
        <v>12</v>
      </c>
      <c r="I1960" s="1" t="s">
        <v>20</v>
      </c>
      <c r="J1960" s="1">
        <v>5</v>
      </c>
      <c r="K1960" s="1" t="s">
        <v>4</v>
      </c>
      <c r="L1960" s="1" t="s">
        <v>18</v>
      </c>
      <c r="M1960" s="1">
        <f>[1]!orders[[#This Row],[Ship Date]]-[1]!orders[[#This Row],[Order Date]]</f>
        <v>2</v>
      </c>
      <c r="N1960" s="1">
        <f>WEEKNUM([1]!orders[[#This Row],[Order Date]])</f>
        <v>11</v>
      </c>
      <c r="O1960" t="str" cm="1">
        <f t="array" ref="O1960">_xlfn.IFS([1]!orders[[#This Row],[Customer Gender]]="M","Male", [1]!orders[[#This Row],[Customer Gender]]="F","Female", [1]!orders[[#This Row],[Customer Gender]]="O","Other", TRUE,"Unknown")</f>
        <v>Female</v>
      </c>
    </row>
    <row r="1961" spans="1:15" x14ac:dyDescent="0.25">
      <c r="A1961" t="s">
        <v>2046</v>
      </c>
      <c r="B1961" t="s">
        <v>27</v>
      </c>
      <c r="C1961">
        <v>13</v>
      </c>
      <c r="D1961">
        <v>42.2</v>
      </c>
      <c r="E1961">
        <v>548.6</v>
      </c>
      <c r="F1961" s="3">
        <v>45729</v>
      </c>
      <c r="G1961" s="3">
        <v>45729</v>
      </c>
      <c r="H1961" t="s">
        <v>8</v>
      </c>
      <c r="I1961" t="s">
        <v>3</v>
      </c>
      <c r="J1961">
        <v>4</v>
      </c>
      <c r="K1961" t="s">
        <v>4</v>
      </c>
      <c r="L1961" t="s">
        <v>173</v>
      </c>
      <c r="M1961">
        <f>[1]!orders[[#This Row],[Ship Date]]-[1]!orders[[#This Row],[Order Date]]</f>
        <v>0</v>
      </c>
      <c r="N1961">
        <f>WEEKNUM([1]!orders[[#This Row],[Order Date]])</f>
        <v>11</v>
      </c>
      <c r="O1961" t="str" cm="1">
        <f t="array" ref="O1961">_xlfn.IFS([1]!orders[[#This Row],[Customer Gender]]="M","Male", [1]!orders[[#This Row],[Customer Gender]]="F","Female", [1]!orders[[#This Row],[Customer Gender]]="O","Other", TRUE,"Unknown")</f>
        <v>Male</v>
      </c>
    </row>
    <row r="1962" spans="1:15" x14ac:dyDescent="0.25">
      <c r="A1962" s="1" t="s">
        <v>2047</v>
      </c>
      <c r="B1962" s="1" t="s">
        <v>24</v>
      </c>
      <c r="C1962" s="1">
        <v>2</v>
      </c>
      <c r="D1962" s="1">
        <v>152.19999999999999</v>
      </c>
      <c r="E1962" s="1">
        <v>304.39999999999998</v>
      </c>
      <c r="F1962" s="2">
        <v>45729</v>
      </c>
      <c r="G1962" s="2">
        <v>45730</v>
      </c>
      <c r="H1962" s="1" t="s">
        <v>8</v>
      </c>
      <c r="I1962" s="1" t="s">
        <v>55</v>
      </c>
      <c r="J1962" s="1">
        <v>3</v>
      </c>
      <c r="K1962" s="1" t="s">
        <v>4</v>
      </c>
      <c r="L1962" s="1" t="s">
        <v>173</v>
      </c>
      <c r="M1962" s="1">
        <f>[1]!orders[[#This Row],[Ship Date]]-[1]!orders[[#This Row],[Order Date]]</f>
        <v>1</v>
      </c>
      <c r="N1962" s="1">
        <f>WEEKNUM([1]!orders[[#This Row],[Order Date]])</f>
        <v>11</v>
      </c>
      <c r="O1962" t="str" cm="1">
        <f t="array" ref="O1962">_xlfn.IFS([1]!orders[[#This Row],[Customer Gender]]="M","Male", [1]!orders[[#This Row],[Customer Gender]]="F","Female", [1]!orders[[#This Row],[Customer Gender]]="O","Other", TRUE,"Unknown")</f>
        <v>Male</v>
      </c>
    </row>
    <row r="1963" spans="1:15" x14ac:dyDescent="0.25">
      <c r="A1963" t="s">
        <v>2048</v>
      </c>
      <c r="B1963" t="s">
        <v>24</v>
      </c>
      <c r="C1963">
        <v>24</v>
      </c>
      <c r="D1963">
        <v>72</v>
      </c>
      <c r="E1963">
        <v>1728</v>
      </c>
      <c r="F1963" s="3">
        <v>45729</v>
      </c>
      <c r="G1963" s="3">
        <v>45730</v>
      </c>
      <c r="H1963" t="s">
        <v>8</v>
      </c>
      <c r="I1963" t="s">
        <v>3</v>
      </c>
      <c r="J1963">
        <v>3</v>
      </c>
      <c r="K1963" t="s">
        <v>4</v>
      </c>
      <c r="L1963" t="s">
        <v>40</v>
      </c>
      <c r="M1963">
        <f>[1]!orders[[#This Row],[Ship Date]]-[1]!orders[[#This Row],[Order Date]]</f>
        <v>1</v>
      </c>
      <c r="N1963">
        <f>WEEKNUM([1]!orders[[#This Row],[Order Date]])</f>
        <v>11</v>
      </c>
      <c r="O1963" t="str" cm="1">
        <f t="array" ref="O1963">_xlfn.IFS([1]!orders[[#This Row],[Customer Gender]]="M","Male", [1]!orders[[#This Row],[Customer Gender]]="F","Female", [1]!orders[[#This Row],[Customer Gender]]="O","Other", TRUE,"Unknown")</f>
        <v>Male</v>
      </c>
    </row>
    <row r="1964" spans="1:15" x14ac:dyDescent="0.25">
      <c r="A1964" s="1" t="s">
        <v>2049</v>
      </c>
      <c r="B1964" s="1" t="s">
        <v>7</v>
      </c>
      <c r="C1964" s="1">
        <v>23</v>
      </c>
      <c r="D1964" s="1">
        <v>70.900000000000006</v>
      </c>
      <c r="E1964" s="1">
        <v>1630.7</v>
      </c>
      <c r="F1964" s="2">
        <v>45729</v>
      </c>
      <c r="G1964" s="2">
        <v>45730</v>
      </c>
      <c r="H1964" s="1" t="s">
        <v>12</v>
      </c>
      <c r="I1964" s="1" t="s">
        <v>25</v>
      </c>
      <c r="J1964" s="1">
        <v>4</v>
      </c>
      <c r="K1964" s="1" t="s">
        <v>4</v>
      </c>
      <c r="L1964" s="1" t="s">
        <v>47</v>
      </c>
      <c r="M1964" s="1">
        <f>[1]!orders[[#This Row],[Ship Date]]-[1]!orders[[#This Row],[Order Date]]</f>
        <v>1</v>
      </c>
      <c r="N1964" s="1">
        <f>WEEKNUM([1]!orders[[#This Row],[Order Date]])</f>
        <v>11</v>
      </c>
      <c r="O1964" t="str" cm="1">
        <f t="array" ref="O1964">_xlfn.IFS([1]!orders[[#This Row],[Customer Gender]]="M","Male", [1]!orders[[#This Row],[Customer Gender]]="F","Female", [1]!orders[[#This Row],[Customer Gender]]="O","Other", TRUE,"Unknown")</f>
        <v>Female</v>
      </c>
    </row>
    <row r="1965" spans="1:15" x14ac:dyDescent="0.25">
      <c r="A1965" t="s">
        <v>2050</v>
      </c>
      <c r="B1965" t="s">
        <v>11</v>
      </c>
      <c r="C1965">
        <v>2</v>
      </c>
      <c r="D1965">
        <v>53.7</v>
      </c>
      <c r="E1965">
        <v>107.4</v>
      </c>
      <c r="F1965" s="3">
        <v>45729</v>
      </c>
      <c r="G1965" s="3">
        <v>45730</v>
      </c>
      <c r="H1965" t="s">
        <v>8</v>
      </c>
      <c r="I1965" t="s">
        <v>25</v>
      </c>
      <c r="J1965">
        <v>5</v>
      </c>
      <c r="K1965" t="s">
        <v>4</v>
      </c>
      <c r="L1965" t="s">
        <v>47</v>
      </c>
      <c r="M1965">
        <f>[1]!orders[[#This Row],[Ship Date]]-[1]!orders[[#This Row],[Order Date]]</f>
        <v>1</v>
      </c>
      <c r="N1965">
        <f>WEEKNUM([1]!orders[[#This Row],[Order Date]])</f>
        <v>11</v>
      </c>
      <c r="O1965" t="str" cm="1">
        <f t="array" ref="O1965">_xlfn.IFS([1]!orders[[#This Row],[Customer Gender]]="M","Male", [1]!orders[[#This Row],[Customer Gender]]="F","Female", [1]!orders[[#This Row],[Customer Gender]]="O","Other", TRUE,"Unknown")</f>
        <v>Male</v>
      </c>
    </row>
    <row r="1966" spans="1:15" x14ac:dyDescent="0.25">
      <c r="A1966" s="1" t="s">
        <v>2051</v>
      </c>
      <c r="B1966" s="1" t="s">
        <v>31</v>
      </c>
      <c r="C1966" s="1">
        <v>4</v>
      </c>
      <c r="D1966" s="1">
        <v>42.9</v>
      </c>
      <c r="E1966" s="1">
        <v>171.6</v>
      </c>
      <c r="F1966" s="2">
        <v>45729</v>
      </c>
      <c r="G1966" s="2">
        <v>45730</v>
      </c>
      <c r="H1966" s="1" t="s">
        <v>12</v>
      </c>
      <c r="I1966" s="1" t="s">
        <v>25</v>
      </c>
      <c r="J1966" s="1">
        <v>2</v>
      </c>
      <c r="K1966" s="1" t="s">
        <v>4</v>
      </c>
      <c r="L1966" s="1" t="s">
        <v>57</v>
      </c>
      <c r="M1966" s="1">
        <f>[1]!orders[[#This Row],[Ship Date]]-[1]!orders[[#This Row],[Order Date]]</f>
        <v>1</v>
      </c>
      <c r="N1966" s="1">
        <f>WEEKNUM([1]!orders[[#This Row],[Order Date]])</f>
        <v>11</v>
      </c>
      <c r="O1966" t="str" cm="1">
        <f t="array" ref="O1966">_xlfn.IFS([1]!orders[[#This Row],[Customer Gender]]="M","Male", [1]!orders[[#This Row],[Customer Gender]]="F","Female", [1]!orders[[#This Row],[Customer Gender]]="O","Other", TRUE,"Unknown")</f>
        <v>Female</v>
      </c>
    </row>
    <row r="1967" spans="1:15" x14ac:dyDescent="0.25">
      <c r="A1967" t="s">
        <v>2052</v>
      </c>
      <c r="B1967" t="s">
        <v>11</v>
      </c>
      <c r="C1967">
        <v>7</v>
      </c>
      <c r="D1967">
        <v>107.5</v>
      </c>
      <c r="E1967">
        <v>752.5</v>
      </c>
      <c r="F1967" s="3">
        <v>45729</v>
      </c>
      <c r="G1967" s="3">
        <v>45730</v>
      </c>
      <c r="H1967" t="s">
        <v>8</v>
      </c>
      <c r="I1967" t="s">
        <v>20</v>
      </c>
      <c r="J1967">
        <v>4</v>
      </c>
      <c r="K1967" t="s">
        <v>4</v>
      </c>
      <c r="L1967" t="s">
        <v>62</v>
      </c>
      <c r="M1967">
        <f>[1]!orders[[#This Row],[Ship Date]]-[1]!orders[[#This Row],[Order Date]]</f>
        <v>1</v>
      </c>
      <c r="N1967">
        <f>WEEKNUM([1]!orders[[#This Row],[Order Date]])</f>
        <v>11</v>
      </c>
      <c r="O1967" t="str" cm="1">
        <f t="array" ref="O1967">_xlfn.IFS([1]!orders[[#This Row],[Customer Gender]]="M","Male", [1]!orders[[#This Row],[Customer Gender]]="F","Female", [1]!orders[[#This Row],[Customer Gender]]="O","Other", TRUE,"Unknown")</f>
        <v>Male</v>
      </c>
    </row>
    <row r="1968" spans="1:15" x14ac:dyDescent="0.25">
      <c r="A1968" s="1" t="s">
        <v>2053</v>
      </c>
      <c r="B1968" s="1" t="s">
        <v>120</v>
      </c>
      <c r="C1968" s="1">
        <v>16</v>
      </c>
      <c r="D1968" s="1">
        <v>21.5</v>
      </c>
      <c r="E1968" s="1">
        <v>344</v>
      </c>
      <c r="F1968" s="2">
        <v>45729</v>
      </c>
      <c r="G1968" s="2">
        <v>45730</v>
      </c>
      <c r="H1968" s="1" t="s">
        <v>8</v>
      </c>
      <c r="I1968" s="1" t="s">
        <v>20</v>
      </c>
      <c r="J1968" s="1">
        <v>3</v>
      </c>
      <c r="K1968" s="1" t="s">
        <v>4</v>
      </c>
      <c r="L1968" s="1" t="s">
        <v>294</v>
      </c>
      <c r="M1968" s="1">
        <f>[1]!orders[[#This Row],[Ship Date]]-[1]!orders[[#This Row],[Order Date]]</f>
        <v>1</v>
      </c>
      <c r="N1968" s="1">
        <f>WEEKNUM([1]!orders[[#This Row],[Order Date]])</f>
        <v>11</v>
      </c>
      <c r="O1968" t="str" cm="1">
        <f t="array" ref="O1968">_xlfn.IFS([1]!orders[[#This Row],[Customer Gender]]="M","Male", [1]!orders[[#This Row],[Customer Gender]]="F","Female", [1]!orders[[#This Row],[Customer Gender]]="O","Other", TRUE,"Unknown")</f>
        <v>Male</v>
      </c>
    </row>
    <row r="1969" spans="1:15" x14ac:dyDescent="0.25">
      <c r="A1969" t="s">
        <v>2054</v>
      </c>
      <c r="B1969" t="s">
        <v>15</v>
      </c>
      <c r="C1969">
        <v>5</v>
      </c>
      <c r="D1969">
        <v>85.3</v>
      </c>
      <c r="E1969">
        <v>426.5</v>
      </c>
      <c r="F1969" s="3">
        <v>45729</v>
      </c>
      <c r="G1969" s="3">
        <v>45731</v>
      </c>
      <c r="H1969" t="s">
        <v>12</v>
      </c>
      <c r="I1969" t="s">
        <v>36</v>
      </c>
      <c r="J1969">
        <v>4</v>
      </c>
      <c r="K1969" t="s">
        <v>4</v>
      </c>
      <c r="L1969" t="s">
        <v>93</v>
      </c>
      <c r="M1969">
        <f>[1]!orders[[#This Row],[Ship Date]]-[1]!orders[[#This Row],[Order Date]]</f>
        <v>2</v>
      </c>
      <c r="N1969">
        <f>WEEKNUM([1]!orders[[#This Row],[Order Date]])</f>
        <v>11</v>
      </c>
      <c r="O1969" t="str" cm="1">
        <f t="array" ref="O1969">_xlfn.IFS([1]!orders[[#This Row],[Customer Gender]]="M","Male", [1]!orders[[#This Row],[Customer Gender]]="F","Female", [1]!orders[[#This Row],[Customer Gender]]="O","Other", TRUE,"Unknown")</f>
        <v>Female</v>
      </c>
    </row>
    <row r="1970" spans="1:15" x14ac:dyDescent="0.25">
      <c r="A1970" s="1" t="s">
        <v>2055</v>
      </c>
      <c r="B1970" s="1" t="s">
        <v>27</v>
      </c>
      <c r="C1970" s="1">
        <v>5</v>
      </c>
      <c r="D1970" s="1">
        <v>80.8</v>
      </c>
      <c r="E1970" s="1">
        <v>404</v>
      </c>
      <c r="F1970" s="2">
        <v>45729</v>
      </c>
      <c r="G1970" s="2">
        <v>45737</v>
      </c>
      <c r="H1970" s="1" t="s">
        <v>74</v>
      </c>
      <c r="I1970" s="1" t="s">
        <v>20</v>
      </c>
      <c r="J1970" s="1">
        <v>3</v>
      </c>
      <c r="K1970" s="1" t="s">
        <v>4</v>
      </c>
      <c r="L1970" s="1" t="s">
        <v>95</v>
      </c>
      <c r="M1970" s="1">
        <f>[1]!orders[[#This Row],[Ship Date]]-[1]!orders[[#This Row],[Order Date]]</f>
        <v>8</v>
      </c>
      <c r="N1970" s="1">
        <f>WEEKNUM([1]!orders[[#This Row],[Order Date]])</f>
        <v>11</v>
      </c>
      <c r="O1970" t="str" cm="1">
        <f t="array" ref="O1970">_xlfn.IFS([1]!orders[[#This Row],[Customer Gender]]="M","Male", [1]!orders[[#This Row],[Customer Gender]]="F","Female", [1]!orders[[#This Row],[Customer Gender]]="O","Other", TRUE,"Unknown")</f>
        <v>Other</v>
      </c>
    </row>
    <row r="1971" spans="1:15" x14ac:dyDescent="0.25">
      <c r="A1971" t="s">
        <v>2056</v>
      </c>
      <c r="B1971" t="s">
        <v>11</v>
      </c>
      <c r="C1971">
        <v>3</v>
      </c>
      <c r="D1971">
        <v>123.1</v>
      </c>
      <c r="E1971">
        <v>369.29999999999995</v>
      </c>
      <c r="F1971" s="3">
        <v>45729</v>
      </c>
      <c r="G1971" s="3">
        <v>45731</v>
      </c>
      <c r="H1971" t="s">
        <v>2</v>
      </c>
      <c r="I1971" t="s">
        <v>25</v>
      </c>
      <c r="J1971">
        <v>4</v>
      </c>
      <c r="K1971" t="s">
        <v>4</v>
      </c>
      <c r="L1971" t="s">
        <v>100</v>
      </c>
      <c r="M1971">
        <f>[1]!orders[[#This Row],[Ship Date]]-[1]!orders[[#This Row],[Order Date]]</f>
        <v>2</v>
      </c>
      <c r="N1971">
        <f>WEEKNUM([1]!orders[[#This Row],[Order Date]])</f>
        <v>11</v>
      </c>
      <c r="O1971" t="str" cm="1">
        <f t="array" ref="O1971">_xlfn.IFS([1]!orders[[#This Row],[Customer Gender]]="M","Male", [1]!orders[[#This Row],[Customer Gender]]="F","Female", [1]!orders[[#This Row],[Customer Gender]]="O","Other", TRUE,"Unknown")</f>
        <v>Unknown</v>
      </c>
    </row>
    <row r="1972" spans="1:15" x14ac:dyDescent="0.25">
      <c r="A1972" s="1" t="s">
        <v>2057</v>
      </c>
      <c r="B1972" s="1" t="s">
        <v>29</v>
      </c>
      <c r="C1972" s="1">
        <v>2</v>
      </c>
      <c r="D1972" s="1">
        <v>36.9</v>
      </c>
      <c r="E1972" s="1">
        <v>73.8</v>
      </c>
      <c r="F1972" s="2">
        <v>45729</v>
      </c>
      <c r="G1972" s="2">
        <v>45731</v>
      </c>
      <c r="H1972" s="1" t="s">
        <v>12</v>
      </c>
      <c r="I1972" s="1" t="s">
        <v>25</v>
      </c>
      <c r="J1972" s="1">
        <v>2</v>
      </c>
      <c r="K1972" s="1" t="s">
        <v>4</v>
      </c>
      <c r="L1972" s="1" t="s">
        <v>952</v>
      </c>
      <c r="M1972" s="1">
        <f>[1]!orders[[#This Row],[Ship Date]]-[1]!orders[[#This Row],[Order Date]]</f>
        <v>2</v>
      </c>
      <c r="N1972" s="1">
        <f>WEEKNUM([1]!orders[[#This Row],[Order Date]])</f>
        <v>11</v>
      </c>
      <c r="O1972" t="str" cm="1">
        <f t="array" ref="O1972">_xlfn.IFS([1]!orders[[#This Row],[Customer Gender]]="M","Male", [1]!orders[[#This Row],[Customer Gender]]="F","Female", [1]!orders[[#This Row],[Customer Gender]]="O","Other", TRUE,"Unknown")</f>
        <v>Female</v>
      </c>
    </row>
    <row r="1973" spans="1:15" x14ac:dyDescent="0.25">
      <c r="A1973" t="s">
        <v>2058</v>
      </c>
      <c r="B1973" t="s">
        <v>52</v>
      </c>
      <c r="C1973">
        <v>5</v>
      </c>
      <c r="D1973">
        <v>40</v>
      </c>
      <c r="E1973">
        <v>200</v>
      </c>
      <c r="F1973" s="3">
        <v>45729</v>
      </c>
      <c r="G1973" s="3">
        <v>45730</v>
      </c>
      <c r="H1973" t="s">
        <v>8</v>
      </c>
      <c r="I1973" t="s">
        <v>3</v>
      </c>
      <c r="J1973">
        <v>4</v>
      </c>
      <c r="K1973" t="s">
        <v>4</v>
      </c>
      <c r="L1973" t="s">
        <v>9</v>
      </c>
      <c r="M1973">
        <f>[1]!orders[[#This Row],[Ship Date]]-[1]!orders[[#This Row],[Order Date]]</f>
        <v>1</v>
      </c>
      <c r="N1973">
        <f>WEEKNUM([1]!orders[[#This Row],[Order Date]])</f>
        <v>11</v>
      </c>
      <c r="O1973" t="str" cm="1">
        <f t="array" ref="O1973">_xlfn.IFS([1]!orders[[#This Row],[Customer Gender]]="M","Male", [1]!orders[[#This Row],[Customer Gender]]="F","Female", [1]!orders[[#This Row],[Customer Gender]]="O","Other", TRUE,"Unknown")</f>
        <v>Male</v>
      </c>
    </row>
    <row r="1974" spans="1:15" x14ac:dyDescent="0.25">
      <c r="A1974" s="1" t="s">
        <v>2059</v>
      </c>
      <c r="B1974" s="1" t="s">
        <v>24</v>
      </c>
      <c r="C1974" s="1">
        <v>3</v>
      </c>
      <c r="D1974" s="1">
        <v>55.5</v>
      </c>
      <c r="E1974" s="1">
        <v>166.5</v>
      </c>
      <c r="F1974" s="2">
        <v>45729</v>
      </c>
      <c r="G1974" s="2">
        <v>45730</v>
      </c>
      <c r="H1974" s="1" t="s">
        <v>8</v>
      </c>
      <c r="I1974" s="1" t="s">
        <v>55</v>
      </c>
      <c r="J1974" s="1">
        <v>5</v>
      </c>
      <c r="K1974" s="1" t="s">
        <v>4</v>
      </c>
      <c r="L1974" s="1" t="s">
        <v>9</v>
      </c>
      <c r="M1974" s="1">
        <f>[1]!orders[[#This Row],[Ship Date]]-[1]!orders[[#This Row],[Order Date]]</f>
        <v>1</v>
      </c>
      <c r="N1974" s="1">
        <f>WEEKNUM([1]!orders[[#This Row],[Order Date]])</f>
        <v>11</v>
      </c>
      <c r="O1974" t="str" cm="1">
        <f t="array" ref="O1974">_xlfn.IFS([1]!orders[[#This Row],[Customer Gender]]="M","Male", [1]!orders[[#This Row],[Customer Gender]]="F","Female", [1]!orders[[#This Row],[Customer Gender]]="O","Other", TRUE,"Unknown")</f>
        <v>Male</v>
      </c>
    </row>
    <row r="1975" spans="1:15" x14ac:dyDescent="0.25">
      <c r="A1975" t="s">
        <v>2060</v>
      </c>
      <c r="B1975" t="s">
        <v>1</v>
      </c>
      <c r="C1975">
        <v>4</v>
      </c>
      <c r="D1975">
        <v>20.5</v>
      </c>
      <c r="E1975">
        <v>82</v>
      </c>
      <c r="F1975" s="3">
        <v>45729</v>
      </c>
      <c r="G1975" s="3">
        <v>45733</v>
      </c>
      <c r="H1975" t="s">
        <v>12</v>
      </c>
      <c r="I1975" t="s">
        <v>55</v>
      </c>
      <c r="J1975">
        <v>4</v>
      </c>
      <c r="K1975" t="s">
        <v>4</v>
      </c>
      <c r="L1975" t="s">
        <v>9</v>
      </c>
      <c r="M1975">
        <f>[1]!orders[[#This Row],[Ship Date]]-[1]!orders[[#This Row],[Order Date]]</f>
        <v>4</v>
      </c>
      <c r="N1975">
        <f>WEEKNUM([1]!orders[[#This Row],[Order Date]])</f>
        <v>11</v>
      </c>
      <c r="O1975" t="str" cm="1">
        <f t="array" ref="O1975">_xlfn.IFS([1]!orders[[#This Row],[Customer Gender]]="M","Male", [1]!orders[[#This Row],[Customer Gender]]="F","Female", [1]!orders[[#This Row],[Customer Gender]]="O","Other", TRUE,"Unknown")</f>
        <v>Female</v>
      </c>
    </row>
    <row r="1976" spans="1:15" x14ac:dyDescent="0.25">
      <c r="A1976" s="1" t="s">
        <v>2061</v>
      </c>
      <c r="B1976" s="1" t="s">
        <v>131</v>
      </c>
      <c r="C1976" s="1">
        <v>4</v>
      </c>
      <c r="D1976" s="1">
        <v>50.1</v>
      </c>
      <c r="E1976" s="1">
        <v>200.4</v>
      </c>
      <c r="F1976" s="2">
        <v>45729</v>
      </c>
      <c r="G1976" s="2">
        <v>45730</v>
      </c>
      <c r="H1976" s="1" t="s">
        <v>12</v>
      </c>
      <c r="I1976" s="1" t="s">
        <v>55</v>
      </c>
      <c r="J1976" s="1">
        <v>4</v>
      </c>
      <c r="K1976" s="1" t="s">
        <v>4</v>
      </c>
      <c r="L1976" s="1" t="s">
        <v>9</v>
      </c>
      <c r="M1976" s="1">
        <f>[1]!orders[[#This Row],[Ship Date]]-[1]!orders[[#This Row],[Order Date]]</f>
        <v>1</v>
      </c>
      <c r="N1976" s="1">
        <f>WEEKNUM([1]!orders[[#This Row],[Order Date]])</f>
        <v>11</v>
      </c>
      <c r="O1976" t="str" cm="1">
        <f t="array" ref="O1976">_xlfn.IFS([1]!orders[[#This Row],[Customer Gender]]="M","Male", [1]!orders[[#This Row],[Customer Gender]]="F","Female", [1]!orders[[#This Row],[Customer Gender]]="O","Other", TRUE,"Unknown")</f>
        <v>Female</v>
      </c>
    </row>
    <row r="1977" spans="1:15" x14ac:dyDescent="0.25">
      <c r="A1977" t="s">
        <v>2062</v>
      </c>
      <c r="B1977" t="s">
        <v>31</v>
      </c>
      <c r="C1977">
        <v>1</v>
      </c>
      <c r="D1977">
        <v>35.9</v>
      </c>
      <c r="E1977">
        <v>35.9</v>
      </c>
      <c r="F1977" s="3">
        <v>45729</v>
      </c>
      <c r="G1977" s="3">
        <v>45731</v>
      </c>
      <c r="H1977" t="s">
        <v>8</v>
      </c>
      <c r="I1977" t="s">
        <v>20</v>
      </c>
      <c r="J1977">
        <v>5</v>
      </c>
      <c r="K1977" t="s">
        <v>4</v>
      </c>
      <c r="L1977" t="s">
        <v>9</v>
      </c>
      <c r="M1977">
        <f>[1]!orders[[#This Row],[Ship Date]]-[1]!orders[[#This Row],[Order Date]]</f>
        <v>2</v>
      </c>
      <c r="N1977">
        <f>WEEKNUM([1]!orders[[#This Row],[Order Date]])</f>
        <v>11</v>
      </c>
      <c r="O1977" t="str" cm="1">
        <f t="array" ref="O1977">_xlfn.IFS([1]!orders[[#This Row],[Customer Gender]]="M","Male", [1]!orders[[#This Row],[Customer Gender]]="F","Female", [1]!orders[[#This Row],[Customer Gender]]="O","Other", TRUE,"Unknown")</f>
        <v>Male</v>
      </c>
    </row>
    <row r="1978" spans="1:15" x14ac:dyDescent="0.25">
      <c r="A1978" s="1" t="s">
        <v>2063</v>
      </c>
      <c r="B1978" s="1" t="s">
        <v>61</v>
      </c>
      <c r="C1978" s="1">
        <v>4</v>
      </c>
      <c r="D1978" s="1">
        <v>29.4</v>
      </c>
      <c r="E1978" s="1">
        <v>117.6</v>
      </c>
      <c r="F1978" s="2">
        <v>45730</v>
      </c>
      <c r="G1978" s="2">
        <v>45731</v>
      </c>
      <c r="H1978" s="1" t="s">
        <v>8</v>
      </c>
      <c r="I1978" s="1" t="s">
        <v>25</v>
      </c>
      <c r="J1978" s="1">
        <v>5</v>
      </c>
      <c r="K1978" s="1" t="s">
        <v>4</v>
      </c>
      <c r="L1978" s="1" t="s">
        <v>316</v>
      </c>
      <c r="M1978" s="1">
        <f>[1]!orders[[#This Row],[Ship Date]]-[1]!orders[[#This Row],[Order Date]]</f>
        <v>1</v>
      </c>
      <c r="N1978" s="1">
        <f>WEEKNUM([1]!orders[[#This Row],[Order Date]])</f>
        <v>11</v>
      </c>
      <c r="O1978" t="str" cm="1">
        <f t="array" ref="O1978">_xlfn.IFS([1]!orders[[#This Row],[Customer Gender]]="M","Male", [1]!orders[[#This Row],[Customer Gender]]="F","Female", [1]!orders[[#This Row],[Customer Gender]]="O","Other", TRUE,"Unknown")</f>
        <v>Male</v>
      </c>
    </row>
    <row r="1979" spans="1:15" x14ac:dyDescent="0.25">
      <c r="A1979" t="s">
        <v>2064</v>
      </c>
      <c r="B1979" t="s">
        <v>29</v>
      </c>
      <c r="C1979">
        <v>5</v>
      </c>
      <c r="D1979">
        <v>29.1</v>
      </c>
      <c r="E1979">
        <v>145.5</v>
      </c>
      <c r="F1979" s="3">
        <v>45730</v>
      </c>
      <c r="G1979" s="3">
        <v>45738</v>
      </c>
      <c r="H1979" t="s">
        <v>74</v>
      </c>
      <c r="I1979" t="s">
        <v>25</v>
      </c>
      <c r="J1979">
        <v>3</v>
      </c>
      <c r="K1979" t="s">
        <v>4</v>
      </c>
      <c r="L1979" t="s">
        <v>316</v>
      </c>
      <c r="M1979">
        <f>[1]!orders[[#This Row],[Ship Date]]-[1]!orders[[#This Row],[Order Date]]</f>
        <v>8</v>
      </c>
      <c r="N1979">
        <f>WEEKNUM([1]!orders[[#This Row],[Order Date]])</f>
        <v>11</v>
      </c>
      <c r="O1979" t="str" cm="1">
        <f t="array" ref="O1979">_xlfn.IFS([1]!orders[[#This Row],[Customer Gender]]="M","Male", [1]!orders[[#This Row],[Customer Gender]]="F","Female", [1]!orders[[#This Row],[Customer Gender]]="O","Other", TRUE,"Unknown")</f>
        <v>Other</v>
      </c>
    </row>
    <row r="1980" spans="1:15" x14ac:dyDescent="0.25">
      <c r="A1980" s="1" t="s">
        <v>2065</v>
      </c>
      <c r="B1980" s="1" t="s">
        <v>29</v>
      </c>
      <c r="C1980" s="1">
        <v>3</v>
      </c>
      <c r="D1980" s="1">
        <v>33.5</v>
      </c>
      <c r="E1980" s="1">
        <v>100.5</v>
      </c>
      <c r="F1980" s="2">
        <v>45730</v>
      </c>
      <c r="G1980" s="2">
        <v>45742</v>
      </c>
      <c r="H1980" s="1" t="s">
        <v>8</v>
      </c>
      <c r="I1980" s="1" t="s">
        <v>3</v>
      </c>
      <c r="J1980" s="1">
        <v>5</v>
      </c>
      <c r="K1980" s="1" t="s">
        <v>4</v>
      </c>
      <c r="L1980" s="1" t="s">
        <v>132</v>
      </c>
      <c r="M1980" s="1">
        <f>[1]!orders[[#This Row],[Ship Date]]-[1]!orders[[#This Row],[Order Date]]</f>
        <v>12</v>
      </c>
      <c r="N1980" s="1">
        <f>WEEKNUM([1]!orders[[#This Row],[Order Date]])</f>
        <v>11</v>
      </c>
      <c r="O1980" t="str" cm="1">
        <f t="array" ref="O1980">_xlfn.IFS([1]!orders[[#This Row],[Customer Gender]]="M","Male", [1]!orders[[#This Row],[Customer Gender]]="F","Female", [1]!orders[[#This Row],[Customer Gender]]="O","Other", TRUE,"Unknown")</f>
        <v>Male</v>
      </c>
    </row>
    <row r="1981" spans="1:15" x14ac:dyDescent="0.25">
      <c r="A1981" t="s">
        <v>2066</v>
      </c>
      <c r="B1981" t="s">
        <v>17</v>
      </c>
      <c r="C1981">
        <v>10</v>
      </c>
      <c r="D1981">
        <v>36</v>
      </c>
      <c r="E1981">
        <v>360</v>
      </c>
      <c r="F1981" s="3">
        <v>45730</v>
      </c>
      <c r="G1981" s="3">
        <v>45730</v>
      </c>
      <c r="H1981" t="s">
        <v>8</v>
      </c>
      <c r="I1981" t="s">
        <v>36</v>
      </c>
      <c r="J1981">
        <v>5</v>
      </c>
      <c r="K1981" t="s">
        <v>4</v>
      </c>
      <c r="L1981" t="s">
        <v>18</v>
      </c>
      <c r="M1981">
        <f>[1]!orders[[#This Row],[Ship Date]]-[1]!orders[[#This Row],[Order Date]]</f>
        <v>0</v>
      </c>
      <c r="N1981">
        <f>WEEKNUM([1]!orders[[#This Row],[Order Date]])</f>
        <v>11</v>
      </c>
      <c r="O1981" t="str" cm="1">
        <f t="array" ref="O1981">_xlfn.IFS([1]!orders[[#This Row],[Customer Gender]]="M","Male", [1]!orders[[#This Row],[Customer Gender]]="F","Female", [1]!orders[[#This Row],[Customer Gender]]="O","Other", TRUE,"Unknown")</f>
        <v>Male</v>
      </c>
    </row>
    <row r="1982" spans="1:15" x14ac:dyDescent="0.25">
      <c r="A1982" s="1" t="s">
        <v>2067</v>
      </c>
      <c r="B1982" s="1" t="s">
        <v>113</v>
      </c>
      <c r="C1982" s="1">
        <v>3</v>
      </c>
      <c r="D1982" s="1">
        <v>57.3</v>
      </c>
      <c r="E1982" s="1">
        <v>171.89999999999998</v>
      </c>
      <c r="F1982" s="2">
        <v>45730</v>
      </c>
      <c r="G1982" s="2">
        <v>45734</v>
      </c>
      <c r="H1982" s="1" t="s">
        <v>12</v>
      </c>
      <c r="I1982" s="1" t="s">
        <v>3</v>
      </c>
      <c r="J1982" s="1">
        <v>5</v>
      </c>
      <c r="K1982" s="1" t="s">
        <v>4</v>
      </c>
      <c r="L1982" s="1" t="s">
        <v>18</v>
      </c>
      <c r="M1982" s="1">
        <f>[1]!orders[[#This Row],[Ship Date]]-[1]!orders[[#This Row],[Order Date]]</f>
        <v>4</v>
      </c>
      <c r="N1982" s="1">
        <f>WEEKNUM([1]!orders[[#This Row],[Order Date]])</f>
        <v>11</v>
      </c>
      <c r="O1982" t="str" cm="1">
        <f t="array" ref="O1982">_xlfn.IFS([1]!orders[[#This Row],[Customer Gender]]="M","Male", [1]!orders[[#This Row],[Customer Gender]]="F","Female", [1]!orders[[#This Row],[Customer Gender]]="O","Other", TRUE,"Unknown")</f>
        <v>Female</v>
      </c>
    </row>
    <row r="1983" spans="1:15" x14ac:dyDescent="0.25">
      <c r="A1983" t="s">
        <v>2068</v>
      </c>
      <c r="B1983" t="s">
        <v>7</v>
      </c>
      <c r="C1983">
        <v>1</v>
      </c>
      <c r="D1983">
        <v>81.400000000000006</v>
      </c>
      <c r="E1983">
        <v>81.400000000000006</v>
      </c>
      <c r="F1983" s="3">
        <v>45730</v>
      </c>
      <c r="G1983" s="3">
        <v>45731</v>
      </c>
      <c r="H1983" t="s">
        <v>12</v>
      </c>
      <c r="I1983" t="s">
        <v>25</v>
      </c>
      <c r="J1983">
        <v>5</v>
      </c>
      <c r="K1983" t="s">
        <v>4</v>
      </c>
      <c r="L1983" t="s">
        <v>18</v>
      </c>
      <c r="M1983">
        <f>[1]!orders[[#This Row],[Ship Date]]-[1]!orders[[#This Row],[Order Date]]</f>
        <v>1</v>
      </c>
      <c r="N1983">
        <f>WEEKNUM([1]!orders[[#This Row],[Order Date]])</f>
        <v>11</v>
      </c>
      <c r="O1983" t="str" cm="1">
        <f t="array" ref="O1983">_xlfn.IFS([1]!orders[[#This Row],[Customer Gender]]="M","Male", [1]!orders[[#This Row],[Customer Gender]]="F","Female", [1]!orders[[#This Row],[Customer Gender]]="O","Other", TRUE,"Unknown")</f>
        <v>Female</v>
      </c>
    </row>
    <row r="1984" spans="1:15" x14ac:dyDescent="0.25">
      <c r="A1984" s="1" t="s">
        <v>2069</v>
      </c>
      <c r="B1984" s="1" t="s">
        <v>39</v>
      </c>
      <c r="C1984" s="1">
        <v>2</v>
      </c>
      <c r="D1984" s="1">
        <v>35.299999999999997</v>
      </c>
      <c r="E1984" s="1">
        <v>70.599999999999994</v>
      </c>
      <c r="F1984" s="2">
        <v>45730</v>
      </c>
      <c r="G1984" s="2">
        <v>45734</v>
      </c>
      <c r="H1984" s="1" t="s">
        <v>8</v>
      </c>
      <c r="I1984" s="1" t="s">
        <v>3</v>
      </c>
      <c r="J1984" s="1">
        <v>5</v>
      </c>
      <c r="K1984" s="1" t="s">
        <v>4</v>
      </c>
      <c r="L1984" s="1" t="s">
        <v>18</v>
      </c>
      <c r="M1984" s="1">
        <f>[1]!orders[[#This Row],[Ship Date]]-[1]!orders[[#This Row],[Order Date]]</f>
        <v>4</v>
      </c>
      <c r="N1984" s="1">
        <f>WEEKNUM([1]!orders[[#This Row],[Order Date]])</f>
        <v>11</v>
      </c>
      <c r="O1984" t="str" cm="1">
        <f t="array" ref="O1984">_xlfn.IFS([1]!orders[[#This Row],[Customer Gender]]="M","Male", [1]!orders[[#This Row],[Customer Gender]]="F","Female", [1]!orders[[#This Row],[Customer Gender]]="O","Other", TRUE,"Unknown")</f>
        <v>Male</v>
      </c>
    </row>
    <row r="1985" spans="1:15" x14ac:dyDescent="0.25">
      <c r="A1985" t="s">
        <v>2070</v>
      </c>
      <c r="B1985" t="s">
        <v>15</v>
      </c>
      <c r="C1985">
        <v>1</v>
      </c>
      <c r="D1985">
        <v>36.1</v>
      </c>
      <c r="E1985">
        <v>36.1</v>
      </c>
      <c r="F1985" s="3">
        <v>45730</v>
      </c>
      <c r="G1985" s="3">
        <v>45731</v>
      </c>
      <c r="H1985" t="s">
        <v>12</v>
      </c>
      <c r="I1985" t="s">
        <v>55</v>
      </c>
      <c r="J1985">
        <v>4</v>
      </c>
      <c r="K1985" t="s">
        <v>4</v>
      </c>
      <c r="L1985" t="s">
        <v>18</v>
      </c>
      <c r="M1985">
        <f>[1]!orders[[#This Row],[Ship Date]]-[1]!orders[[#This Row],[Order Date]]</f>
        <v>1</v>
      </c>
      <c r="N1985">
        <f>WEEKNUM([1]!orders[[#This Row],[Order Date]])</f>
        <v>11</v>
      </c>
      <c r="O1985" t="str" cm="1">
        <f t="array" ref="O1985">_xlfn.IFS([1]!orders[[#This Row],[Customer Gender]]="M","Male", [1]!orders[[#This Row],[Customer Gender]]="F","Female", [1]!orders[[#This Row],[Customer Gender]]="O","Other", TRUE,"Unknown")</f>
        <v>Female</v>
      </c>
    </row>
    <row r="1986" spans="1:15" x14ac:dyDescent="0.25">
      <c r="A1986" s="1" t="s">
        <v>2071</v>
      </c>
      <c r="B1986" s="1" t="s">
        <v>7</v>
      </c>
      <c r="C1986" s="1">
        <v>2</v>
      </c>
      <c r="D1986" s="1">
        <v>36.700000000000003</v>
      </c>
      <c r="E1986" s="1">
        <v>73.400000000000006</v>
      </c>
      <c r="F1986" s="2">
        <v>45730</v>
      </c>
      <c r="G1986" s="2">
        <v>45732</v>
      </c>
      <c r="H1986" s="1" t="s">
        <v>12</v>
      </c>
      <c r="I1986" s="1" t="s">
        <v>3</v>
      </c>
      <c r="J1986" s="1">
        <v>5</v>
      </c>
      <c r="K1986" s="1" t="s">
        <v>4</v>
      </c>
      <c r="L1986" s="1" t="s">
        <v>18</v>
      </c>
      <c r="M1986" s="1">
        <f>[1]!orders[[#This Row],[Ship Date]]-[1]!orders[[#This Row],[Order Date]]</f>
        <v>2</v>
      </c>
      <c r="N1986" s="1">
        <f>WEEKNUM([1]!orders[[#This Row],[Order Date]])</f>
        <v>11</v>
      </c>
      <c r="O1986" t="str" cm="1">
        <f t="array" ref="O1986">_xlfn.IFS([1]!orders[[#This Row],[Customer Gender]]="M","Male", [1]!orders[[#This Row],[Customer Gender]]="F","Female", [1]!orders[[#This Row],[Customer Gender]]="O","Other", TRUE,"Unknown")</f>
        <v>Female</v>
      </c>
    </row>
    <row r="1987" spans="1:15" x14ac:dyDescent="0.25">
      <c r="A1987" t="s">
        <v>2072</v>
      </c>
      <c r="B1987" t="s">
        <v>39</v>
      </c>
      <c r="C1987">
        <v>1</v>
      </c>
      <c r="D1987">
        <v>20.9</v>
      </c>
      <c r="E1987">
        <v>20.9</v>
      </c>
      <c r="F1987" s="3">
        <v>45730</v>
      </c>
      <c r="G1987" s="3">
        <v>45732</v>
      </c>
      <c r="H1987" t="s">
        <v>12</v>
      </c>
      <c r="I1987" t="s">
        <v>3</v>
      </c>
      <c r="J1987">
        <v>2</v>
      </c>
      <c r="K1987" t="s">
        <v>4</v>
      </c>
      <c r="L1987" t="s">
        <v>18</v>
      </c>
      <c r="M1987">
        <f>[1]!orders[[#This Row],[Ship Date]]-[1]!orders[[#This Row],[Order Date]]</f>
        <v>2</v>
      </c>
      <c r="N1987">
        <f>WEEKNUM([1]!orders[[#This Row],[Order Date]])</f>
        <v>11</v>
      </c>
      <c r="O1987" t="str" cm="1">
        <f t="array" ref="O1987">_xlfn.IFS([1]!orders[[#This Row],[Customer Gender]]="M","Male", [1]!orders[[#This Row],[Customer Gender]]="F","Female", [1]!orders[[#This Row],[Customer Gender]]="O","Other", TRUE,"Unknown")</f>
        <v>Female</v>
      </c>
    </row>
    <row r="1988" spans="1:15" x14ac:dyDescent="0.25">
      <c r="A1988" s="1" t="s">
        <v>2073</v>
      </c>
      <c r="B1988" s="1" t="s">
        <v>54</v>
      </c>
      <c r="C1988" s="1">
        <v>3</v>
      </c>
      <c r="D1988" s="1">
        <v>58.8</v>
      </c>
      <c r="E1988" s="1">
        <v>176.39999999999998</v>
      </c>
      <c r="F1988" s="2">
        <v>45730</v>
      </c>
      <c r="G1988" s="2">
        <v>45734</v>
      </c>
      <c r="H1988" s="1" t="s">
        <v>8</v>
      </c>
      <c r="I1988" s="1" t="s">
        <v>3</v>
      </c>
      <c r="J1988" s="1">
        <v>5</v>
      </c>
      <c r="K1988" s="1" t="s">
        <v>4</v>
      </c>
      <c r="L1988" s="1" t="s">
        <v>173</v>
      </c>
      <c r="M1988" s="1">
        <f>[1]!orders[[#This Row],[Ship Date]]-[1]!orders[[#This Row],[Order Date]]</f>
        <v>4</v>
      </c>
      <c r="N1988" s="1">
        <f>WEEKNUM([1]!orders[[#This Row],[Order Date]])</f>
        <v>11</v>
      </c>
      <c r="O1988" t="str" cm="1">
        <f t="array" ref="O1988">_xlfn.IFS([1]!orders[[#This Row],[Customer Gender]]="M","Male", [1]!orders[[#This Row],[Customer Gender]]="F","Female", [1]!orders[[#This Row],[Customer Gender]]="O","Other", TRUE,"Unknown")</f>
        <v>Male</v>
      </c>
    </row>
    <row r="1989" spans="1:15" x14ac:dyDescent="0.25">
      <c r="A1989" t="s">
        <v>2074</v>
      </c>
      <c r="B1989" t="s">
        <v>11</v>
      </c>
      <c r="C1989">
        <v>3</v>
      </c>
      <c r="D1989">
        <v>97.6</v>
      </c>
      <c r="E1989">
        <v>292.79999999999995</v>
      </c>
      <c r="F1989" s="3">
        <v>45731</v>
      </c>
      <c r="G1989" s="3">
        <v>45733</v>
      </c>
      <c r="H1989" t="s">
        <v>2</v>
      </c>
      <c r="I1989" t="s">
        <v>3</v>
      </c>
      <c r="J1989">
        <v>4</v>
      </c>
      <c r="K1989" t="s">
        <v>4</v>
      </c>
      <c r="L1989" t="s">
        <v>40</v>
      </c>
      <c r="M1989">
        <f>[1]!orders[[#This Row],[Ship Date]]-[1]!orders[[#This Row],[Order Date]]</f>
        <v>2</v>
      </c>
      <c r="N1989">
        <f>WEEKNUM([1]!orders[[#This Row],[Order Date]])</f>
        <v>11</v>
      </c>
      <c r="O1989" t="str" cm="1">
        <f t="array" ref="O1989">_xlfn.IFS([1]!orders[[#This Row],[Customer Gender]]="M","Male", [1]!orders[[#This Row],[Customer Gender]]="F","Female", [1]!orders[[#This Row],[Customer Gender]]="O","Other", TRUE,"Unknown")</f>
        <v>Unknown</v>
      </c>
    </row>
    <row r="1990" spans="1:15" x14ac:dyDescent="0.25">
      <c r="A1990" s="1" t="s">
        <v>2075</v>
      </c>
      <c r="B1990" s="1" t="s">
        <v>7</v>
      </c>
      <c r="C1990" s="1">
        <v>2</v>
      </c>
      <c r="D1990" s="1">
        <v>58.7</v>
      </c>
      <c r="E1990" s="1">
        <v>117.4</v>
      </c>
      <c r="F1990" s="2">
        <v>45731</v>
      </c>
      <c r="G1990" s="2">
        <v>45734</v>
      </c>
      <c r="H1990" s="1" t="s">
        <v>12</v>
      </c>
      <c r="I1990" s="1" t="s">
        <v>3</v>
      </c>
      <c r="J1990" s="1">
        <v>3</v>
      </c>
      <c r="K1990" s="1" t="s">
        <v>4</v>
      </c>
      <c r="L1990" s="1" t="s">
        <v>40</v>
      </c>
      <c r="M1990" s="1">
        <f>[1]!orders[[#This Row],[Ship Date]]-[1]!orders[[#This Row],[Order Date]]</f>
        <v>3</v>
      </c>
      <c r="N1990" s="1">
        <f>WEEKNUM([1]!orders[[#This Row],[Order Date]])</f>
        <v>11</v>
      </c>
      <c r="O1990" t="str" cm="1">
        <f t="array" ref="O1990">_xlfn.IFS([1]!orders[[#This Row],[Customer Gender]]="M","Male", [1]!orders[[#This Row],[Customer Gender]]="F","Female", [1]!orders[[#This Row],[Customer Gender]]="O","Other", TRUE,"Unknown")</f>
        <v>Female</v>
      </c>
    </row>
    <row r="1991" spans="1:15" x14ac:dyDescent="0.25">
      <c r="A1991" t="s">
        <v>2076</v>
      </c>
      <c r="B1991" t="s">
        <v>24</v>
      </c>
      <c r="C1991">
        <v>5</v>
      </c>
      <c r="D1991">
        <v>71.900000000000006</v>
      </c>
      <c r="E1991">
        <v>359.5</v>
      </c>
      <c r="F1991" s="3">
        <v>45731</v>
      </c>
      <c r="G1991" s="3">
        <v>45732</v>
      </c>
      <c r="H1991" t="s">
        <v>2</v>
      </c>
      <c r="I1991" t="s">
        <v>3</v>
      </c>
      <c r="J1991">
        <v>3</v>
      </c>
      <c r="K1991" t="s">
        <v>4</v>
      </c>
      <c r="L1991" t="s">
        <v>40</v>
      </c>
      <c r="M1991">
        <f>[1]!orders[[#This Row],[Ship Date]]-[1]!orders[[#This Row],[Order Date]]</f>
        <v>1</v>
      </c>
      <c r="N1991">
        <f>WEEKNUM([1]!orders[[#This Row],[Order Date]])</f>
        <v>11</v>
      </c>
      <c r="O1991" t="str" cm="1">
        <f t="array" ref="O1991">_xlfn.IFS([1]!orders[[#This Row],[Customer Gender]]="M","Male", [1]!orders[[#This Row],[Customer Gender]]="F","Female", [1]!orders[[#This Row],[Customer Gender]]="O","Other", TRUE,"Unknown")</f>
        <v>Unknown</v>
      </c>
    </row>
    <row r="1992" spans="1:15" x14ac:dyDescent="0.25">
      <c r="A1992" s="1" t="s">
        <v>2077</v>
      </c>
      <c r="B1992" s="1" t="s">
        <v>7</v>
      </c>
      <c r="C1992" s="1">
        <v>2</v>
      </c>
      <c r="D1992" s="1">
        <v>62.4</v>
      </c>
      <c r="E1992" s="1">
        <v>124.8</v>
      </c>
      <c r="F1992" s="2">
        <v>45731</v>
      </c>
      <c r="G1992" s="2">
        <v>45733</v>
      </c>
      <c r="H1992" s="1" t="s">
        <v>2</v>
      </c>
      <c r="I1992" s="1" t="s">
        <v>3</v>
      </c>
      <c r="J1992" s="1">
        <v>3</v>
      </c>
      <c r="K1992" s="1" t="s">
        <v>4</v>
      </c>
      <c r="L1992" s="1" t="s">
        <v>47</v>
      </c>
      <c r="M1992" s="1">
        <f>[1]!orders[[#This Row],[Ship Date]]-[1]!orders[[#This Row],[Order Date]]</f>
        <v>2</v>
      </c>
      <c r="N1992" s="1">
        <f>WEEKNUM([1]!orders[[#This Row],[Order Date]])</f>
        <v>11</v>
      </c>
      <c r="O1992" t="str" cm="1">
        <f t="array" ref="O1992">_xlfn.IFS([1]!orders[[#This Row],[Customer Gender]]="M","Male", [1]!orders[[#This Row],[Customer Gender]]="F","Female", [1]!orders[[#This Row],[Customer Gender]]="O","Other", TRUE,"Unknown")</f>
        <v>Unknown</v>
      </c>
    </row>
    <row r="1993" spans="1:15" x14ac:dyDescent="0.25">
      <c r="A1993" t="s">
        <v>2078</v>
      </c>
      <c r="B1993" t="s">
        <v>24</v>
      </c>
      <c r="C1993">
        <v>16</v>
      </c>
      <c r="D1993">
        <v>53.8</v>
      </c>
      <c r="E1993">
        <v>860.8</v>
      </c>
      <c r="F1993" s="3">
        <v>45731</v>
      </c>
      <c r="G1993" s="3">
        <v>45732</v>
      </c>
      <c r="H1993" t="s">
        <v>12</v>
      </c>
      <c r="I1993" t="s">
        <v>20</v>
      </c>
      <c r="J1993">
        <v>4</v>
      </c>
      <c r="K1993" t="s">
        <v>4</v>
      </c>
      <c r="L1993" t="s">
        <v>47</v>
      </c>
      <c r="M1993">
        <f>[1]!orders[[#This Row],[Ship Date]]-[1]!orders[[#This Row],[Order Date]]</f>
        <v>1</v>
      </c>
      <c r="N1993">
        <f>WEEKNUM([1]!orders[[#This Row],[Order Date]])</f>
        <v>11</v>
      </c>
      <c r="O1993" t="str" cm="1">
        <f t="array" ref="O1993">_xlfn.IFS([1]!orders[[#This Row],[Customer Gender]]="M","Male", [1]!orders[[#This Row],[Customer Gender]]="F","Female", [1]!orders[[#This Row],[Customer Gender]]="O","Other", TRUE,"Unknown")</f>
        <v>Female</v>
      </c>
    </row>
    <row r="1994" spans="1:15" x14ac:dyDescent="0.25">
      <c r="A1994" s="1" t="s">
        <v>2079</v>
      </c>
      <c r="B1994" s="1" t="s">
        <v>31</v>
      </c>
      <c r="C1994" s="1">
        <v>1</v>
      </c>
      <c r="D1994" s="1">
        <v>43.8</v>
      </c>
      <c r="E1994" s="1">
        <v>43.8</v>
      </c>
      <c r="F1994" s="2">
        <v>45731</v>
      </c>
      <c r="G1994" s="2">
        <v>45738</v>
      </c>
      <c r="H1994" s="1" t="s">
        <v>12</v>
      </c>
      <c r="I1994" s="1" t="s">
        <v>3</v>
      </c>
      <c r="J1994" s="1">
        <v>5</v>
      </c>
      <c r="K1994" s="1" t="s">
        <v>4</v>
      </c>
      <c r="L1994" s="1" t="s">
        <v>47</v>
      </c>
      <c r="M1994" s="1">
        <f>[1]!orders[[#This Row],[Ship Date]]-[1]!orders[[#This Row],[Order Date]]</f>
        <v>7</v>
      </c>
      <c r="N1994" s="1">
        <f>WEEKNUM([1]!orders[[#This Row],[Order Date]])</f>
        <v>11</v>
      </c>
      <c r="O1994" t="str" cm="1">
        <f t="array" ref="O1994">_xlfn.IFS([1]!orders[[#This Row],[Customer Gender]]="M","Male", [1]!orders[[#This Row],[Customer Gender]]="F","Female", [1]!orders[[#This Row],[Customer Gender]]="O","Other", TRUE,"Unknown")</f>
        <v>Female</v>
      </c>
    </row>
    <row r="1995" spans="1:15" x14ac:dyDescent="0.25">
      <c r="A1995" t="s">
        <v>2080</v>
      </c>
      <c r="B1995" t="s">
        <v>22</v>
      </c>
      <c r="C1995">
        <v>3</v>
      </c>
      <c r="D1995">
        <v>53.6</v>
      </c>
      <c r="E1995">
        <v>160.80000000000001</v>
      </c>
      <c r="F1995" s="3">
        <v>45731</v>
      </c>
      <c r="G1995" s="3">
        <v>45732</v>
      </c>
      <c r="H1995" t="s">
        <v>8</v>
      </c>
      <c r="I1995" t="s">
        <v>36</v>
      </c>
      <c r="J1995">
        <v>4</v>
      </c>
      <c r="K1995" t="s">
        <v>4</v>
      </c>
      <c r="L1995" t="s">
        <v>47</v>
      </c>
      <c r="M1995">
        <f>[1]!orders[[#This Row],[Ship Date]]-[1]!orders[[#This Row],[Order Date]]</f>
        <v>1</v>
      </c>
      <c r="N1995">
        <f>WEEKNUM([1]!orders[[#This Row],[Order Date]])</f>
        <v>11</v>
      </c>
      <c r="O1995" t="str" cm="1">
        <f t="array" ref="O1995">_xlfn.IFS([1]!orders[[#This Row],[Customer Gender]]="M","Male", [1]!orders[[#This Row],[Customer Gender]]="F","Female", [1]!orders[[#This Row],[Customer Gender]]="O","Other", TRUE,"Unknown")</f>
        <v>Male</v>
      </c>
    </row>
    <row r="1996" spans="1:15" x14ac:dyDescent="0.25">
      <c r="A1996" s="1" t="s">
        <v>2081</v>
      </c>
      <c r="B1996" s="1" t="s">
        <v>54</v>
      </c>
      <c r="C1996" s="1">
        <v>2</v>
      </c>
      <c r="D1996" s="1">
        <v>84.3</v>
      </c>
      <c r="E1996" s="1">
        <v>168.6</v>
      </c>
      <c r="F1996" s="2">
        <v>45731</v>
      </c>
      <c r="G1996" s="2">
        <v>45734</v>
      </c>
      <c r="H1996" s="1" t="s">
        <v>8</v>
      </c>
      <c r="I1996" s="1" t="s">
        <v>55</v>
      </c>
      <c r="J1996" s="1">
        <v>3</v>
      </c>
      <c r="K1996" s="1" t="s">
        <v>4</v>
      </c>
      <c r="L1996" s="1" t="s">
        <v>47</v>
      </c>
      <c r="M1996" s="1">
        <f>[1]!orders[[#This Row],[Ship Date]]-[1]!orders[[#This Row],[Order Date]]</f>
        <v>3</v>
      </c>
      <c r="N1996" s="1">
        <f>WEEKNUM([1]!orders[[#This Row],[Order Date]])</f>
        <v>11</v>
      </c>
      <c r="O1996" t="str" cm="1">
        <f t="array" ref="O1996">_xlfn.IFS([1]!orders[[#This Row],[Customer Gender]]="M","Male", [1]!orders[[#This Row],[Customer Gender]]="F","Female", [1]!orders[[#This Row],[Customer Gender]]="O","Other", TRUE,"Unknown")</f>
        <v>Male</v>
      </c>
    </row>
    <row r="1997" spans="1:15" x14ac:dyDescent="0.25">
      <c r="A1997" t="s">
        <v>2082</v>
      </c>
      <c r="B1997" t="s">
        <v>24</v>
      </c>
      <c r="C1997">
        <v>9</v>
      </c>
      <c r="D1997">
        <v>117.9</v>
      </c>
      <c r="E1997">
        <v>1061.1000000000001</v>
      </c>
      <c r="F1997" s="3">
        <v>45731</v>
      </c>
      <c r="G1997" s="3">
        <v>45732</v>
      </c>
      <c r="H1997" t="s">
        <v>12</v>
      </c>
      <c r="I1997" t="s">
        <v>20</v>
      </c>
      <c r="J1997">
        <v>5</v>
      </c>
      <c r="K1997" t="s">
        <v>4</v>
      </c>
      <c r="L1997" t="s">
        <v>47</v>
      </c>
      <c r="M1997">
        <f>[1]!orders[[#This Row],[Ship Date]]-[1]!orders[[#This Row],[Order Date]]</f>
        <v>1</v>
      </c>
      <c r="N1997">
        <f>WEEKNUM([1]!orders[[#This Row],[Order Date]])</f>
        <v>11</v>
      </c>
      <c r="O1997" t="str" cm="1">
        <f t="array" ref="O1997">_xlfn.IFS([1]!orders[[#This Row],[Customer Gender]]="M","Male", [1]!orders[[#This Row],[Customer Gender]]="F","Female", [1]!orders[[#This Row],[Customer Gender]]="O","Other", TRUE,"Unknown")</f>
        <v>Female</v>
      </c>
    </row>
    <row r="1998" spans="1:15" x14ac:dyDescent="0.25">
      <c r="A1998" s="1" t="s">
        <v>2083</v>
      </c>
      <c r="B1998" s="1" t="s">
        <v>17</v>
      </c>
      <c r="C1998" s="1">
        <v>8</v>
      </c>
      <c r="D1998" s="1">
        <v>30</v>
      </c>
      <c r="E1998" s="1">
        <v>240</v>
      </c>
      <c r="F1998" s="2">
        <v>45731</v>
      </c>
      <c r="G1998" s="2">
        <v>45732</v>
      </c>
      <c r="H1998" s="1" t="s">
        <v>12</v>
      </c>
      <c r="I1998" s="1" t="s">
        <v>20</v>
      </c>
      <c r="J1998" s="1">
        <v>4</v>
      </c>
      <c r="K1998" s="1" t="s">
        <v>4</v>
      </c>
      <c r="L1998" s="1" t="s">
        <v>186</v>
      </c>
      <c r="M1998" s="1">
        <f>[1]!orders[[#This Row],[Ship Date]]-[1]!orders[[#This Row],[Order Date]]</f>
        <v>1</v>
      </c>
      <c r="N1998" s="1">
        <f>WEEKNUM([1]!orders[[#This Row],[Order Date]])</f>
        <v>11</v>
      </c>
      <c r="O1998" t="str" cm="1">
        <f t="array" ref="O1998">_xlfn.IFS([1]!orders[[#This Row],[Customer Gender]]="M","Male", [1]!orders[[#This Row],[Customer Gender]]="F","Female", [1]!orders[[#This Row],[Customer Gender]]="O","Other", TRUE,"Unknown")</f>
        <v>Female</v>
      </c>
    </row>
    <row r="1999" spans="1:15" x14ac:dyDescent="0.25">
      <c r="A1999" t="s">
        <v>2084</v>
      </c>
      <c r="B1999" t="s">
        <v>66</v>
      </c>
      <c r="C1999">
        <v>3</v>
      </c>
      <c r="D1999">
        <v>37.299999999999997</v>
      </c>
      <c r="E1999">
        <v>111.89999999999999</v>
      </c>
      <c r="F1999" s="3">
        <v>45731</v>
      </c>
      <c r="G1999" s="3">
        <v>45732</v>
      </c>
      <c r="H1999" t="s">
        <v>8</v>
      </c>
      <c r="I1999" t="s">
        <v>25</v>
      </c>
      <c r="J1999">
        <v>4</v>
      </c>
      <c r="K1999" t="s">
        <v>4</v>
      </c>
      <c r="L1999" t="s">
        <v>57</v>
      </c>
      <c r="M1999">
        <f>[1]!orders[[#This Row],[Ship Date]]-[1]!orders[[#This Row],[Order Date]]</f>
        <v>1</v>
      </c>
      <c r="N1999">
        <f>WEEKNUM([1]!orders[[#This Row],[Order Date]])</f>
        <v>11</v>
      </c>
      <c r="O1999" t="str" cm="1">
        <f t="array" ref="O1999">_xlfn.IFS([1]!orders[[#This Row],[Customer Gender]]="M","Male", [1]!orders[[#This Row],[Customer Gender]]="F","Female", [1]!orders[[#This Row],[Customer Gender]]="O","Other", TRUE,"Unknown")</f>
        <v>Male</v>
      </c>
    </row>
    <row r="2000" spans="1:15" x14ac:dyDescent="0.25">
      <c r="A2000" s="1" t="s">
        <v>2085</v>
      </c>
      <c r="B2000" s="1" t="s">
        <v>17</v>
      </c>
      <c r="C2000" s="1">
        <v>9</v>
      </c>
      <c r="D2000" s="1">
        <v>25.1</v>
      </c>
      <c r="E2000" s="1">
        <v>225.9</v>
      </c>
      <c r="F2000" s="2">
        <v>45731</v>
      </c>
      <c r="G2000" s="2">
        <v>45733</v>
      </c>
      <c r="H2000" s="1" t="s">
        <v>8</v>
      </c>
      <c r="I2000" s="1" t="s">
        <v>20</v>
      </c>
      <c r="J2000" s="1">
        <v>5</v>
      </c>
      <c r="K2000" s="1" t="s">
        <v>4</v>
      </c>
      <c r="L2000" s="1" t="s">
        <v>62</v>
      </c>
      <c r="M2000" s="1">
        <f>[1]!orders[[#This Row],[Ship Date]]-[1]!orders[[#This Row],[Order Date]]</f>
        <v>2</v>
      </c>
      <c r="N2000" s="1">
        <f>WEEKNUM([1]!orders[[#This Row],[Order Date]])</f>
        <v>11</v>
      </c>
      <c r="O2000" t="str" cm="1">
        <f t="array" ref="O2000">_xlfn.IFS([1]!orders[[#This Row],[Customer Gender]]="M","Male", [1]!orders[[#This Row],[Customer Gender]]="F","Female", [1]!orders[[#This Row],[Customer Gender]]="O","Other", TRUE,"Unknown")</f>
        <v>Male</v>
      </c>
    </row>
    <row r="2001" spans="1:15" x14ac:dyDescent="0.25">
      <c r="A2001" t="s">
        <v>2086</v>
      </c>
      <c r="B2001" t="s">
        <v>29</v>
      </c>
      <c r="C2001">
        <v>11</v>
      </c>
      <c r="D2001">
        <v>36</v>
      </c>
      <c r="E2001">
        <v>396</v>
      </c>
      <c r="F2001" s="3">
        <v>45731</v>
      </c>
      <c r="G2001" s="3">
        <v>45741</v>
      </c>
      <c r="H2001" t="s">
        <v>8</v>
      </c>
      <c r="I2001" t="s">
        <v>20</v>
      </c>
      <c r="J2001">
        <v>4</v>
      </c>
      <c r="K2001" t="s">
        <v>4</v>
      </c>
      <c r="L2001" t="s">
        <v>93</v>
      </c>
      <c r="M2001">
        <f>[1]!orders[[#This Row],[Ship Date]]-[1]!orders[[#This Row],[Order Date]]</f>
        <v>10</v>
      </c>
      <c r="N2001">
        <f>WEEKNUM([1]!orders[[#This Row],[Order Date]])</f>
        <v>11</v>
      </c>
      <c r="O2001" t="str" cm="1">
        <f t="array" ref="O2001">_xlfn.IFS([1]!orders[[#This Row],[Customer Gender]]="M","Male", [1]!orders[[#This Row],[Customer Gender]]="F","Female", [1]!orders[[#This Row],[Customer Gender]]="O","Other", TRUE,"Unknown")</f>
        <v>Male</v>
      </c>
    </row>
    <row r="2002" spans="1:15" x14ac:dyDescent="0.25">
      <c r="A2002" s="1" t="s">
        <v>2087</v>
      </c>
      <c r="B2002" s="1" t="s">
        <v>113</v>
      </c>
      <c r="C2002" s="1">
        <v>3</v>
      </c>
      <c r="D2002" s="1">
        <v>48.5</v>
      </c>
      <c r="E2002" s="1">
        <v>145.5</v>
      </c>
      <c r="F2002" s="2">
        <v>45731</v>
      </c>
      <c r="G2002" s="2">
        <v>45735</v>
      </c>
      <c r="H2002" s="1" t="s">
        <v>12</v>
      </c>
      <c r="I2002" s="1" t="s">
        <v>20</v>
      </c>
      <c r="J2002" s="1">
        <v>4</v>
      </c>
      <c r="K2002" s="1" t="s">
        <v>4</v>
      </c>
      <c r="L2002" s="1" t="s">
        <v>95</v>
      </c>
      <c r="M2002" s="1">
        <f>[1]!orders[[#This Row],[Ship Date]]-[1]!orders[[#This Row],[Order Date]]</f>
        <v>4</v>
      </c>
      <c r="N2002" s="1">
        <f>WEEKNUM([1]!orders[[#This Row],[Order Date]])</f>
        <v>11</v>
      </c>
      <c r="O2002" t="str" cm="1">
        <f t="array" ref="O2002">_xlfn.IFS([1]!orders[[#This Row],[Customer Gender]]="M","Male", [1]!orders[[#This Row],[Customer Gender]]="F","Female", [1]!orders[[#This Row],[Customer Gender]]="O","Other", TRUE,"Unknown")</f>
        <v>Female</v>
      </c>
    </row>
    <row r="2003" spans="1:15" x14ac:dyDescent="0.25">
      <c r="A2003" t="s">
        <v>2088</v>
      </c>
      <c r="B2003" t="s">
        <v>120</v>
      </c>
      <c r="C2003">
        <v>6</v>
      </c>
      <c r="D2003">
        <v>21.1</v>
      </c>
      <c r="E2003">
        <v>126.60000000000001</v>
      </c>
      <c r="F2003" s="3">
        <v>45731</v>
      </c>
      <c r="G2003" s="3">
        <v>45732</v>
      </c>
      <c r="H2003" t="s">
        <v>8</v>
      </c>
      <c r="I2003" t="s">
        <v>20</v>
      </c>
      <c r="J2003">
        <v>5</v>
      </c>
      <c r="K2003" t="s">
        <v>4</v>
      </c>
      <c r="L2003" t="s">
        <v>100</v>
      </c>
      <c r="M2003">
        <f>[1]!orders[[#This Row],[Ship Date]]-[1]!orders[[#This Row],[Order Date]]</f>
        <v>1</v>
      </c>
      <c r="N2003">
        <f>WEEKNUM([1]!orders[[#This Row],[Order Date]])</f>
        <v>11</v>
      </c>
      <c r="O2003" t="str" cm="1">
        <f t="array" ref="O2003">_xlfn.IFS([1]!orders[[#This Row],[Customer Gender]]="M","Male", [1]!orders[[#This Row],[Customer Gender]]="F","Female", [1]!orders[[#This Row],[Customer Gender]]="O","Other", TRUE,"Unknown")</f>
        <v>Male</v>
      </c>
    </row>
    <row r="2004" spans="1:15" x14ac:dyDescent="0.25">
      <c r="A2004" s="1" t="s">
        <v>2089</v>
      </c>
      <c r="B2004" s="1" t="s">
        <v>108</v>
      </c>
      <c r="C2004" s="1">
        <v>14</v>
      </c>
      <c r="D2004" s="1">
        <v>43.2</v>
      </c>
      <c r="E2004" s="1">
        <v>604.80000000000007</v>
      </c>
      <c r="F2004" s="2">
        <v>45731</v>
      </c>
      <c r="G2004" s="2">
        <v>45732</v>
      </c>
      <c r="H2004" s="1" t="s">
        <v>74</v>
      </c>
      <c r="I2004" s="1" t="s">
        <v>3</v>
      </c>
      <c r="J2004" s="1">
        <v>3</v>
      </c>
      <c r="K2004" s="1" t="s">
        <v>4</v>
      </c>
      <c r="L2004" s="1" t="s">
        <v>100</v>
      </c>
      <c r="M2004" s="1">
        <f>[1]!orders[[#This Row],[Ship Date]]-[1]!orders[[#This Row],[Order Date]]</f>
        <v>1</v>
      </c>
      <c r="N2004" s="1">
        <f>WEEKNUM([1]!orders[[#This Row],[Order Date]])</f>
        <v>11</v>
      </c>
      <c r="O2004" t="str" cm="1">
        <f t="array" ref="O2004">_xlfn.IFS([1]!orders[[#This Row],[Customer Gender]]="M","Male", [1]!orders[[#This Row],[Customer Gender]]="F","Female", [1]!orders[[#This Row],[Customer Gender]]="O","Other", TRUE,"Unknown")</f>
        <v>Other</v>
      </c>
    </row>
    <row r="2005" spans="1:15" x14ac:dyDescent="0.25">
      <c r="A2005" t="s">
        <v>2090</v>
      </c>
      <c r="B2005" t="s">
        <v>31</v>
      </c>
      <c r="C2005">
        <v>2</v>
      </c>
      <c r="D2005">
        <v>21.1</v>
      </c>
      <c r="E2005">
        <v>42.2</v>
      </c>
      <c r="F2005" s="3">
        <v>45731</v>
      </c>
      <c r="G2005" s="3">
        <v>45732</v>
      </c>
      <c r="H2005" t="s">
        <v>2</v>
      </c>
      <c r="I2005" t="s">
        <v>36</v>
      </c>
      <c r="J2005">
        <v>3</v>
      </c>
      <c r="K2005" t="s">
        <v>4</v>
      </c>
      <c r="L2005" t="s">
        <v>100</v>
      </c>
      <c r="M2005">
        <f>[1]!orders[[#This Row],[Ship Date]]-[1]!orders[[#This Row],[Order Date]]</f>
        <v>1</v>
      </c>
      <c r="N2005">
        <f>WEEKNUM([1]!orders[[#This Row],[Order Date]])</f>
        <v>11</v>
      </c>
      <c r="O2005" t="str" cm="1">
        <f t="array" ref="O2005">_xlfn.IFS([1]!orders[[#This Row],[Customer Gender]]="M","Male", [1]!orders[[#This Row],[Customer Gender]]="F","Female", [1]!orders[[#This Row],[Customer Gender]]="O","Other", TRUE,"Unknown")</f>
        <v>Unknown</v>
      </c>
    </row>
    <row r="2006" spans="1:15" x14ac:dyDescent="0.25">
      <c r="A2006" s="1" t="s">
        <v>2091</v>
      </c>
      <c r="B2006" s="1" t="s">
        <v>24</v>
      </c>
      <c r="C2006" s="1">
        <v>4</v>
      </c>
      <c r="D2006" s="1">
        <v>41.3</v>
      </c>
      <c r="E2006" s="1">
        <v>165.2</v>
      </c>
      <c r="F2006" s="2">
        <v>45731</v>
      </c>
      <c r="G2006" s="2">
        <v>45733</v>
      </c>
      <c r="H2006" s="1" t="s">
        <v>12</v>
      </c>
      <c r="I2006" s="1" t="s">
        <v>36</v>
      </c>
      <c r="J2006" s="1">
        <v>5</v>
      </c>
      <c r="K2006" s="1" t="s">
        <v>4</v>
      </c>
      <c r="L2006" s="1" t="s">
        <v>9</v>
      </c>
      <c r="M2006" s="1">
        <f>[1]!orders[[#This Row],[Ship Date]]-[1]!orders[[#This Row],[Order Date]]</f>
        <v>2</v>
      </c>
      <c r="N2006" s="1">
        <f>WEEKNUM([1]!orders[[#This Row],[Order Date]])</f>
        <v>11</v>
      </c>
      <c r="O2006" t="str" cm="1">
        <f t="array" ref="O2006">_xlfn.IFS([1]!orders[[#This Row],[Customer Gender]]="M","Male", [1]!orders[[#This Row],[Customer Gender]]="F","Female", [1]!orders[[#This Row],[Customer Gender]]="O","Other", TRUE,"Unknown")</f>
        <v>Female</v>
      </c>
    </row>
    <row r="2007" spans="1:15" x14ac:dyDescent="0.25">
      <c r="A2007" t="s">
        <v>2092</v>
      </c>
      <c r="B2007" t="s">
        <v>29</v>
      </c>
      <c r="C2007">
        <v>2</v>
      </c>
      <c r="D2007">
        <v>15.3</v>
      </c>
      <c r="E2007">
        <v>30.6</v>
      </c>
      <c r="F2007" s="3">
        <v>45731</v>
      </c>
      <c r="G2007" s="3">
        <v>45734</v>
      </c>
      <c r="H2007" t="s">
        <v>2</v>
      </c>
      <c r="I2007" t="s">
        <v>25</v>
      </c>
      <c r="J2007">
        <v>5</v>
      </c>
      <c r="K2007" t="s">
        <v>4</v>
      </c>
      <c r="L2007" t="s">
        <v>9</v>
      </c>
      <c r="M2007">
        <f>[1]!orders[[#This Row],[Ship Date]]-[1]!orders[[#This Row],[Order Date]]</f>
        <v>3</v>
      </c>
      <c r="N2007">
        <f>WEEKNUM([1]!orders[[#This Row],[Order Date]])</f>
        <v>11</v>
      </c>
      <c r="O2007" t="str" cm="1">
        <f t="array" ref="O2007">_xlfn.IFS([1]!orders[[#This Row],[Customer Gender]]="M","Male", [1]!orders[[#This Row],[Customer Gender]]="F","Female", [1]!orders[[#This Row],[Customer Gender]]="O","Other", TRUE,"Unknown")</f>
        <v>Unknown</v>
      </c>
    </row>
    <row r="2008" spans="1:15" x14ac:dyDescent="0.25">
      <c r="A2008" s="1" t="s">
        <v>2093</v>
      </c>
      <c r="B2008" s="1" t="s">
        <v>7</v>
      </c>
      <c r="C2008" s="1">
        <v>1</v>
      </c>
      <c r="D2008" s="1">
        <v>54.6</v>
      </c>
      <c r="E2008" s="1">
        <v>54.6</v>
      </c>
      <c r="F2008" s="2">
        <v>45731</v>
      </c>
      <c r="G2008" s="2">
        <v>45733</v>
      </c>
      <c r="H2008" s="1" t="s">
        <v>8</v>
      </c>
      <c r="I2008" s="1" t="s">
        <v>20</v>
      </c>
      <c r="J2008" s="1">
        <v>3</v>
      </c>
      <c r="K2008" s="1" t="s">
        <v>4</v>
      </c>
      <c r="L2008" s="1" t="s">
        <v>13</v>
      </c>
      <c r="M2008" s="1">
        <f>[1]!orders[[#This Row],[Ship Date]]-[1]!orders[[#This Row],[Order Date]]</f>
        <v>2</v>
      </c>
      <c r="N2008" s="1">
        <f>WEEKNUM([1]!orders[[#This Row],[Order Date]])</f>
        <v>11</v>
      </c>
      <c r="O2008" t="str" cm="1">
        <f t="array" ref="O2008">_xlfn.IFS([1]!orders[[#This Row],[Customer Gender]]="M","Male", [1]!orders[[#This Row],[Customer Gender]]="F","Female", [1]!orders[[#This Row],[Customer Gender]]="O","Other", TRUE,"Unknown")</f>
        <v>Male</v>
      </c>
    </row>
    <row r="2009" spans="1:15" x14ac:dyDescent="0.25">
      <c r="A2009" t="s">
        <v>2094</v>
      </c>
      <c r="B2009" t="s">
        <v>29</v>
      </c>
      <c r="C2009">
        <v>1</v>
      </c>
      <c r="D2009">
        <v>15.9</v>
      </c>
      <c r="E2009">
        <v>15.9</v>
      </c>
      <c r="F2009" s="3">
        <v>45731</v>
      </c>
      <c r="G2009" s="3">
        <v>45732</v>
      </c>
      <c r="H2009" t="s">
        <v>8</v>
      </c>
      <c r="I2009" t="s">
        <v>3</v>
      </c>
      <c r="J2009">
        <v>3</v>
      </c>
      <c r="K2009" t="s">
        <v>4</v>
      </c>
      <c r="L2009" t="s">
        <v>132</v>
      </c>
      <c r="M2009">
        <f>[1]!orders[[#This Row],[Ship Date]]-[1]!orders[[#This Row],[Order Date]]</f>
        <v>1</v>
      </c>
      <c r="N2009">
        <f>WEEKNUM([1]!orders[[#This Row],[Order Date]])</f>
        <v>11</v>
      </c>
      <c r="O2009" t="str" cm="1">
        <f t="array" ref="O2009">_xlfn.IFS([1]!orders[[#This Row],[Customer Gender]]="M","Male", [1]!orders[[#This Row],[Customer Gender]]="F","Female", [1]!orders[[#This Row],[Customer Gender]]="O","Other", TRUE,"Unknown")</f>
        <v>Male</v>
      </c>
    </row>
    <row r="2010" spans="1:15" x14ac:dyDescent="0.25">
      <c r="A2010" s="1" t="s">
        <v>2095</v>
      </c>
      <c r="B2010" s="1" t="s">
        <v>31</v>
      </c>
      <c r="C2010" s="1">
        <v>1</v>
      </c>
      <c r="D2010" s="1">
        <v>50.2</v>
      </c>
      <c r="E2010" s="1">
        <v>50.2</v>
      </c>
      <c r="F2010" s="2">
        <v>45731</v>
      </c>
      <c r="G2010" s="2">
        <v>45733</v>
      </c>
      <c r="H2010" s="1" t="s">
        <v>12</v>
      </c>
      <c r="I2010" s="1" t="s">
        <v>36</v>
      </c>
      <c r="J2010" s="1">
        <v>5</v>
      </c>
      <c r="K2010" s="1" t="s">
        <v>4</v>
      </c>
      <c r="L2010" s="1" t="s">
        <v>319</v>
      </c>
      <c r="M2010" s="1">
        <f>[1]!orders[[#This Row],[Ship Date]]-[1]!orders[[#This Row],[Order Date]]</f>
        <v>2</v>
      </c>
      <c r="N2010" s="1">
        <f>WEEKNUM([1]!orders[[#This Row],[Order Date]])</f>
        <v>11</v>
      </c>
      <c r="O2010" t="str" cm="1">
        <f t="array" ref="O2010">_xlfn.IFS([1]!orders[[#This Row],[Customer Gender]]="M","Male", [1]!orders[[#This Row],[Customer Gender]]="F","Female", [1]!orders[[#This Row],[Customer Gender]]="O","Other", TRUE,"Unknown")</f>
        <v>Female</v>
      </c>
    </row>
    <row r="2011" spans="1:15" x14ac:dyDescent="0.25">
      <c r="A2011" t="s">
        <v>2096</v>
      </c>
      <c r="B2011" t="s">
        <v>52</v>
      </c>
      <c r="C2011">
        <v>4</v>
      </c>
      <c r="D2011">
        <v>85.1</v>
      </c>
      <c r="E2011">
        <v>340.4</v>
      </c>
      <c r="F2011" s="3">
        <v>45731</v>
      </c>
      <c r="G2011" s="3">
        <v>45732</v>
      </c>
      <c r="H2011" t="s">
        <v>12</v>
      </c>
      <c r="I2011" t="s">
        <v>36</v>
      </c>
      <c r="J2011">
        <v>2</v>
      </c>
      <c r="K2011" t="s">
        <v>4</v>
      </c>
      <c r="L2011" t="s">
        <v>319</v>
      </c>
      <c r="M2011">
        <f>[1]!orders[[#This Row],[Ship Date]]-[1]!orders[[#This Row],[Order Date]]</f>
        <v>1</v>
      </c>
      <c r="N2011">
        <f>WEEKNUM([1]!orders[[#This Row],[Order Date]])</f>
        <v>11</v>
      </c>
      <c r="O2011" t="str" cm="1">
        <f t="array" ref="O2011">_xlfn.IFS([1]!orders[[#This Row],[Customer Gender]]="M","Male", [1]!orders[[#This Row],[Customer Gender]]="F","Female", [1]!orders[[#This Row],[Customer Gender]]="O","Other", TRUE,"Unknown")</f>
        <v>Female</v>
      </c>
    </row>
    <row r="2012" spans="1:15" x14ac:dyDescent="0.25">
      <c r="A2012" s="1" t="s">
        <v>2097</v>
      </c>
      <c r="B2012" s="1" t="s">
        <v>52</v>
      </c>
      <c r="C2012" s="1">
        <v>2</v>
      </c>
      <c r="D2012" s="1">
        <v>41.4</v>
      </c>
      <c r="E2012" s="1">
        <v>82.8</v>
      </c>
      <c r="F2012" s="2">
        <v>45731</v>
      </c>
      <c r="G2012" s="2">
        <v>45732</v>
      </c>
      <c r="H2012" s="1" t="s">
        <v>12</v>
      </c>
      <c r="I2012" s="1" t="s">
        <v>3</v>
      </c>
      <c r="J2012" s="1">
        <v>5</v>
      </c>
      <c r="K2012" s="1" t="s">
        <v>4</v>
      </c>
      <c r="L2012" s="1" t="s">
        <v>18</v>
      </c>
      <c r="M2012" s="1">
        <f>[1]!orders[[#This Row],[Ship Date]]-[1]!orders[[#This Row],[Order Date]]</f>
        <v>1</v>
      </c>
      <c r="N2012" s="1">
        <f>WEEKNUM([1]!orders[[#This Row],[Order Date]])</f>
        <v>11</v>
      </c>
      <c r="O2012" t="str" cm="1">
        <f t="array" ref="O2012">_xlfn.IFS([1]!orders[[#This Row],[Customer Gender]]="M","Male", [1]!orders[[#This Row],[Customer Gender]]="F","Female", [1]!orders[[#This Row],[Customer Gender]]="O","Other", TRUE,"Unknown")</f>
        <v>Female</v>
      </c>
    </row>
    <row r="2013" spans="1:15" x14ac:dyDescent="0.25">
      <c r="A2013" t="s">
        <v>2098</v>
      </c>
      <c r="B2013" t="s">
        <v>17</v>
      </c>
      <c r="C2013">
        <v>7</v>
      </c>
      <c r="D2013">
        <v>32.700000000000003</v>
      </c>
      <c r="E2013">
        <v>228.90000000000003</v>
      </c>
      <c r="F2013" s="3">
        <v>45731</v>
      </c>
      <c r="G2013" s="3">
        <v>45732</v>
      </c>
      <c r="H2013" t="s">
        <v>12</v>
      </c>
      <c r="I2013" t="s">
        <v>25</v>
      </c>
      <c r="J2013">
        <v>3</v>
      </c>
      <c r="K2013" t="s">
        <v>4</v>
      </c>
      <c r="L2013" t="s">
        <v>18</v>
      </c>
      <c r="M2013">
        <f>[1]!orders[[#This Row],[Ship Date]]-[1]!orders[[#This Row],[Order Date]]</f>
        <v>1</v>
      </c>
      <c r="N2013">
        <f>WEEKNUM([1]!orders[[#This Row],[Order Date]])</f>
        <v>11</v>
      </c>
      <c r="O2013" t="str" cm="1">
        <f t="array" ref="O2013">_xlfn.IFS([1]!orders[[#This Row],[Customer Gender]]="M","Male", [1]!orders[[#This Row],[Customer Gender]]="F","Female", [1]!orders[[#This Row],[Customer Gender]]="O","Other", TRUE,"Unknown")</f>
        <v>Female</v>
      </c>
    </row>
    <row r="2014" spans="1:15" x14ac:dyDescent="0.25">
      <c r="A2014" s="1" t="s">
        <v>2099</v>
      </c>
      <c r="B2014" s="1" t="s">
        <v>17</v>
      </c>
      <c r="C2014" s="1">
        <v>2</v>
      </c>
      <c r="D2014" s="1">
        <v>41.6</v>
      </c>
      <c r="E2014" s="1">
        <v>83.2</v>
      </c>
      <c r="F2014" s="2">
        <v>45731</v>
      </c>
      <c r="G2014" s="2">
        <v>45733</v>
      </c>
      <c r="H2014" s="1" t="s">
        <v>8</v>
      </c>
      <c r="I2014" s="1" t="s">
        <v>55</v>
      </c>
      <c r="J2014" s="1">
        <v>3</v>
      </c>
      <c r="K2014" s="1" t="s">
        <v>4</v>
      </c>
      <c r="L2014" s="1" t="s">
        <v>18</v>
      </c>
      <c r="M2014" s="1">
        <f>[1]!orders[[#This Row],[Ship Date]]-[1]!orders[[#This Row],[Order Date]]</f>
        <v>2</v>
      </c>
      <c r="N2014" s="1">
        <f>WEEKNUM([1]!orders[[#This Row],[Order Date]])</f>
        <v>11</v>
      </c>
      <c r="O2014" t="str" cm="1">
        <f t="array" ref="O2014">_xlfn.IFS([1]!orders[[#This Row],[Customer Gender]]="M","Male", [1]!orders[[#This Row],[Customer Gender]]="F","Female", [1]!orders[[#This Row],[Customer Gender]]="O","Other", TRUE,"Unknown")</f>
        <v>Male</v>
      </c>
    </row>
    <row r="2015" spans="1:15" x14ac:dyDescent="0.25">
      <c r="A2015" t="s">
        <v>2100</v>
      </c>
      <c r="B2015" t="s">
        <v>22</v>
      </c>
      <c r="C2015">
        <v>4</v>
      </c>
      <c r="D2015">
        <v>64.8</v>
      </c>
      <c r="E2015">
        <v>259.2</v>
      </c>
      <c r="F2015" s="3">
        <v>45731</v>
      </c>
      <c r="G2015" s="3">
        <v>45732</v>
      </c>
      <c r="H2015" t="s">
        <v>2</v>
      </c>
      <c r="I2015" t="s">
        <v>25</v>
      </c>
      <c r="J2015">
        <v>4</v>
      </c>
      <c r="K2015" t="s">
        <v>4</v>
      </c>
      <c r="L2015" t="s">
        <v>18</v>
      </c>
      <c r="M2015">
        <f>[1]!orders[[#This Row],[Ship Date]]-[1]!orders[[#This Row],[Order Date]]</f>
        <v>1</v>
      </c>
      <c r="N2015">
        <f>WEEKNUM([1]!orders[[#This Row],[Order Date]])</f>
        <v>11</v>
      </c>
      <c r="O2015" t="str" cm="1">
        <f t="array" ref="O2015">_xlfn.IFS([1]!orders[[#This Row],[Customer Gender]]="M","Male", [1]!orders[[#This Row],[Customer Gender]]="F","Female", [1]!orders[[#This Row],[Customer Gender]]="O","Other", TRUE,"Unknown")</f>
        <v>Unknown</v>
      </c>
    </row>
    <row r="2016" spans="1:15" x14ac:dyDescent="0.25">
      <c r="A2016" s="1" t="s">
        <v>2101</v>
      </c>
      <c r="B2016" s="1" t="s">
        <v>108</v>
      </c>
      <c r="C2016" s="1">
        <v>2</v>
      </c>
      <c r="D2016" s="1">
        <v>33.6</v>
      </c>
      <c r="E2016" s="1">
        <v>67.2</v>
      </c>
      <c r="F2016" s="2">
        <v>45731</v>
      </c>
      <c r="G2016" s="2">
        <v>45732</v>
      </c>
      <c r="H2016" s="1" t="s">
        <v>8</v>
      </c>
      <c r="I2016" s="1" t="s">
        <v>3</v>
      </c>
      <c r="J2016" s="1">
        <v>5</v>
      </c>
      <c r="K2016" s="1" t="s">
        <v>4</v>
      </c>
      <c r="L2016" s="1" t="s">
        <v>18</v>
      </c>
      <c r="M2016" s="1">
        <f>[1]!orders[[#This Row],[Ship Date]]-[1]!orders[[#This Row],[Order Date]]</f>
        <v>1</v>
      </c>
      <c r="N2016" s="1">
        <f>WEEKNUM([1]!orders[[#This Row],[Order Date]])</f>
        <v>11</v>
      </c>
      <c r="O2016" t="str" cm="1">
        <f t="array" ref="O2016">_xlfn.IFS([1]!orders[[#This Row],[Customer Gender]]="M","Male", [1]!orders[[#This Row],[Customer Gender]]="F","Female", [1]!orders[[#This Row],[Customer Gender]]="O","Other", TRUE,"Unknown")</f>
        <v>Male</v>
      </c>
    </row>
    <row r="2017" spans="1:15" x14ac:dyDescent="0.25">
      <c r="A2017" t="s">
        <v>2102</v>
      </c>
      <c r="B2017" t="s">
        <v>24</v>
      </c>
      <c r="C2017">
        <v>3</v>
      </c>
      <c r="D2017">
        <v>100.7</v>
      </c>
      <c r="E2017">
        <v>302.10000000000002</v>
      </c>
      <c r="F2017" s="3">
        <v>45731</v>
      </c>
      <c r="G2017" s="3">
        <v>45732</v>
      </c>
      <c r="H2017" t="s">
        <v>2</v>
      </c>
      <c r="I2017" t="s">
        <v>20</v>
      </c>
      <c r="J2017">
        <v>4</v>
      </c>
      <c r="K2017" t="s">
        <v>4</v>
      </c>
      <c r="L2017" t="s">
        <v>18</v>
      </c>
      <c r="M2017">
        <f>[1]!orders[[#This Row],[Ship Date]]-[1]!orders[[#This Row],[Order Date]]</f>
        <v>1</v>
      </c>
      <c r="N2017">
        <f>WEEKNUM([1]!orders[[#This Row],[Order Date]])</f>
        <v>11</v>
      </c>
      <c r="O2017" t="str" cm="1">
        <f t="array" ref="O2017">_xlfn.IFS([1]!orders[[#This Row],[Customer Gender]]="M","Male", [1]!orders[[#This Row],[Customer Gender]]="F","Female", [1]!orders[[#This Row],[Customer Gender]]="O","Other", TRUE,"Unknown")</f>
        <v>Unknown</v>
      </c>
    </row>
    <row r="2018" spans="1:15" x14ac:dyDescent="0.25">
      <c r="A2018" s="1" t="s">
        <v>2103</v>
      </c>
      <c r="B2018" s="1" t="s">
        <v>17</v>
      </c>
      <c r="C2018" s="1">
        <v>2</v>
      </c>
      <c r="D2018" s="1">
        <v>49.3</v>
      </c>
      <c r="E2018" s="1">
        <v>98.6</v>
      </c>
      <c r="F2018" s="2">
        <v>45732</v>
      </c>
      <c r="G2018" s="2">
        <v>45734</v>
      </c>
      <c r="H2018" s="1" t="s">
        <v>12</v>
      </c>
      <c r="I2018" s="1" t="s">
        <v>55</v>
      </c>
      <c r="J2018" s="1">
        <v>5</v>
      </c>
      <c r="K2018" s="1" t="s">
        <v>4</v>
      </c>
      <c r="L2018" s="1" t="s">
        <v>18</v>
      </c>
      <c r="M2018" s="1">
        <f>[1]!orders[[#This Row],[Ship Date]]-[1]!orders[[#This Row],[Order Date]]</f>
        <v>2</v>
      </c>
      <c r="N2018" s="1">
        <f>WEEKNUM([1]!orders[[#This Row],[Order Date]])</f>
        <v>12</v>
      </c>
      <c r="O2018" t="str" cm="1">
        <f t="array" ref="O2018">_xlfn.IFS([1]!orders[[#This Row],[Customer Gender]]="M","Male", [1]!orders[[#This Row],[Customer Gender]]="F","Female", [1]!orders[[#This Row],[Customer Gender]]="O","Other", TRUE,"Unknown")</f>
        <v>Female</v>
      </c>
    </row>
    <row r="2019" spans="1:15" x14ac:dyDescent="0.25">
      <c r="A2019" t="s">
        <v>2104</v>
      </c>
      <c r="B2019" t="s">
        <v>11</v>
      </c>
      <c r="C2019">
        <v>6</v>
      </c>
      <c r="D2019">
        <v>97</v>
      </c>
      <c r="E2019">
        <v>582</v>
      </c>
      <c r="F2019" s="3">
        <v>45732</v>
      </c>
      <c r="G2019" s="3">
        <v>45735</v>
      </c>
      <c r="H2019" t="s">
        <v>8</v>
      </c>
      <c r="I2019" t="s">
        <v>25</v>
      </c>
      <c r="J2019">
        <v>5</v>
      </c>
      <c r="K2019" t="s">
        <v>4</v>
      </c>
      <c r="L2019" t="s">
        <v>18</v>
      </c>
      <c r="M2019">
        <f>[1]!orders[[#This Row],[Ship Date]]-[1]!orders[[#This Row],[Order Date]]</f>
        <v>3</v>
      </c>
      <c r="N2019">
        <f>WEEKNUM([1]!orders[[#This Row],[Order Date]])</f>
        <v>12</v>
      </c>
      <c r="O2019" t="str" cm="1">
        <f t="array" ref="O2019">_xlfn.IFS([1]!orders[[#This Row],[Customer Gender]]="M","Male", [1]!orders[[#This Row],[Customer Gender]]="F","Female", [1]!orders[[#This Row],[Customer Gender]]="O","Other", TRUE,"Unknown")</f>
        <v>Male</v>
      </c>
    </row>
    <row r="2020" spans="1:15" x14ac:dyDescent="0.25">
      <c r="A2020" s="1" t="s">
        <v>2105</v>
      </c>
      <c r="B2020" s="1" t="s">
        <v>1</v>
      </c>
      <c r="C2020" s="1">
        <v>6</v>
      </c>
      <c r="D2020" s="1">
        <v>25.2</v>
      </c>
      <c r="E2020" s="1">
        <v>151.19999999999999</v>
      </c>
      <c r="F2020" s="2">
        <v>45732</v>
      </c>
      <c r="G2020" s="2">
        <v>45735</v>
      </c>
      <c r="H2020" s="1" t="s">
        <v>12</v>
      </c>
      <c r="I2020" s="1" t="s">
        <v>55</v>
      </c>
      <c r="J2020" s="1">
        <v>5</v>
      </c>
      <c r="K2020" s="1" t="s">
        <v>4</v>
      </c>
      <c r="L2020" s="1" t="s">
        <v>18</v>
      </c>
      <c r="M2020" s="1">
        <f>[1]!orders[[#This Row],[Ship Date]]-[1]!orders[[#This Row],[Order Date]]</f>
        <v>3</v>
      </c>
      <c r="N2020" s="1">
        <f>WEEKNUM([1]!orders[[#This Row],[Order Date]])</f>
        <v>12</v>
      </c>
      <c r="O2020" t="str" cm="1">
        <f t="array" ref="O2020">_xlfn.IFS([1]!orders[[#This Row],[Customer Gender]]="M","Male", [1]!orders[[#This Row],[Customer Gender]]="F","Female", [1]!orders[[#This Row],[Customer Gender]]="O","Other", TRUE,"Unknown")</f>
        <v>Female</v>
      </c>
    </row>
    <row r="2021" spans="1:15" x14ac:dyDescent="0.25">
      <c r="A2021" t="s">
        <v>2106</v>
      </c>
      <c r="B2021" t="s">
        <v>1</v>
      </c>
      <c r="C2021">
        <v>11</v>
      </c>
      <c r="D2021">
        <v>12.2</v>
      </c>
      <c r="E2021">
        <v>134.19999999999999</v>
      </c>
      <c r="F2021" s="3">
        <v>45732</v>
      </c>
      <c r="G2021" s="3">
        <v>45733</v>
      </c>
      <c r="H2021" t="s">
        <v>2</v>
      </c>
      <c r="I2021" t="s">
        <v>3</v>
      </c>
      <c r="J2021">
        <v>3</v>
      </c>
      <c r="K2021" t="s">
        <v>4</v>
      </c>
      <c r="L2021" t="s">
        <v>18</v>
      </c>
      <c r="M2021">
        <f>[1]!orders[[#This Row],[Ship Date]]-[1]!orders[[#This Row],[Order Date]]</f>
        <v>1</v>
      </c>
      <c r="N2021">
        <f>WEEKNUM([1]!orders[[#This Row],[Order Date]])</f>
        <v>12</v>
      </c>
      <c r="O2021" t="str" cm="1">
        <f t="array" ref="O2021">_xlfn.IFS([1]!orders[[#This Row],[Customer Gender]]="M","Male", [1]!orders[[#This Row],[Customer Gender]]="F","Female", [1]!orders[[#This Row],[Customer Gender]]="O","Other", TRUE,"Unknown")</f>
        <v>Unknown</v>
      </c>
    </row>
    <row r="2022" spans="1:15" x14ac:dyDescent="0.25">
      <c r="A2022" s="1" t="s">
        <v>2107</v>
      </c>
      <c r="B2022" s="1" t="s">
        <v>29</v>
      </c>
      <c r="C2022" s="1">
        <v>7</v>
      </c>
      <c r="D2022" s="1">
        <v>38.799999999999997</v>
      </c>
      <c r="E2022" s="1">
        <v>271.59999999999997</v>
      </c>
      <c r="F2022" s="2">
        <v>45732</v>
      </c>
      <c r="G2022" s="2">
        <v>45734</v>
      </c>
      <c r="H2022" s="1" t="s">
        <v>12</v>
      </c>
      <c r="I2022" s="1" t="s">
        <v>20</v>
      </c>
      <c r="J2022" s="1">
        <v>3</v>
      </c>
      <c r="K2022" s="1" t="s">
        <v>4</v>
      </c>
      <c r="L2022" s="1" t="s">
        <v>143</v>
      </c>
      <c r="M2022" s="1">
        <f>[1]!orders[[#This Row],[Ship Date]]-[1]!orders[[#This Row],[Order Date]]</f>
        <v>2</v>
      </c>
      <c r="N2022" s="1">
        <f>WEEKNUM([1]!orders[[#This Row],[Order Date]])</f>
        <v>12</v>
      </c>
      <c r="O2022" t="str" cm="1">
        <f t="array" ref="O2022">_xlfn.IFS([1]!orders[[#This Row],[Customer Gender]]="M","Male", [1]!orders[[#This Row],[Customer Gender]]="F","Female", [1]!orders[[#This Row],[Customer Gender]]="O","Other", TRUE,"Unknown")</f>
        <v>Female</v>
      </c>
    </row>
    <row r="2023" spans="1:15" x14ac:dyDescent="0.25">
      <c r="A2023" t="s">
        <v>2108</v>
      </c>
      <c r="B2023" t="s">
        <v>11</v>
      </c>
      <c r="C2023">
        <v>4</v>
      </c>
      <c r="D2023">
        <v>53.2</v>
      </c>
      <c r="E2023">
        <v>212.8</v>
      </c>
      <c r="F2023" s="3">
        <v>45732</v>
      </c>
      <c r="G2023" s="3">
        <v>45733</v>
      </c>
      <c r="H2023" t="s">
        <v>8</v>
      </c>
      <c r="I2023" t="s">
        <v>3</v>
      </c>
      <c r="J2023">
        <v>5</v>
      </c>
      <c r="K2023" t="s">
        <v>4</v>
      </c>
      <c r="L2023" t="s">
        <v>47</v>
      </c>
      <c r="M2023">
        <f>[1]!orders[[#This Row],[Ship Date]]-[1]!orders[[#This Row],[Order Date]]</f>
        <v>1</v>
      </c>
      <c r="N2023">
        <f>WEEKNUM([1]!orders[[#This Row],[Order Date]])</f>
        <v>12</v>
      </c>
      <c r="O2023" t="str" cm="1">
        <f t="array" ref="O2023">_xlfn.IFS([1]!orders[[#This Row],[Customer Gender]]="M","Male", [1]!orders[[#This Row],[Customer Gender]]="F","Female", [1]!orders[[#This Row],[Customer Gender]]="O","Other", TRUE,"Unknown")</f>
        <v>Male</v>
      </c>
    </row>
    <row r="2024" spans="1:15" x14ac:dyDescent="0.25">
      <c r="A2024" s="1" t="s">
        <v>2109</v>
      </c>
      <c r="B2024" s="1" t="s">
        <v>24</v>
      </c>
      <c r="C2024" s="1">
        <v>7</v>
      </c>
      <c r="D2024" s="1">
        <v>151</v>
      </c>
      <c r="E2024" s="1">
        <v>1057</v>
      </c>
      <c r="F2024" s="2">
        <v>45732</v>
      </c>
      <c r="G2024" s="2">
        <v>45733</v>
      </c>
      <c r="H2024" s="1" t="s">
        <v>74</v>
      </c>
      <c r="I2024" s="1" t="s">
        <v>20</v>
      </c>
      <c r="J2024" s="1">
        <v>3</v>
      </c>
      <c r="K2024" s="1" t="s">
        <v>4</v>
      </c>
      <c r="L2024" s="1" t="s">
        <v>47</v>
      </c>
      <c r="M2024" s="1">
        <f>[1]!orders[[#This Row],[Ship Date]]-[1]!orders[[#This Row],[Order Date]]</f>
        <v>1</v>
      </c>
      <c r="N2024" s="1">
        <f>WEEKNUM([1]!orders[[#This Row],[Order Date]])</f>
        <v>12</v>
      </c>
      <c r="O2024" t="str" cm="1">
        <f t="array" ref="O2024">_xlfn.IFS([1]!orders[[#This Row],[Customer Gender]]="M","Male", [1]!orders[[#This Row],[Customer Gender]]="F","Female", [1]!orders[[#This Row],[Customer Gender]]="O","Other", TRUE,"Unknown")</f>
        <v>Other</v>
      </c>
    </row>
    <row r="2025" spans="1:15" x14ac:dyDescent="0.25">
      <c r="A2025" t="s">
        <v>2110</v>
      </c>
      <c r="B2025" t="s">
        <v>7</v>
      </c>
      <c r="C2025">
        <v>2</v>
      </c>
      <c r="D2025">
        <v>37.1</v>
      </c>
      <c r="E2025">
        <v>74.2</v>
      </c>
      <c r="F2025" s="3">
        <v>45732</v>
      </c>
      <c r="G2025" s="3">
        <v>45733</v>
      </c>
      <c r="H2025" t="s">
        <v>12</v>
      </c>
      <c r="I2025" t="s">
        <v>55</v>
      </c>
      <c r="J2025">
        <v>4</v>
      </c>
      <c r="K2025" t="s">
        <v>4</v>
      </c>
      <c r="L2025" t="s">
        <v>47</v>
      </c>
      <c r="M2025">
        <f>[1]!orders[[#This Row],[Ship Date]]-[1]!orders[[#This Row],[Order Date]]</f>
        <v>1</v>
      </c>
      <c r="N2025">
        <f>WEEKNUM([1]!orders[[#This Row],[Order Date]])</f>
        <v>12</v>
      </c>
      <c r="O2025" t="str" cm="1">
        <f t="array" ref="O2025">_xlfn.IFS([1]!orders[[#This Row],[Customer Gender]]="M","Male", [1]!orders[[#This Row],[Customer Gender]]="F","Female", [1]!orders[[#This Row],[Customer Gender]]="O","Other", TRUE,"Unknown")</f>
        <v>Female</v>
      </c>
    </row>
    <row r="2026" spans="1:15" x14ac:dyDescent="0.25">
      <c r="A2026" s="1" t="s">
        <v>2111</v>
      </c>
      <c r="B2026" s="1" t="s">
        <v>22</v>
      </c>
      <c r="C2026" s="1">
        <v>2</v>
      </c>
      <c r="D2026" s="1">
        <v>38.9</v>
      </c>
      <c r="E2026" s="1">
        <v>77.8</v>
      </c>
      <c r="F2026" s="2">
        <v>45732</v>
      </c>
      <c r="G2026" s="2">
        <v>45733</v>
      </c>
      <c r="H2026" s="1" t="s">
        <v>8</v>
      </c>
      <c r="I2026" s="1" t="s">
        <v>55</v>
      </c>
      <c r="J2026" s="1">
        <v>4</v>
      </c>
      <c r="K2026" s="1" t="s">
        <v>4</v>
      </c>
      <c r="L2026" s="1" t="s">
        <v>47</v>
      </c>
      <c r="M2026" s="1">
        <f>[1]!orders[[#This Row],[Ship Date]]-[1]!orders[[#This Row],[Order Date]]</f>
        <v>1</v>
      </c>
      <c r="N2026" s="1">
        <f>WEEKNUM([1]!orders[[#This Row],[Order Date]])</f>
        <v>12</v>
      </c>
      <c r="O2026" t="str" cm="1">
        <f t="array" ref="O2026">_xlfn.IFS([1]!orders[[#This Row],[Customer Gender]]="M","Male", [1]!orders[[#This Row],[Customer Gender]]="F","Female", [1]!orders[[#This Row],[Customer Gender]]="O","Other", TRUE,"Unknown")</f>
        <v>Male</v>
      </c>
    </row>
    <row r="2027" spans="1:15" x14ac:dyDescent="0.25">
      <c r="A2027" t="s">
        <v>2112</v>
      </c>
      <c r="B2027" t="s">
        <v>39</v>
      </c>
      <c r="C2027">
        <v>2</v>
      </c>
      <c r="D2027">
        <v>35.200000000000003</v>
      </c>
      <c r="E2027">
        <v>70.400000000000006</v>
      </c>
      <c r="F2027" s="3">
        <v>45732</v>
      </c>
      <c r="G2027" s="3">
        <v>45733</v>
      </c>
      <c r="H2027" t="s">
        <v>8</v>
      </c>
      <c r="I2027" t="s">
        <v>3</v>
      </c>
      <c r="J2027">
        <v>5</v>
      </c>
      <c r="K2027" t="s">
        <v>4</v>
      </c>
      <c r="L2027" t="s">
        <v>88</v>
      </c>
      <c r="M2027">
        <f>[1]!orders[[#This Row],[Ship Date]]-[1]!orders[[#This Row],[Order Date]]</f>
        <v>1</v>
      </c>
      <c r="N2027">
        <f>WEEKNUM([1]!orders[[#This Row],[Order Date]])</f>
        <v>12</v>
      </c>
      <c r="O2027" t="str" cm="1">
        <f t="array" ref="O2027">_xlfn.IFS([1]!orders[[#This Row],[Customer Gender]]="M","Male", [1]!orders[[#This Row],[Customer Gender]]="F","Female", [1]!orders[[#This Row],[Customer Gender]]="O","Other", TRUE,"Unknown")</f>
        <v>Male</v>
      </c>
    </row>
    <row r="2028" spans="1:15" x14ac:dyDescent="0.25">
      <c r="A2028" s="1" t="s">
        <v>2113</v>
      </c>
      <c r="B2028" s="1" t="s">
        <v>1</v>
      </c>
      <c r="C2028" s="1">
        <v>2</v>
      </c>
      <c r="D2028" s="1">
        <v>22.3</v>
      </c>
      <c r="E2028" s="1">
        <v>44.6</v>
      </c>
      <c r="F2028" s="2">
        <v>45732</v>
      </c>
      <c r="G2028" s="2">
        <v>45734</v>
      </c>
      <c r="H2028" s="1" t="s">
        <v>12</v>
      </c>
      <c r="I2028" s="1" t="s">
        <v>20</v>
      </c>
      <c r="J2028" s="1">
        <v>4</v>
      </c>
      <c r="K2028" s="1" t="s">
        <v>4</v>
      </c>
      <c r="L2028" s="1" t="s">
        <v>57</v>
      </c>
      <c r="M2028" s="1">
        <f>[1]!orders[[#This Row],[Ship Date]]-[1]!orders[[#This Row],[Order Date]]</f>
        <v>2</v>
      </c>
      <c r="N2028" s="1">
        <f>WEEKNUM([1]!orders[[#This Row],[Order Date]])</f>
        <v>12</v>
      </c>
      <c r="O2028" t="str" cm="1">
        <f t="array" ref="O2028">_xlfn.IFS([1]!orders[[#This Row],[Customer Gender]]="M","Male", [1]!orders[[#This Row],[Customer Gender]]="F","Female", [1]!orders[[#This Row],[Customer Gender]]="O","Other", TRUE,"Unknown")</f>
        <v>Female</v>
      </c>
    </row>
    <row r="2029" spans="1:15" x14ac:dyDescent="0.25">
      <c r="A2029" t="s">
        <v>2114</v>
      </c>
      <c r="B2029" t="s">
        <v>31</v>
      </c>
      <c r="C2029">
        <v>1</v>
      </c>
      <c r="D2029">
        <v>43.3</v>
      </c>
      <c r="E2029">
        <v>43.3</v>
      </c>
      <c r="F2029" s="3">
        <v>45732</v>
      </c>
      <c r="G2029" s="3">
        <v>45735</v>
      </c>
      <c r="H2029" t="s">
        <v>12</v>
      </c>
      <c r="I2029" t="s">
        <v>3</v>
      </c>
      <c r="J2029">
        <v>5</v>
      </c>
      <c r="K2029" t="s">
        <v>4</v>
      </c>
      <c r="L2029" t="s">
        <v>62</v>
      </c>
      <c r="M2029">
        <f>[1]!orders[[#This Row],[Ship Date]]-[1]!orders[[#This Row],[Order Date]]</f>
        <v>3</v>
      </c>
      <c r="N2029">
        <f>WEEKNUM([1]!orders[[#This Row],[Order Date]])</f>
        <v>12</v>
      </c>
      <c r="O2029" t="str" cm="1">
        <f t="array" ref="O2029">_xlfn.IFS([1]!orders[[#This Row],[Customer Gender]]="M","Male", [1]!orders[[#This Row],[Customer Gender]]="F","Female", [1]!orders[[#This Row],[Customer Gender]]="O","Other", TRUE,"Unknown")</f>
        <v>Female</v>
      </c>
    </row>
    <row r="2030" spans="1:15" x14ac:dyDescent="0.25">
      <c r="A2030" s="1" t="s">
        <v>2115</v>
      </c>
      <c r="B2030" s="1" t="s">
        <v>24</v>
      </c>
      <c r="C2030" s="1">
        <v>6</v>
      </c>
      <c r="D2030" s="1">
        <v>75.900000000000006</v>
      </c>
      <c r="E2030" s="1">
        <v>455.40000000000003</v>
      </c>
      <c r="F2030" s="2">
        <v>45732</v>
      </c>
      <c r="G2030" s="2">
        <v>45738</v>
      </c>
      <c r="H2030" s="1" t="s">
        <v>8</v>
      </c>
      <c r="I2030" s="1" t="s">
        <v>3</v>
      </c>
      <c r="J2030" s="1">
        <v>4</v>
      </c>
      <c r="K2030" s="1" t="s">
        <v>4</v>
      </c>
      <c r="L2030" s="1" t="s">
        <v>62</v>
      </c>
      <c r="M2030" s="1">
        <f>[1]!orders[[#This Row],[Ship Date]]-[1]!orders[[#This Row],[Order Date]]</f>
        <v>6</v>
      </c>
      <c r="N2030" s="1">
        <f>WEEKNUM([1]!orders[[#This Row],[Order Date]])</f>
        <v>12</v>
      </c>
      <c r="O2030" t="str" cm="1">
        <f t="array" ref="O2030">_xlfn.IFS([1]!orders[[#This Row],[Customer Gender]]="M","Male", [1]!orders[[#This Row],[Customer Gender]]="F","Female", [1]!orders[[#This Row],[Customer Gender]]="O","Other", TRUE,"Unknown")</f>
        <v>Male</v>
      </c>
    </row>
    <row r="2031" spans="1:15" x14ac:dyDescent="0.25">
      <c r="A2031" t="s">
        <v>2116</v>
      </c>
      <c r="B2031" t="s">
        <v>24</v>
      </c>
      <c r="C2031">
        <v>3</v>
      </c>
      <c r="D2031">
        <v>78.7</v>
      </c>
      <c r="E2031">
        <v>236.10000000000002</v>
      </c>
      <c r="F2031" s="3">
        <v>45732</v>
      </c>
      <c r="G2031" s="3">
        <v>45736</v>
      </c>
      <c r="H2031" t="s">
        <v>12</v>
      </c>
      <c r="I2031" t="s">
        <v>25</v>
      </c>
      <c r="J2031">
        <v>3</v>
      </c>
      <c r="K2031" t="s">
        <v>4</v>
      </c>
      <c r="L2031" t="s">
        <v>62</v>
      </c>
      <c r="M2031">
        <f>[1]!orders[[#This Row],[Ship Date]]-[1]!orders[[#This Row],[Order Date]]</f>
        <v>4</v>
      </c>
      <c r="N2031">
        <f>WEEKNUM([1]!orders[[#This Row],[Order Date]])</f>
        <v>12</v>
      </c>
      <c r="O2031" t="str" cm="1">
        <f t="array" ref="O2031">_xlfn.IFS([1]!orders[[#This Row],[Customer Gender]]="M","Male", [1]!orders[[#This Row],[Customer Gender]]="F","Female", [1]!orders[[#This Row],[Customer Gender]]="O","Other", TRUE,"Unknown")</f>
        <v>Female</v>
      </c>
    </row>
    <row r="2032" spans="1:15" x14ac:dyDescent="0.25">
      <c r="A2032" s="1" t="s">
        <v>2117</v>
      </c>
      <c r="B2032" s="1" t="s">
        <v>7</v>
      </c>
      <c r="C2032" s="1">
        <v>1</v>
      </c>
      <c r="D2032" s="1">
        <v>66.3</v>
      </c>
      <c r="E2032" s="1">
        <v>66.3</v>
      </c>
      <c r="F2032" s="2">
        <v>45732</v>
      </c>
      <c r="G2032" s="2">
        <v>45736</v>
      </c>
      <c r="H2032" s="1" t="s">
        <v>12</v>
      </c>
      <c r="I2032" s="1" t="s">
        <v>3</v>
      </c>
      <c r="J2032" s="1">
        <v>5</v>
      </c>
      <c r="K2032" s="1" t="s">
        <v>4</v>
      </c>
      <c r="L2032" s="1" t="s">
        <v>95</v>
      </c>
      <c r="M2032" s="1">
        <f>[1]!orders[[#This Row],[Ship Date]]-[1]!orders[[#This Row],[Order Date]]</f>
        <v>4</v>
      </c>
      <c r="N2032" s="1">
        <f>WEEKNUM([1]!orders[[#This Row],[Order Date]])</f>
        <v>12</v>
      </c>
      <c r="O2032" t="str" cm="1">
        <f t="array" ref="O2032">_xlfn.IFS([1]!orders[[#This Row],[Customer Gender]]="M","Male", [1]!orders[[#This Row],[Customer Gender]]="F","Female", [1]!orders[[#This Row],[Customer Gender]]="O","Other", TRUE,"Unknown")</f>
        <v>Female</v>
      </c>
    </row>
    <row r="2033" spans="1:15" x14ac:dyDescent="0.25">
      <c r="A2033" t="s">
        <v>2118</v>
      </c>
      <c r="B2033" t="s">
        <v>29</v>
      </c>
      <c r="C2033">
        <v>2</v>
      </c>
      <c r="D2033">
        <v>33.6</v>
      </c>
      <c r="E2033">
        <v>67.2</v>
      </c>
      <c r="F2033" s="3">
        <v>45732</v>
      </c>
      <c r="G2033" s="3">
        <v>45732</v>
      </c>
      <c r="H2033" t="s">
        <v>8</v>
      </c>
      <c r="I2033" t="s">
        <v>3</v>
      </c>
      <c r="J2033">
        <v>3</v>
      </c>
      <c r="K2033" t="s">
        <v>4</v>
      </c>
      <c r="L2033" t="s">
        <v>95</v>
      </c>
      <c r="M2033">
        <f>[1]!orders[[#This Row],[Ship Date]]-[1]!orders[[#This Row],[Order Date]]</f>
        <v>0</v>
      </c>
      <c r="N2033">
        <f>WEEKNUM([1]!orders[[#This Row],[Order Date]])</f>
        <v>12</v>
      </c>
      <c r="O2033" t="str" cm="1">
        <f t="array" ref="O2033">_xlfn.IFS([1]!orders[[#This Row],[Customer Gender]]="M","Male", [1]!orders[[#This Row],[Customer Gender]]="F","Female", [1]!orders[[#This Row],[Customer Gender]]="O","Other", TRUE,"Unknown")</f>
        <v>Male</v>
      </c>
    </row>
    <row r="2034" spans="1:15" x14ac:dyDescent="0.25">
      <c r="A2034" s="1" t="s">
        <v>2119</v>
      </c>
      <c r="B2034" s="1" t="s">
        <v>11</v>
      </c>
      <c r="C2034" s="1">
        <v>7</v>
      </c>
      <c r="D2034" s="1">
        <v>61.4</v>
      </c>
      <c r="E2034" s="1">
        <v>429.8</v>
      </c>
      <c r="F2034" s="2">
        <v>45732</v>
      </c>
      <c r="G2034" s="2">
        <v>45733</v>
      </c>
      <c r="H2034" s="1" t="s">
        <v>8</v>
      </c>
      <c r="I2034" s="1" t="s">
        <v>55</v>
      </c>
      <c r="J2034" s="1">
        <v>4</v>
      </c>
      <c r="K2034" s="1" t="s">
        <v>4</v>
      </c>
      <c r="L2034" s="1" t="s">
        <v>95</v>
      </c>
      <c r="M2034" s="1">
        <f>[1]!orders[[#This Row],[Ship Date]]-[1]!orders[[#This Row],[Order Date]]</f>
        <v>1</v>
      </c>
      <c r="N2034" s="1">
        <f>WEEKNUM([1]!orders[[#This Row],[Order Date]])</f>
        <v>12</v>
      </c>
      <c r="O2034" t="str" cm="1">
        <f t="array" ref="O2034">_xlfn.IFS([1]!orders[[#This Row],[Customer Gender]]="M","Male", [1]!orders[[#This Row],[Customer Gender]]="F","Female", [1]!orders[[#This Row],[Customer Gender]]="O","Other", TRUE,"Unknown")</f>
        <v>Male</v>
      </c>
    </row>
    <row r="2035" spans="1:15" x14ac:dyDescent="0.25">
      <c r="A2035" t="s">
        <v>2120</v>
      </c>
      <c r="B2035" t="s">
        <v>29</v>
      </c>
      <c r="C2035">
        <v>2</v>
      </c>
      <c r="D2035">
        <v>17.5</v>
      </c>
      <c r="E2035">
        <v>35</v>
      </c>
      <c r="F2035" s="3">
        <v>45732</v>
      </c>
      <c r="G2035" s="3">
        <v>45735</v>
      </c>
      <c r="H2035" t="s">
        <v>12</v>
      </c>
      <c r="I2035" t="s">
        <v>3</v>
      </c>
      <c r="J2035">
        <v>4</v>
      </c>
      <c r="K2035" t="s">
        <v>4</v>
      </c>
      <c r="L2035" t="s">
        <v>100</v>
      </c>
      <c r="M2035">
        <f>[1]!orders[[#This Row],[Ship Date]]-[1]!orders[[#This Row],[Order Date]]</f>
        <v>3</v>
      </c>
      <c r="N2035">
        <f>WEEKNUM([1]!orders[[#This Row],[Order Date]])</f>
        <v>12</v>
      </c>
      <c r="O2035" t="str" cm="1">
        <f t="array" ref="O2035">_xlfn.IFS([1]!orders[[#This Row],[Customer Gender]]="M","Male", [1]!orders[[#This Row],[Customer Gender]]="F","Female", [1]!orders[[#This Row],[Customer Gender]]="O","Other", TRUE,"Unknown")</f>
        <v>Female</v>
      </c>
    </row>
    <row r="2036" spans="1:15" x14ac:dyDescent="0.25">
      <c r="A2036" s="1" t="s">
        <v>2121</v>
      </c>
      <c r="B2036" s="1" t="s">
        <v>29</v>
      </c>
      <c r="C2036" s="1">
        <v>2</v>
      </c>
      <c r="D2036" s="1">
        <v>32.5</v>
      </c>
      <c r="E2036" s="1">
        <v>65</v>
      </c>
      <c r="F2036" s="2">
        <v>45732</v>
      </c>
      <c r="G2036" s="2">
        <v>45735</v>
      </c>
      <c r="H2036" s="1" t="s">
        <v>12</v>
      </c>
      <c r="I2036" s="1" t="s">
        <v>20</v>
      </c>
      <c r="J2036" s="1">
        <v>4</v>
      </c>
      <c r="K2036" s="1" t="s">
        <v>4</v>
      </c>
      <c r="L2036" s="1" t="s">
        <v>100</v>
      </c>
      <c r="M2036" s="1">
        <f>[1]!orders[[#This Row],[Ship Date]]-[1]!orders[[#This Row],[Order Date]]</f>
        <v>3</v>
      </c>
      <c r="N2036" s="1">
        <f>WEEKNUM([1]!orders[[#This Row],[Order Date]])</f>
        <v>12</v>
      </c>
      <c r="O2036" t="str" cm="1">
        <f t="array" ref="O2036">_xlfn.IFS([1]!orders[[#This Row],[Customer Gender]]="M","Male", [1]!orders[[#This Row],[Customer Gender]]="F","Female", [1]!orders[[#This Row],[Customer Gender]]="O","Other", TRUE,"Unknown")</f>
        <v>Female</v>
      </c>
    </row>
    <row r="2037" spans="1:15" x14ac:dyDescent="0.25">
      <c r="A2037" t="s">
        <v>2122</v>
      </c>
      <c r="B2037" t="s">
        <v>17</v>
      </c>
      <c r="C2037">
        <v>1</v>
      </c>
      <c r="D2037">
        <v>34.6</v>
      </c>
      <c r="E2037">
        <v>34.6</v>
      </c>
      <c r="F2037" s="3">
        <v>45732</v>
      </c>
      <c r="G2037" s="3">
        <v>45733</v>
      </c>
      <c r="H2037" t="s">
        <v>12</v>
      </c>
      <c r="I2037" t="s">
        <v>55</v>
      </c>
      <c r="J2037">
        <v>4</v>
      </c>
      <c r="K2037" t="s">
        <v>4</v>
      </c>
      <c r="L2037" t="s">
        <v>100</v>
      </c>
      <c r="M2037">
        <f>[1]!orders[[#This Row],[Ship Date]]-[1]!orders[[#This Row],[Order Date]]</f>
        <v>1</v>
      </c>
      <c r="N2037">
        <f>WEEKNUM([1]!orders[[#This Row],[Order Date]])</f>
        <v>12</v>
      </c>
      <c r="O2037" t="str" cm="1">
        <f t="array" ref="O2037">_xlfn.IFS([1]!orders[[#This Row],[Customer Gender]]="M","Male", [1]!orders[[#This Row],[Customer Gender]]="F","Female", [1]!orders[[#This Row],[Customer Gender]]="O","Other", TRUE,"Unknown")</f>
        <v>Female</v>
      </c>
    </row>
    <row r="2038" spans="1:15" x14ac:dyDescent="0.25">
      <c r="A2038" s="1" t="s">
        <v>2123</v>
      </c>
      <c r="B2038" s="1" t="s">
        <v>11</v>
      </c>
      <c r="C2038" s="1">
        <v>1</v>
      </c>
      <c r="D2038" s="1">
        <v>75.900000000000006</v>
      </c>
      <c r="E2038" s="1">
        <v>75.900000000000006</v>
      </c>
      <c r="F2038" s="2">
        <v>45732</v>
      </c>
      <c r="G2038" s="2">
        <v>45732</v>
      </c>
      <c r="H2038" s="1" t="s">
        <v>8</v>
      </c>
      <c r="I2038" s="1" t="s">
        <v>20</v>
      </c>
      <c r="J2038" s="1">
        <v>5</v>
      </c>
      <c r="K2038" s="1" t="s">
        <v>4</v>
      </c>
      <c r="L2038" s="1" t="s">
        <v>100</v>
      </c>
      <c r="M2038" s="1">
        <f>[1]!orders[[#This Row],[Ship Date]]-[1]!orders[[#This Row],[Order Date]]</f>
        <v>0</v>
      </c>
      <c r="N2038" s="1">
        <f>WEEKNUM([1]!orders[[#This Row],[Order Date]])</f>
        <v>12</v>
      </c>
      <c r="O2038" t="str" cm="1">
        <f t="array" ref="O2038">_xlfn.IFS([1]!orders[[#This Row],[Customer Gender]]="M","Male", [1]!orders[[#This Row],[Customer Gender]]="F","Female", [1]!orders[[#This Row],[Customer Gender]]="O","Other", TRUE,"Unknown")</f>
        <v>Male</v>
      </c>
    </row>
    <row r="2039" spans="1:15" x14ac:dyDescent="0.25">
      <c r="A2039" t="s">
        <v>2124</v>
      </c>
      <c r="B2039" t="s">
        <v>7</v>
      </c>
      <c r="C2039">
        <v>3</v>
      </c>
      <c r="D2039">
        <v>42.1</v>
      </c>
      <c r="E2039">
        <v>126.30000000000001</v>
      </c>
      <c r="F2039" s="3">
        <v>45732</v>
      </c>
      <c r="G2039" s="3">
        <v>45735</v>
      </c>
      <c r="H2039" t="s">
        <v>8</v>
      </c>
      <c r="I2039" t="s">
        <v>20</v>
      </c>
      <c r="J2039">
        <v>3</v>
      </c>
      <c r="K2039" t="s">
        <v>4</v>
      </c>
      <c r="L2039" t="s">
        <v>100</v>
      </c>
      <c r="M2039">
        <f>[1]!orders[[#This Row],[Ship Date]]-[1]!orders[[#This Row],[Order Date]]</f>
        <v>3</v>
      </c>
      <c r="N2039">
        <f>WEEKNUM([1]!orders[[#This Row],[Order Date]])</f>
        <v>12</v>
      </c>
      <c r="O2039" t="str" cm="1">
        <f t="array" ref="O2039">_xlfn.IFS([1]!orders[[#This Row],[Customer Gender]]="M","Male", [1]!orders[[#This Row],[Customer Gender]]="F","Female", [1]!orders[[#This Row],[Customer Gender]]="O","Other", TRUE,"Unknown")</f>
        <v>Male</v>
      </c>
    </row>
    <row r="2040" spans="1:15" x14ac:dyDescent="0.25">
      <c r="A2040" s="1" t="s">
        <v>2125</v>
      </c>
      <c r="B2040" s="1" t="s">
        <v>27</v>
      </c>
      <c r="C2040" s="1">
        <v>3</v>
      </c>
      <c r="D2040" s="1">
        <v>65.3</v>
      </c>
      <c r="E2040" s="1">
        <v>195.89999999999998</v>
      </c>
      <c r="F2040" s="2">
        <v>45732</v>
      </c>
      <c r="G2040" s="2">
        <v>45739</v>
      </c>
      <c r="H2040" s="1" t="s">
        <v>8</v>
      </c>
      <c r="I2040" s="1" t="s">
        <v>3</v>
      </c>
      <c r="J2040" s="1">
        <v>4</v>
      </c>
      <c r="K2040" s="1" t="s">
        <v>4</v>
      </c>
      <c r="L2040" s="1" t="s">
        <v>9</v>
      </c>
      <c r="M2040" s="1">
        <f>[1]!orders[[#This Row],[Ship Date]]-[1]!orders[[#This Row],[Order Date]]</f>
        <v>7</v>
      </c>
      <c r="N2040" s="1">
        <f>WEEKNUM([1]!orders[[#This Row],[Order Date]])</f>
        <v>12</v>
      </c>
      <c r="O2040" t="str" cm="1">
        <f t="array" ref="O2040">_xlfn.IFS([1]!orders[[#This Row],[Customer Gender]]="M","Male", [1]!orders[[#This Row],[Customer Gender]]="F","Female", [1]!orders[[#This Row],[Customer Gender]]="O","Other", TRUE,"Unknown")</f>
        <v>Male</v>
      </c>
    </row>
    <row r="2041" spans="1:15" x14ac:dyDescent="0.25">
      <c r="A2041" t="s">
        <v>2126</v>
      </c>
      <c r="B2041" t="s">
        <v>108</v>
      </c>
      <c r="C2041">
        <v>1</v>
      </c>
      <c r="D2041">
        <v>20.6</v>
      </c>
      <c r="E2041">
        <v>20.6</v>
      </c>
      <c r="F2041" s="3">
        <v>45732</v>
      </c>
      <c r="G2041" s="3">
        <v>45735</v>
      </c>
      <c r="H2041" t="s">
        <v>8</v>
      </c>
      <c r="I2041" t="s">
        <v>36</v>
      </c>
      <c r="J2041">
        <v>4</v>
      </c>
      <c r="K2041" t="s">
        <v>4</v>
      </c>
      <c r="L2041" t="s">
        <v>422</v>
      </c>
      <c r="M2041">
        <f>[1]!orders[[#This Row],[Ship Date]]-[1]!orders[[#This Row],[Order Date]]</f>
        <v>3</v>
      </c>
      <c r="N2041">
        <f>WEEKNUM([1]!orders[[#This Row],[Order Date]])</f>
        <v>12</v>
      </c>
      <c r="O2041" t="str" cm="1">
        <f t="array" ref="O2041">_xlfn.IFS([1]!orders[[#This Row],[Customer Gender]]="M","Male", [1]!orders[[#This Row],[Customer Gender]]="F","Female", [1]!orders[[#This Row],[Customer Gender]]="O","Other", TRUE,"Unknown")</f>
        <v>Male</v>
      </c>
    </row>
    <row r="2042" spans="1:15" x14ac:dyDescent="0.25">
      <c r="A2042" s="1" t="s">
        <v>2127</v>
      </c>
      <c r="B2042" s="1" t="s">
        <v>29</v>
      </c>
      <c r="C2042" s="1">
        <v>7</v>
      </c>
      <c r="D2042" s="1">
        <v>16.5</v>
      </c>
      <c r="E2042" s="1">
        <v>115.5</v>
      </c>
      <c r="F2042" s="2">
        <v>45732</v>
      </c>
      <c r="G2042" s="2">
        <v>45733</v>
      </c>
      <c r="H2042" s="1" t="s">
        <v>8</v>
      </c>
      <c r="I2042" s="1" t="s">
        <v>20</v>
      </c>
      <c r="J2042" s="1">
        <v>3</v>
      </c>
      <c r="K2042" s="1" t="s">
        <v>4</v>
      </c>
      <c r="L2042" s="1" t="s">
        <v>13</v>
      </c>
      <c r="M2042" s="1">
        <f>[1]!orders[[#This Row],[Ship Date]]-[1]!orders[[#This Row],[Order Date]]</f>
        <v>1</v>
      </c>
      <c r="N2042" s="1">
        <f>WEEKNUM([1]!orders[[#This Row],[Order Date]])</f>
        <v>12</v>
      </c>
      <c r="O2042" t="str" cm="1">
        <f t="array" ref="O2042">_xlfn.IFS([1]!orders[[#This Row],[Customer Gender]]="M","Male", [1]!orders[[#This Row],[Customer Gender]]="F","Female", [1]!orders[[#This Row],[Customer Gender]]="O","Other", TRUE,"Unknown")</f>
        <v>Male</v>
      </c>
    </row>
    <row r="2043" spans="1:15" x14ac:dyDescent="0.25">
      <c r="A2043" t="s">
        <v>2128</v>
      </c>
      <c r="B2043" t="s">
        <v>113</v>
      </c>
      <c r="C2043">
        <v>10</v>
      </c>
      <c r="D2043">
        <v>36.200000000000003</v>
      </c>
      <c r="E2043">
        <v>362</v>
      </c>
      <c r="F2043" s="3">
        <v>45732</v>
      </c>
      <c r="G2043" s="3">
        <v>45734</v>
      </c>
      <c r="H2043" t="s">
        <v>8</v>
      </c>
      <c r="I2043" t="s">
        <v>3</v>
      </c>
      <c r="J2043">
        <v>5</v>
      </c>
      <c r="K2043" t="s">
        <v>4</v>
      </c>
      <c r="L2043" t="s">
        <v>13</v>
      </c>
      <c r="M2043">
        <f>[1]!orders[[#This Row],[Ship Date]]-[1]!orders[[#This Row],[Order Date]]</f>
        <v>2</v>
      </c>
      <c r="N2043">
        <f>WEEKNUM([1]!orders[[#This Row],[Order Date]])</f>
        <v>12</v>
      </c>
      <c r="O2043" t="str" cm="1">
        <f t="array" ref="O2043">_xlfn.IFS([1]!orders[[#This Row],[Customer Gender]]="M","Male", [1]!orders[[#This Row],[Customer Gender]]="F","Female", [1]!orders[[#This Row],[Customer Gender]]="O","Other", TRUE,"Unknown")</f>
        <v>Male</v>
      </c>
    </row>
    <row r="2044" spans="1:15" x14ac:dyDescent="0.25">
      <c r="A2044" s="1" t="s">
        <v>2129</v>
      </c>
      <c r="B2044" s="1" t="s">
        <v>24</v>
      </c>
      <c r="C2044" s="1">
        <v>1</v>
      </c>
      <c r="D2044" s="1">
        <v>53.2</v>
      </c>
      <c r="E2044" s="1">
        <v>53.2</v>
      </c>
      <c r="F2044" s="2">
        <v>45732</v>
      </c>
      <c r="G2044" s="2">
        <v>45733</v>
      </c>
      <c r="H2044" s="1" t="s">
        <v>12</v>
      </c>
      <c r="I2044" s="1" t="s">
        <v>3</v>
      </c>
      <c r="J2044" s="1">
        <v>3</v>
      </c>
      <c r="K2044" s="1" t="s">
        <v>4</v>
      </c>
      <c r="L2044" s="1" t="s">
        <v>132</v>
      </c>
      <c r="M2044" s="1">
        <f>[1]!orders[[#This Row],[Ship Date]]-[1]!orders[[#This Row],[Order Date]]</f>
        <v>1</v>
      </c>
      <c r="N2044" s="1">
        <f>WEEKNUM([1]!orders[[#This Row],[Order Date]])</f>
        <v>12</v>
      </c>
      <c r="O2044" t="str" cm="1">
        <f t="array" ref="O2044">_xlfn.IFS([1]!orders[[#This Row],[Customer Gender]]="M","Male", [1]!orders[[#This Row],[Customer Gender]]="F","Female", [1]!orders[[#This Row],[Customer Gender]]="O","Other", TRUE,"Unknown")</f>
        <v>Female</v>
      </c>
    </row>
    <row r="2045" spans="1:15" x14ac:dyDescent="0.25">
      <c r="A2045" t="s">
        <v>2130</v>
      </c>
      <c r="B2045" t="s">
        <v>11</v>
      </c>
      <c r="C2045">
        <v>14</v>
      </c>
      <c r="D2045">
        <v>176</v>
      </c>
      <c r="E2045">
        <v>2464</v>
      </c>
      <c r="F2045" s="3">
        <v>45732</v>
      </c>
      <c r="G2045" s="3">
        <v>45733</v>
      </c>
      <c r="H2045" t="s">
        <v>12</v>
      </c>
      <c r="I2045" t="s">
        <v>3</v>
      </c>
      <c r="J2045">
        <v>3</v>
      </c>
      <c r="K2045" t="s">
        <v>4</v>
      </c>
      <c r="L2045" t="s">
        <v>18</v>
      </c>
      <c r="M2045">
        <f>[1]!orders[[#This Row],[Ship Date]]-[1]!orders[[#This Row],[Order Date]]</f>
        <v>1</v>
      </c>
      <c r="N2045">
        <f>WEEKNUM([1]!orders[[#This Row],[Order Date]])</f>
        <v>12</v>
      </c>
      <c r="O2045" t="str" cm="1">
        <f t="array" ref="O2045">_xlfn.IFS([1]!orders[[#This Row],[Customer Gender]]="M","Male", [1]!orders[[#This Row],[Customer Gender]]="F","Female", [1]!orders[[#This Row],[Customer Gender]]="O","Other", TRUE,"Unknown")</f>
        <v>Female</v>
      </c>
    </row>
    <row r="2046" spans="1:15" x14ac:dyDescent="0.25">
      <c r="A2046" s="1" t="s">
        <v>2131</v>
      </c>
      <c r="B2046" s="1" t="s">
        <v>7</v>
      </c>
      <c r="C2046" s="1">
        <v>1</v>
      </c>
      <c r="D2046" s="1">
        <v>52.4</v>
      </c>
      <c r="E2046" s="1">
        <v>52.4</v>
      </c>
      <c r="F2046" s="2">
        <v>45732</v>
      </c>
      <c r="G2046" s="2">
        <v>45733</v>
      </c>
      <c r="H2046" s="1" t="s">
        <v>8</v>
      </c>
      <c r="I2046" s="1" t="s">
        <v>20</v>
      </c>
      <c r="J2046" s="1">
        <v>4</v>
      </c>
      <c r="K2046" s="1" t="s">
        <v>4</v>
      </c>
      <c r="L2046" s="1" t="s">
        <v>18</v>
      </c>
      <c r="M2046" s="1">
        <f>[1]!orders[[#This Row],[Ship Date]]-[1]!orders[[#This Row],[Order Date]]</f>
        <v>1</v>
      </c>
      <c r="N2046" s="1">
        <f>WEEKNUM([1]!orders[[#This Row],[Order Date]])</f>
        <v>12</v>
      </c>
      <c r="O2046" t="str" cm="1">
        <f t="array" ref="O2046">_xlfn.IFS([1]!orders[[#This Row],[Customer Gender]]="M","Male", [1]!orders[[#This Row],[Customer Gender]]="F","Female", [1]!orders[[#This Row],[Customer Gender]]="O","Other", TRUE,"Unknown")</f>
        <v>Male</v>
      </c>
    </row>
    <row r="2047" spans="1:15" x14ac:dyDescent="0.25">
      <c r="A2047" t="s">
        <v>2132</v>
      </c>
      <c r="B2047" t="s">
        <v>39</v>
      </c>
      <c r="C2047">
        <v>3</v>
      </c>
      <c r="D2047">
        <v>48.2</v>
      </c>
      <c r="E2047">
        <v>144.60000000000002</v>
      </c>
      <c r="F2047" s="3">
        <v>45732</v>
      </c>
      <c r="G2047" s="3">
        <v>45733</v>
      </c>
      <c r="H2047" t="s">
        <v>12</v>
      </c>
      <c r="I2047" t="s">
        <v>20</v>
      </c>
      <c r="J2047">
        <v>5</v>
      </c>
      <c r="K2047" t="s">
        <v>4</v>
      </c>
      <c r="L2047" t="s">
        <v>18</v>
      </c>
      <c r="M2047">
        <f>[1]!orders[[#This Row],[Ship Date]]-[1]!orders[[#This Row],[Order Date]]</f>
        <v>1</v>
      </c>
      <c r="N2047">
        <f>WEEKNUM([1]!orders[[#This Row],[Order Date]])</f>
        <v>12</v>
      </c>
      <c r="O2047" t="str" cm="1">
        <f t="array" ref="O2047">_xlfn.IFS([1]!orders[[#This Row],[Customer Gender]]="M","Male", [1]!orders[[#This Row],[Customer Gender]]="F","Female", [1]!orders[[#This Row],[Customer Gender]]="O","Other", TRUE,"Unknown")</f>
        <v>Female</v>
      </c>
    </row>
    <row r="2048" spans="1:15" x14ac:dyDescent="0.25">
      <c r="A2048" s="1" t="s">
        <v>2133</v>
      </c>
      <c r="B2048" s="1" t="s">
        <v>108</v>
      </c>
      <c r="C2048" s="1">
        <v>1</v>
      </c>
      <c r="D2048" s="1">
        <v>51.6</v>
      </c>
      <c r="E2048" s="1">
        <v>51.6</v>
      </c>
      <c r="F2048" s="2">
        <v>45732</v>
      </c>
      <c r="G2048" s="2">
        <v>45736</v>
      </c>
      <c r="H2048" s="1" t="s">
        <v>12</v>
      </c>
      <c r="I2048" s="1" t="s">
        <v>25</v>
      </c>
      <c r="J2048" s="1">
        <v>3</v>
      </c>
      <c r="K2048" s="1" t="s">
        <v>4</v>
      </c>
      <c r="L2048" s="1" t="s">
        <v>18</v>
      </c>
      <c r="M2048" s="1">
        <f>[1]!orders[[#This Row],[Ship Date]]-[1]!orders[[#This Row],[Order Date]]</f>
        <v>4</v>
      </c>
      <c r="N2048" s="1">
        <f>WEEKNUM([1]!orders[[#This Row],[Order Date]])</f>
        <v>12</v>
      </c>
      <c r="O2048" t="str" cm="1">
        <f t="array" ref="O2048">_xlfn.IFS([1]!orders[[#This Row],[Customer Gender]]="M","Male", [1]!orders[[#This Row],[Customer Gender]]="F","Female", [1]!orders[[#This Row],[Customer Gender]]="O","Other", TRUE,"Unknown")</f>
        <v>Female</v>
      </c>
    </row>
    <row r="2049" spans="1:15" x14ac:dyDescent="0.25">
      <c r="A2049" t="s">
        <v>2134</v>
      </c>
      <c r="B2049" t="s">
        <v>1</v>
      </c>
      <c r="C2049">
        <v>4</v>
      </c>
      <c r="D2049">
        <v>33.700000000000003</v>
      </c>
      <c r="E2049">
        <v>134.80000000000001</v>
      </c>
      <c r="F2049" s="3">
        <v>45733</v>
      </c>
      <c r="G2049" s="3">
        <v>45734</v>
      </c>
      <c r="H2049" t="s">
        <v>8</v>
      </c>
      <c r="I2049" t="s">
        <v>3</v>
      </c>
      <c r="J2049">
        <v>4</v>
      </c>
      <c r="K2049" t="s">
        <v>4</v>
      </c>
      <c r="L2049" t="s">
        <v>18</v>
      </c>
      <c r="M2049">
        <f>[1]!orders[[#This Row],[Ship Date]]-[1]!orders[[#This Row],[Order Date]]</f>
        <v>1</v>
      </c>
      <c r="N2049">
        <f>WEEKNUM([1]!orders[[#This Row],[Order Date]])</f>
        <v>12</v>
      </c>
      <c r="O2049" t="str" cm="1">
        <f t="array" ref="O2049">_xlfn.IFS([1]!orders[[#This Row],[Customer Gender]]="M","Male", [1]!orders[[#This Row],[Customer Gender]]="F","Female", [1]!orders[[#This Row],[Customer Gender]]="O","Other", TRUE,"Unknown")</f>
        <v>Male</v>
      </c>
    </row>
    <row r="2050" spans="1:15" x14ac:dyDescent="0.25">
      <c r="A2050" s="1" t="s">
        <v>2135</v>
      </c>
      <c r="B2050" s="1" t="s">
        <v>17</v>
      </c>
      <c r="C2050" s="1">
        <v>10</v>
      </c>
      <c r="D2050" s="1">
        <v>36.299999999999997</v>
      </c>
      <c r="E2050" s="1">
        <v>363</v>
      </c>
      <c r="F2050" s="2">
        <v>45733</v>
      </c>
      <c r="G2050" s="2">
        <v>45735</v>
      </c>
      <c r="H2050" s="1" t="s">
        <v>12</v>
      </c>
      <c r="I2050" s="1" t="s">
        <v>55</v>
      </c>
      <c r="J2050" s="1">
        <v>3</v>
      </c>
      <c r="K2050" s="1" t="s">
        <v>4</v>
      </c>
      <c r="L2050" s="1" t="s">
        <v>18</v>
      </c>
      <c r="M2050" s="1">
        <f>[1]!orders[[#This Row],[Ship Date]]-[1]!orders[[#This Row],[Order Date]]</f>
        <v>2</v>
      </c>
      <c r="N2050" s="1">
        <f>WEEKNUM([1]!orders[[#This Row],[Order Date]])</f>
        <v>12</v>
      </c>
      <c r="O2050" t="str" cm="1">
        <f t="array" ref="O2050">_xlfn.IFS([1]!orders[[#This Row],[Customer Gender]]="M","Male", [1]!orders[[#This Row],[Customer Gender]]="F","Female", [1]!orders[[#This Row],[Customer Gender]]="O","Other", TRUE,"Unknown")</f>
        <v>Female</v>
      </c>
    </row>
    <row r="2051" spans="1:15" x14ac:dyDescent="0.25">
      <c r="A2051" t="s">
        <v>2136</v>
      </c>
      <c r="B2051" t="s">
        <v>29</v>
      </c>
      <c r="C2051">
        <v>1</v>
      </c>
      <c r="D2051">
        <v>23.4</v>
      </c>
      <c r="E2051">
        <v>23.4</v>
      </c>
      <c r="F2051" s="3">
        <v>45733</v>
      </c>
      <c r="G2051" s="3">
        <v>45738</v>
      </c>
      <c r="H2051" t="s">
        <v>12</v>
      </c>
      <c r="I2051" t="s">
        <v>20</v>
      </c>
      <c r="J2051">
        <v>5</v>
      </c>
      <c r="K2051" t="s">
        <v>4</v>
      </c>
      <c r="L2051" t="s">
        <v>18</v>
      </c>
      <c r="M2051">
        <f>[1]!orders[[#This Row],[Ship Date]]-[1]!orders[[#This Row],[Order Date]]</f>
        <v>5</v>
      </c>
      <c r="N2051">
        <f>WEEKNUM([1]!orders[[#This Row],[Order Date]])</f>
        <v>12</v>
      </c>
      <c r="O2051" t="str" cm="1">
        <f t="array" ref="O2051">_xlfn.IFS([1]!orders[[#This Row],[Customer Gender]]="M","Male", [1]!orders[[#This Row],[Customer Gender]]="F","Female", [1]!orders[[#This Row],[Customer Gender]]="O","Other", TRUE,"Unknown")</f>
        <v>Female</v>
      </c>
    </row>
    <row r="2052" spans="1:15" x14ac:dyDescent="0.25">
      <c r="A2052" s="1" t="s">
        <v>2137</v>
      </c>
      <c r="B2052" s="1" t="s">
        <v>108</v>
      </c>
      <c r="C2052" s="1">
        <v>8</v>
      </c>
      <c r="D2052" s="1">
        <v>56.6</v>
      </c>
      <c r="E2052" s="1">
        <v>452.8</v>
      </c>
      <c r="F2052" s="2">
        <v>45733</v>
      </c>
      <c r="G2052" s="2">
        <v>45735</v>
      </c>
      <c r="H2052" s="1" t="s">
        <v>12</v>
      </c>
      <c r="I2052" s="1" t="s">
        <v>20</v>
      </c>
      <c r="J2052" s="1">
        <v>4</v>
      </c>
      <c r="K2052" s="1" t="s">
        <v>4</v>
      </c>
      <c r="L2052" s="1" t="s">
        <v>18</v>
      </c>
      <c r="M2052" s="1">
        <f>[1]!orders[[#This Row],[Ship Date]]-[1]!orders[[#This Row],[Order Date]]</f>
        <v>2</v>
      </c>
      <c r="N2052" s="1">
        <f>WEEKNUM([1]!orders[[#This Row],[Order Date]])</f>
        <v>12</v>
      </c>
      <c r="O2052" t="str" cm="1">
        <f t="array" ref="O2052">_xlfn.IFS([1]!orders[[#This Row],[Customer Gender]]="M","Male", [1]!orders[[#This Row],[Customer Gender]]="F","Female", [1]!orders[[#This Row],[Customer Gender]]="O","Other", TRUE,"Unknown")</f>
        <v>Female</v>
      </c>
    </row>
    <row r="2053" spans="1:15" x14ac:dyDescent="0.25">
      <c r="A2053" t="s">
        <v>2138</v>
      </c>
      <c r="B2053" t="s">
        <v>108</v>
      </c>
      <c r="C2053">
        <v>2</v>
      </c>
      <c r="D2053">
        <v>26.8</v>
      </c>
      <c r="E2053">
        <v>53.6</v>
      </c>
      <c r="F2053" s="3">
        <v>45733</v>
      </c>
      <c r="G2053" s="3">
        <v>45734</v>
      </c>
      <c r="H2053" t="s">
        <v>8</v>
      </c>
      <c r="I2053" t="s">
        <v>3</v>
      </c>
      <c r="J2053">
        <v>4</v>
      </c>
      <c r="K2053" t="s">
        <v>4</v>
      </c>
      <c r="L2053" t="s">
        <v>34</v>
      </c>
      <c r="M2053">
        <f>[1]!orders[[#This Row],[Ship Date]]-[1]!orders[[#This Row],[Order Date]]</f>
        <v>1</v>
      </c>
      <c r="N2053">
        <f>WEEKNUM([1]!orders[[#This Row],[Order Date]])</f>
        <v>12</v>
      </c>
      <c r="O2053" t="str" cm="1">
        <f t="array" ref="O2053">_xlfn.IFS([1]!orders[[#This Row],[Customer Gender]]="M","Male", [1]!orders[[#This Row],[Customer Gender]]="F","Female", [1]!orders[[#This Row],[Customer Gender]]="O","Other", TRUE,"Unknown")</f>
        <v>Male</v>
      </c>
    </row>
    <row r="2054" spans="1:15" x14ac:dyDescent="0.25">
      <c r="A2054" s="1" t="s">
        <v>2139</v>
      </c>
      <c r="B2054" s="1" t="s">
        <v>1</v>
      </c>
      <c r="C2054" s="1">
        <v>3</v>
      </c>
      <c r="D2054" s="1">
        <v>11.3</v>
      </c>
      <c r="E2054" s="1">
        <v>33.900000000000006</v>
      </c>
      <c r="F2054" s="2">
        <v>45733</v>
      </c>
      <c r="G2054" s="2">
        <v>45735</v>
      </c>
      <c r="H2054" s="1" t="s">
        <v>8</v>
      </c>
      <c r="I2054" s="1" t="s">
        <v>25</v>
      </c>
      <c r="J2054" s="1">
        <v>4</v>
      </c>
      <c r="K2054" s="1" t="s">
        <v>4</v>
      </c>
      <c r="L2054" s="1" t="s">
        <v>173</v>
      </c>
      <c r="M2054" s="1">
        <f>[1]!orders[[#This Row],[Ship Date]]-[1]!orders[[#This Row],[Order Date]]</f>
        <v>2</v>
      </c>
      <c r="N2054" s="1">
        <f>WEEKNUM([1]!orders[[#This Row],[Order Date]])</f>
        <v>12</v>
      </c>
      <c r="O2054" t="str" cm="1">
        <f t="array" ref="O2054">_xlfn.IFS([1]!orders[[#This Row],[Customer Gender]]="M","Male", [1]!orders[[#This Row],[Customer Gender]]="F","Female", [1]!orders[[#This Row],[Customer Gender]]="O","Other", TRUE,"Unknown")</f>
        <v>Male</v>
      </c>
    </row>
    <row r="2055" spans="1:15" x14ac:dyDescent="0.25">
      <c r="A2055" t="s">
        <v>2140</v>
      </c>
      <c r="B2055" t="s">
        <v>24</v>
      </c>
      <c r="C2055">
        <v>3</v>
      </c>
      <c r="D2055">
        <v>60.1</v>
      </c>
      <c r="E2055">
        <v>180.3</v>
      </c>
      <c r="F2055" s="3">
        <v>45733</v>
      </c>
      <c r="G2055" s="3">
        <v>45736</v>
      </c>
      <c r="H2055" t="s">
        <v>12</v>
      </c>
      <c r="I2055" t="s">
        <v>3</v>
      </c>
      <c r="J2055">
        <v>4</v>
      </c>
      <c r="K2055" t="s">
        <v>4</v>
      </c>
      <c r="L2055" t="s">
        <v>44</v>
      </c>
      <c r="M2055">
        <f>[1]!orders[[#This Row],[Ship Date]]-[1]!orders[[#This Row],[Order Date]]</f>
        <v>3</v>
      </c>
      <c r="N2055">
        <f>WEEKNUM([1]!orders[[#This Row],[Order Date]])</f>
        <v>12</v>
      </c>
      <c r="O2055" t="str" cm="1">
        <f t="array" ref="O2055">_xlfn.IFS([1]!orders[[#This Row],[Customer Gender]]="M","Male", [1]!orders[[#This Row],[Customer Gender]]="F","Female", [1]!orders[[#This Row],[Customer Gender]]="O","Other", TRUE,"Unknown")</f>
        <v>Female</v>
      </c>
    </row>
    <row r="2056" spans="1:15" x14ac:dyDescent="0.25">
      <c r="A2056" s="1" t="s">
        <v>2141</v>
      </c>
      <c r="B2056" s="1" t="s">
        <v>1</v>
      </c>
      <c r="C2056" s="1">
        <v>11</v>
      </c>
      <c r="D2056" s="1">
        <v>27.7</v>
      </c>
      <c r="E2056" s="1">
        <v>304.7</v>
      </c>
      <c r="F2056" s="2">
        <v>45733</v>
      </c>
      <c r="G2056" s="2">
        <v>45738</v>
      </c>
      <c r="H2056" s="1" t="s">
        <v>12</v>
      </c>
      <c r="I2056" s="1" t="s">
        <v>3</v>
      </c>
      <c r="J2056" s="1">
        <v>4</v>
      </c>
      <c r="K2056" s="1" t="s">
        <v>4</v>
      </c>
      <c r="L2056" s="1" t="s">
        <v>47</v>
      </c>
      <c r="M2056" s="1">
        <f>[1]!orders[[#This Row],[Ship Date]]-[1]!orders[[#This Row],[Order Date]]</f>
        <v>5</v>
      </c>
      <c r="N2056" s="1">
        <f>WEEKNUM([1]!orders[[#This Row],[Order Date]])</f>
        <v>12</v>
      </c>
      <c r="O2056" t="str" cm="1">
        <f t="array" ref="O2056">_xlfn.IFS([1]!orders[[#This Row],[Customer Gender]]="M","Male", [1]!orders[[#This Row],[Customer Gender]]="F","Female", [1]!orders[[#This Row],[Customer Gender]]="O","Other", TRUE,"Unknown")</f>
        <v>Female</v>
      </c>
    </row>
    <row r="2057" spans="1:15" x14ac:dyDescent="0.25">
      <c r="A2057" t="s">
        <v>2142</v>
      </c>
      <c r="B2057" t="s">
        <v>108</v>
      </c>
      <c r="C2057">
        <v>1</v>
      </c>
      <c r="D2057">
        <v>71.400000000000006</v>
      </c>
      <c r="E2057">
        <v>71.400000000000006</v>
      </c>
      <c r="F2057" s="3">
        <v>45733</v>
      </c>
      <c r="G2057" s="3">
        <v>45736</v>
      </c>
      <c r="H2057" t="s">
        <v>8</v>
      </c>
      <c r="I2057" t="s">
        <v>3</v>
      </c>
      <c r="J2057">
        <v>5</v>
      </c>
      <c r="K2057" t="s">
        <v>4</v>
      </c>
      <c r="L2057" t="s">
        <v>47</v>
      </c>
      <c r="M2057">
        <f>[1]!orders[[#This Row],[Ship Date]]-[1]!orders[[#This Row],[Order Date]]</f>
        <v>3</v>
      </c>
      <c r="N2057">
        <f>WEEKNUM([1]!orders[[#This Row],[Order Date]])</f>
        <v>12</v>
      </c>
      <c r="O2057" t="str" cm="1">
        <f t="array" ref="O2057">_xlfn.IFS([1]!orders[[#This Row],[Customer Gender]]="M","Male", [1]!orders[[#This Row],[Customer Gender]]="F","Female", [1]!orders[[#This Row],[Customer Gender]]="O","Other", TRUE,"Unknown")</f>
        <v>Male</v>
      </c>
    </row>
    <row r="2058" spans="1:15" x14ac:dyDescent="0.25">
      <c r="A2058" s="1" t="s">
        <v>2143</v>
      </c>
      <c r="B2058" s="1" t="s">
        <v>11</v>
      </c>
      <c r="C2058" s="1">
        <v>2</v>
      </c>
      <c r="D2058" s="1">
        <v>66.7</v>
      </c>
      <c r="E2058" s="1">
        <v>133.4</v>
      </c>
      <c r="F2058" s="2">
        <v>45733</v>
      </c>
      <c r="G2058" s="2">
        <v>45734</v>
      </c>
      <c r="H2058" s="1" t="s">
        <v>12</v>
      </c>
      <c r="I2058" s="1" t="s">
        <v>3</v>
      </c>
      <c r="J2058" s="1">
        <v>5</v>
      </c>
      <c r="K2058" s="1" t="s">
        <v>4</v>
      </c>
      <c r="L2058" s="1" t="s">
        <v>47</v>
      </c>
      <c r="M2058" s="1">
        <f>[1]!orders[[#This Row],[Ship Date]]-[1]!orders[[#This Row],[Order Date]]</f>
        <v>1</v>
      </c>
      <c r="N2058" s="1">
        <f>WEEKNUM([1]!orders[[#This Row],[Order Date]])</f>
        <v>12</v>
      </c>
      <c r="O2058" t="str" cm="1">
        <f t="array" ref="O2058">_xlfn.IFS([1]!orders[[#This Row],[Customer Gender]]="M","Male", [1]!orders[[#This Row],[Customer Gender]]="F","Female", [1]!orders[[#This Row],[Customer Gender]]="O","Other", TRUE,"Unknown")</f>
        <v>Female</v>
      </c>
    </row>
    <row r="2059" spans="1:15" x14ac:dyDescent="0.25">
      <c r="A2059" t="s">
        <v>2144</v>
      </c>
      <c r="B2059" t="s">
        <v>61</v>
      </c>
      <c r="C2059">
        <v>5</v>
      </c>
      <c r="D2059">
        <v>39.1</v>
      </c>
      <c r="E2059">
        <v>195.5</v>
      </c>
      <c r="F2059" s="3">
        <v>45733</v>
      </c>
      <c r="G2059" s="3">
        <v>45734</v>
      </c>
      <c r="H2059" t="s">
        <v>12</v>
      </c>
      <c r="I2059" t="s">
        <v>3</v>
      </c>
      <c r="J2059">
        <v>4</v>
      </c>
      <c r="K2059" t="s">
        <v>4</v>
      </c>
      <c r="L2059" t="s">
        <v>47</v>
      </c>
      <c r="M2059">
        <f>[1]!orders[[#This Row],[Ship Date]]-[1]!orders[[#This Row],[Order Date]]</f>
        <v>1</v>
      </c>
      <c r="N2059">
        <f>WEEKNUM([1]!orders[[#This Row],[Order Date]])</f>
        <v>12</v>
      </c>
      <c r="O2059" t="str" cm="1">
        <f t="array" ref="O2059">_xlfn.IFS([1]!orders[[#This Row],[Customer Gender]]="M","Male", [1]!orders[[#This Row],[Customer Gender]]="F","Female", [1]!orders[[#This Row],[Customer Gender]]="O","Other", TRUE,"Unknown")</f>
        <v>Female</v>
      </c>
    </row>
    <row r="2060" spans="1:15" x14ac:dyDescent="0.25">
      <c r="A2060" s="1" t="s">
        <v>2145</v>
      </c>
      <c r="B2060" s="1" t="s">
        <v>29</v>
      </c>
      <c r="C2060" s="1">
        <v>4</v>
      </c>
      <c r="D2060" s="1">
        <v>24.9</v>
      </c>
      <c r="E2060" s="1">
        <v>99.6</v>
      </c>
      <c r="F2060" s="2">
        <v>45733</v>
      </c>
      <c r="G2060" s="2">
        <v>45738</v>
      </c>
      <c r="H2060" s="1" t="s">
        <v>8</v>
      </c>
      <c r="I2060" s="1" t="s">
        <v>20</v>
      </c>
      <c r="J2060" s="1">
        <v>5</v>
      </c>
      <c r="K2060" s="1" t="s">
        <v>4</v>
      </c>
      <c r="L2060" s="1" t="s">
        <v>47</v>
      </c>
      <c r="M2060" s="1">
        <f>[1]!orders[[#This Row],[Ship Date]]-[1]!orders[[#This Row],[Order Date]]</f>
        <v>5</v>
      </c>
      <c r="N2060" s="1">
        <f>WEEKNUM([1]!orders[[#This Row],[Order Date]])</f>
        <v>12</v>
      </c>
      <c r="O2060" t="str" cm="1">
        <f t="array" ref="O2060">_xlfn.IFS([1]!orders[[#This Row],[Customer Gender]]="M","Male", [1]!orders[[#This Row],[Customer Gender]]="F","Female", [1]!orders[[#This Row],[Customer Gender]]="O","Other", TRUE,"Unknown")</f>
        <v>Male</v>
      </c>
    </row>
    <row r="2061" spans="1:15" x14ac:dyDescent="0.25">
      <c r="A2061" t="s">
        <v>2146</v>
      </c>
      <c r="B2061" t="s">
        <v>22</v>
      </c>
      <c r="C2061">
        <v>5</v>
      </c>
      <c r="D2061">
        <v>29.2</v>
      </c>
      <c r="E2061">
        <v>146</v>
      </c>
      <c r="F2061" s="3">
        <v>45733</v>
      </c>
      <c r="G2061" s="3">
        <v>45734</v>
      </c>
      <c r="H2061" t="s">
        <v>8</v>
      </c>
      <c r="I2061" t="s">
        <v>3</v>
      </c>
      <c r="J2061">
        <v>5</v>
      </c>
      <c r="K2061" t="s">
        <v>4</v>
      </c>
      <c r="L2061" t="s">
        <v>88</v>
      </c>
      <c r="M2061">
        <f>[1]!orders[[#This Row],[Ship Date]]-[1]!orders[[#This Row],[Order Date]]</f>
        <v>1</v>
      </c>
      <c r="N2061">
        <f>WEEKNUM([1]!orders[[#This Row],[Order Date]])</f>
        <v>12</v>
      </c>
      <c r="O2061" t="str" cm="1">
        <f t="array" ref="O2061">_xlfn.IFS([1]!orders[[#This Row],[Customer Gender]]="M","Male", [1]!orders[[#This Row],[Customer Gender]]="F","Female", [1]!orders[[#This Row],[Customer Gender]]="O","Other", TRUE,"Unknown")</f>
        <v>Male</v>
      </c>
    </row>
    <row r="2062" spans="1:15" x14ac:dyDescent="0.25">
      <c r="A2062" s="1" t="s">
        <v>2147</v>
      </c>
      <c r="B2062" s="1" t="s">
        <v>61</v>
      </c>
      <c r="C2062" s="1">
        <v>14</v>
      </c>
      <c r="D2062" s="1">
        <v>28.3</v>
      </c>
      <c r="E2062" s="1">
        <v>396.2</v>
      </c>
      <c r="F2062" s="2">
        <v>45733</v>
      </c>
      <c r="G2062" s="2">
        <v>45735</v>
      </c>
      <c r="H2062" s="1" t="s">
        <v>12</v>
      </c>
      <c r="I2062" s="1" t="s">
        <v>20</v>
      </c>
      <c r="J2062" s="1">
        <v>4</v>
      </c>
      <c r="K2062" s="1" t="s">
        <v>4</v>
      </c>
      <c r="L2062" s="1" t="s">
        <v>62</v>
      </c>
      <c r="M2062" s="1">
        <f>[1]!orders[[#This Row],[Ship Date]]-[1]!orders[[#This Row],[Order Date]]</f>
        <v>2</v>
      </c>
      <c r="N2062" s="1">
        <f>WEEKNUM([1]!orders[[#This Row],[Order Date]])</f>
        <v>12</v>
      </c>
      <c r="O2062" t="str" cm="1">
        <f t="array" ref="O2062">_xlfn.IFS([1]!orders[[#This Row],[Customer Gender]]="M","Male", [1]!orders[[#This Row],[Customer Gender]]="F","Female", [1]!orders[[#This Row],[Customer Gender]]="O","Other", TRUE,"Unknown")</f>
        <v>Female</v>
      </c>
    </row>
    <row r="2063" spans="1:15" x14ac:dyDescent="0.25">
      <c r="A2063" t="s">
        <v>2148</v>
      </c>
      <c r="B2063" t="s">
        <v>31</v>
      </c>
      <c r="C2063">
        <v>3</v>
      </c>
      <c r="D2063">
        <v>37.799999999999997</v>
      </c>
      <c r="E2063">
        <v>113.39999999999999</v>
      </c>
      <c r="F2063" s="3">
        <v>45733</v>
      </c>
      <c r="G2063" s="3">
        <v>45734</v>
      </c>
      <c r="H2063" t="s">
        <v>12</v>
      </c>
      <c r="I2063" t="s">
        <v>3</v>
      </c>
      <c r="J2063">
        <v>3</v>
      </c>
      <c r="K2063" t="s">
        <v>4</v>
      </c>
      <c r="L2063" t="s">
        <v>62</v>
      </c>
      <c r="M2063">
        <f>[1]!orders[[#This Row],[Ship Date]]-[1]!orders[[#This Row],[Order Date]]</f>
        <v>1</v>
      </c>
      <c r="N2063">
        <f>WEEKNUM([1]!orders[[#This Row],[Order Date]])</f>
        <v>12</v>
      </c>
      <c r="O2063" t="str" cm="1">
        <f t="array" ref="O2063">_xlfn.IFS([1]!orders[[#This Row],[Customer Gender]]="M","Male", [1]!orders[[#This Row],[Customer Gender]]="F","Female", [1]!orders[[#This Row],[Customer Gender]]="O","Other", TRUE,"Unknown")</f>
        <v>Female</v>
      </c>
    </row>
    <row r="2064" spans="1:15" x14ac:dyDescent="0.25">
      <c r="A2064" s="1" t="s">
        <v>2149</v>
      </c>
      <c r="B2064" s="1" t="s">
        <v>66</v>
      </c>
      <c r="C2064" s="1">
        <v>7</v>
      </c>
      <c r="D2064" s="1">
        <v>28.1</v>
      </c>
      <c r="E2064" s="1">
        <v>196.70000000000002</v>
      </c>
      <c r="F2064" s="2">
        <v>45733</v>
      </c>
      <c r="G2064" s="2">
        <v>45739</v>
      </c>
      <c r="H2064" s="1" t="s">
        <v>12</v>
      </c>
      <c r="I2064" s="1" t="s">
        <v>25</v>
      </c>
      <c r="J2064" s="1">
        <v>4</v>
      </c>
      <c r="K2064" s="1" t="s">
        <v>4</v>
      </c>
      <c r="L2064" s="1" t="s">
        <v>62</v>
      </c>
      <c r="M2064" s="1">
        <f>[1]!orders[[#This Row],[Ship Date]]-[1]!orders[[#This Row],[Order Date]]</f>
        <v>6</v>
      </c>
      <c r="N2064" s="1">
        <f>WEEKNUM([1]!orders[[#This Row],[Order Date]])</f>
        <v>12</v>
      </c>
      <c r="O2064" t="str" cm="1">
        <f t="array" ref="O2064">_xlfn.IFS([1]!orders[[#This Row],[Customer Gender]]="M","Male", [1]!orders[[#This Row],[Customer Gender]]="F","Female", [1]!orders[[#This Row],[Customer Gender]]="O","Other", TRUE,"Unknown")</f>
        <v>Female</v>
      </c>
    </row>
    <row r="2065" spans="1:15" x14ac:dyDescent="0.25">
      <c r="A2065" t="s">
        <v>2150</v>
      </c>
      <c r="B2065" t="s">
        <v>7</v>
      </c>
      <c r="C2065">
        <v>3</v>
      </c>
      <c r="D2065">
        <v>59.7</v>
      </c>
      <c r="E2065">
        <v>179.10000000000002</v>
      </c>
      <c r="F2065" s="3">
        <v>45733</v>
      </c>
      <c r="G2065" s="3">
        <v>45735</v>
      </c>
      <c r="H2065" t="s">
        <v>12</v>
      </c>
      <c r="I2065" t="s">
        <v>25</v>
      </c>
      <c r="J2065">
        <v>4</v>
      </c>
      <c r="K2065" t="s">
        <v>4</v>
      </c>
      <c r="L2065" t="s">
        <v>62</v>
      </c>
      <c r="M2065">
        <f>[1]!orders[[#This Row],[Ship Date]]-[1]!orders[[#This Row],[Order Date]]</f>
        <v>2</v>
      </c>
      <c r="N2065">
        <f>WEEKNUM([1]!orders[[#This Row],[Order Date]])</f>
        <v>12</v>
      </c>
      <c r="O2065" t="str" cm="1">
        <f t="array" ref="O2065">_xlfn.IFS([1]!orders[[#This Row],[Customer Gender]]="M","Male", [1]!orders[[#This Row],[Customer Gender]]="F","Female", [1]!orders[[#This Row],[Customer Gender]]="O","Other", TRUE,"Unknown")</f>
        <v>Female</v>
      </c>
    </row>
    <row r="2066" spans="1:15" x14ac:dyDescent="0.25">
      <c r="A2066" s="1" t="s">
        <v>2151</v>
      </c>
      <c r="B2066" s="1" t="s">
        <v>113</v>
      </c>
      <c r="C2066" s="1">
        <v>1</v>
      </c>
      <c r="D2066" s="1">
        <v>71.900000000000006</v>
      </c>
      <c r="E2066" s="1">
        <v>71.900000000000006</v>
      </c>
      <c r="F2066" s="2">
        <v>45733</v>
      </c>
      <c r="G2066" s="2">
        <v>45734</v>
      </c>
      <c r="H2066" s="1" t="s">
        <v>8</v>
      </c>
      <c r="I2066" s="1" t="s">
        <v>20</v>
      </c>
      <c r="J2066" s="1">
        <v>3</v>
      </c>
      <c r="K2066" s="1" t="s">
        <v>4</v>
      </c>
      <c r="L2066" s="1" t="s">
        <v>62</v>
      </c>
      <c r="M2066" s="1">
        <f>[1]!orders[[#This Row],[Ship Date]]-[1]!orders[[#This Row],[Order Date]]</f>
        <v>1</v>
      </c>
      <c r="N2066" s="1">
        <f>WEEKNUM([1]!orders[[#This Row],[Order Date]])</f>
        <v>12</v>
      </c>
      <c r="O2066" t="str" cm="1">
        <f t="array" ref="O2066">_xlfn.IFS([1]!orders[[#This Row],[Customer Gender]]="M","Male", [1]!orders[[#This Row],[Customer Gender]]="F","Female", [1]!orders[[#This Row],[Customer Gender]]="O","Other", TRUE,"Unknown")</f>
        <v>Male</v>
      </c>
    </row>
    <row r="2067" spans="1:15" x14ac:dyDescent="0.25">
      <c r="A2067" t="s">
        <v>2152</v>
      </c>
      <c r="B2067" t="s">
        <v>7</v>
      </c>
      <c r="C2067">
        <v>2</v>
      </c>
      <c r="D2067">
        <v>56.9</v>
      </c>
      <c r="E2067">
        <v>113.8</v>
      </c>
      <c r="F2067" s="3">
        <v>45733</v>
      </c>
      <c r="G2067" s="3">
        <v>45734</v>
      </c>
      <c r="H2067" t="s">
        <v>8</v>
      </c>
      <c r="I2067" t="s">
        <v>25</v>
      </c>
      <c r="J2067">
        <v>4</v>
      </c>
      <c r="K2067" t="s">
        <v>4</v>
      </c>
      <c r="L2067" t="s">
        <v>67</v>
      </c>
      <c r="M2067">
        <f>[1]!orders[[#This Row],[Ship Date]]-[1]!orders[[#This Row],[Order Date]]</f>
        <v>1</v>
      </c>
      <c r="N2067">
        <f>WEEKNUM([1]!orders[[#This Row],[Order Date]])</f>
        <v>12</v>
      </c>
      <c r="O2067" t="str" cm="1">
        <f t="array" ref="O2067">_xlfn.IFS([1]!orders[[#This Row],[Customer Gender]]="M","Male", [1]!orders[[#This Row],[Customer Gender]]="F","Female", [1]!orders[[#This Row],[Customer Gender]]="O","Other", TRUE,"Unknown")</f>
        <v>Male</v>
      </c>
    </row>
    <row r="2068" spans="1:15" x14ac:dyDescent="0.25">
      <c r="A2068" s="1" t="s">
        <v>2153</v>
      </c>
      <c r="B2068" s="1" t="s">
        <v>29</v>
      </c>
      <c r="C2068" s="1">
        <v>2</v>
      </c>
      <c r="D2068" s="1">
        <v>15.8</v>
      </c>
      <c r="E2068" s="1">
        <v>31.6</v>
      </c>
      <c r="F2068" s="2">
        <v>45733</v>
      </c>
      <c r="G2068" s="2">
        <v>45736</v>
      </c>
      <c r="H2068" s="1" t="s">
        <v>12</v>
      </c>
      <c r="I2068" s="1" t="s">
        <v>25</v>
      </c>
      <c r="J2068" s="1">
        <v>3</v>
      </c>
      <c r="K2068" s="1" t="s">
        <v>4</v>
      </c>
      <c r="L2068" s="1" t="s">
        <v>9</v>
      </c>
      <c r="M2068" s="1">
        <f>[1]!orders[[#This Row],[Ship Date]]-[1]!orders[[#This Row],[Order Date]]</f>
        <v>3</v>
      </c>
      <c r="N2068" s="1">
        <f>WEEKNUM([1]!orders[[#This Row],[Order Date]])</f>
        <v>12</v>
      </c>
      <c r="O2068" t="str" cm="1">
        <f t="array" ref="O2068">_xlfn.IFS([1]!orders[[#This Row],[Customer Gender]]="M","Male", [1]!orders[[#This Row],[Customer Gender]]="F","Female", [1]!orders[[#This Row],[Customer Gender]]="O","Other", TRUE,"Unknown")</f>
        <v>Female</v>
      </c>
    </row>
    <row r="2069" spans="1:15" x14ac:dyDescent="0.25">
      <c r="A2069" t="s">
        <v>2154</v>
      </c>
      <c r="B2069" t="s">
        <v>52</v>
      </c>
      <c r="C2069">
        <v>4</v>
      </c>
      <c r="D2069">
        <v>61.7</v>
      </c>
      <c r="E2069">
        <v>246.8</v>
      </c>
      <c r="F2069" s="3">
        <v>45733</v>
      </c>
      <c r="G2069" s="3">
        <v>45735</v>
      </c>
      <c r="H2069" t="s">
        <v>12</v>
      </c>
      <c r="I2069" t="s">
        <v>25</v>
      </c>
      <c r="J2069">
        <v>4</v>
      </c>
      <c r="K2069" t="s">
        <v>4</v>
      </c>
      <c r="L2069" t="s">
        <v>132</v>
      </c>
      <c r="M2069">
        <f>[1]!orders[[#This Row],[Ship Date]]-[1]!orders[[#This Row],[Order Date]]</f>
        <v>2</v>
      </c>
      <c r="N2069">
        <f>WEEKNUM([1]!orders[[#This Row],[Order Date]])</f>
        <v>12</v>
      </c>
      <c r="O2069" t="str" cm="1">
        <f t="array" ref="O2069">_xlfn.IFS([1]!orders[[#This Row],[Customer Gender]]="M","Male", [1]!orders[[#This Row],[Customer Gender]]="F","Female", [1]!orders[[#This Row],[Customer Gender]]="O","Other", TRUE,"Unknown")</f>
        <v>Female</v>
      </c>
    </row>
    <row r="2070" spans="1:15" x14ac:dyDescent="0.25">
      <c r="A2070" s="1" t="s">
        <v>2155</v>
      </c>
      <c r="B2070" s="1" t="s">
        <v>11</v>
      </c>
      <c r="C2070" s="1">
        <v>10</v>
      </c>
      <c r="D2070" s="1">
        <v>105.2</v>
      </c>
      <c r="E2070" s="1">
        <v>1052</v>
      </c>
      <c r="F2070" s="2">
        <v>45733</v>
      </c>
      <c r="G2070" s="2">
        <v>45735</v>
      </c>
      <c r="H2070" s="1" t="s">
        <v>8</v>
      </c>
      <c r="I2070" s="1" t="s">
        <v>20</v>
      </c>
      <c r="J2070" s="1">
        <v>2</v>
      </c>
      <c r="K2070" s="1" t="s">
        <v>4</v>
      </c>
      <c r="L2070" s="1" t="s">
        <v>18</v>
      </c>
      <c r="M2070" s="1">
        <f>[1]!orders[[#This Row],[Ship Date]]-[1]!orders[[#This Row],[Order Date]]</f>
        <v>2</v>
      </c>
      <c r="N2070" s="1">
        <f>WEEKNUM([1]!orders[[#This Row],[Order Date]])</f>
        <v>12</v>
      </c>
      <c r="O2070" t="str" cm="1">
        <f t="array" ref="O2070">_xlfn.IFS([1]!orders[[#This Row],[Customer Gender]]="M","Male", [1]!orders[[#This Row],[Customer Gender]]="F","Female", [1]!orders[[#This Row],[Customer Gender]]="O","Other", TRUE,"Unknown")</f>
        <v>Male</v>
      </c>
    </row>
    <row r="2071" spans="1:15" x14ac:dyDescent="0.25">
      <c r="A2071" t="s">
        <v>2156</v>
      </c>
      <c r="B2071" t="s">
        <v>1</v>
      </c>
      <c r="C2071">
        <v>2</v>
      </c>
      <c r="D2071">
        <v>17</v>
      </c>
      <c r="E2071">
        <v>34</v>
      </c>
      <c r="F2071" s="3">
        <v>45733</v>
      </c>
      <c r="G2071" s="3">
        <v>45735</v>
      </c>
      <c r="H2071" t="s">
        <v>12</v>
      </c>
      <c r="I2071" t="s">
        <v>25</v>
      </c>
      <c r="J2071">
        <v>4</v>
      </c>
      <c r="K2071" t="s">
        <v>4</v>
      </c>
      <c r="L2071" t="s">
        <v>18</v>
      </c>
      <c r="M2071">
        <f>[1]!orders[[#This Row],[Ship Date]]-[1]!orders[[#This Row],[Order Date]]</f>
        <v>2</v>
      </c>
      <c r="N2071">
        <f>WEEKNUM([1]!orders[[#This Row],[Order Date]])</f>
        <v>12</v>
      </c>
      <c r="O2071" t="str" cm="1">
        <f t="array" ref="O2071">_xlfn.IFS([1]!orders[[#This Row],[Customer Gender]]="M","Male", [1]!orders[[#This Row],[Customer Gender]]="F","Female", [1]!orders[[#This Row],[Customer Gender]]="O","Other", TRUE,"Unknown")</f>
        <v>Female</v>
      </c>
    </row>
    <row r="2072" spans="1:15" x14ac:dyDescent="0.25">
      <c r="A2072" s="1" t="s">
        <v>2157</v>
      </c>
      <c r="B2072" s="1" t="s">
        <v>24</v>
      </c>
      <c r="C2072" s="1">
        <v>3</v>
      </c>
      <c r="D2072" s="1">
        <v>84.1</v>
      </c>
      <c r="E2072" s="1">
        <v>252.29999999999998</v>
      </c>
      <c r="F2072" s="2">
        <v>45733</v>
      </c>
      <c r="G2072" s="2">
        <v>45734</v>
      </c>
      <c r="H2072" s="1" t="s">
        <v>8</v>
      </c>
      <c r="I2072" s="1" t="s">
        <v>25</v>
      </c>
      <c r="J2072" s="1">
        <v>4</v>
      </c>
      <c r="K2072" s="1" t="s">
        <v>4</v>
      </c>
      <c r="L2072" s="1" t="s">
        <v>18</v>
      </c>
      <c r="M2072" s="1">
        <f>[1]!orders[[#This Row],[Ship Date]]-[1]!orders[[#This Row],[Order Date]]</f>
        <v>1</v>
      </c>
      <c r="N2072" s="1">
        <f>WEEKNUM([1]!orders[[#This Row],[Order Date]])</f>
        <v>12</v>
      </c>
      <c r="O2072" t="str" cm="1">
        <f t="array" ref="O2072">_xlfn.IFS([1]!orders[[#This Row],[Customer Gender]]="M","Male", [1]!orders[[#This Row],[Customer Gender]]="F","Female", [1]!orders[[#This Row],[Customer Gender]]="O","Other", TRUE,"Unknown")</f>
        <v>Male</v>
      </c>
    </row>
    <row r="2073" spans="1:15" x14ac:dyDescent="0.25">
      <c r="A2073" t="s">
        <v>2158</v>
      </c>
      <c r="B2073" t="s">
        <v>15</v>
      </c>
      <c r="C2073">
        <v>4</v>
      </c>
      <c r="D2073">
        <v>59.5</v>
      </c>
      <c r="E2073">
        <v>238</v>
      </c>
      <c r="F2073" s="3">
        <v>45733</v>
      </c>
      <c r="G2073" s="3">
        <v>45738</v>
      </c>
      <c r="H2073" t="s">
        <v>8</v>
      </c>
      <c r="I2073" t="s">
        <v>3</v>
      </c>
      <c r="J2073">
        <v>5</v>
      </c>
      <c r="K2073" t="s">
        <v>4</v>
      </c>
      <c r="L2073" t="s">
        <v>18</v>
      </c>
      <c r="M2073">
        <f>[1]!orders[[#This Row],[Ship Date]]-[1]!orders[[#This Row],[Order Date]]</f>
        <v>5</v>
      </c>
      <c r="N2073">
        <f>WEEKNUM([1]!orders[[#This Row],[Order Date]])</f>
        <v>12</v>
      </c>
      <c r="O2073" t="str" cm="1">
        <f t="array" ref="O2073">_xlfn.IFS([1]!orders[[#This Row],[Customer Gender]]="M","Male", [1]!orders[[#This Row],[Customer Gender]]="F","Female", [1]!orders[[#This Row],[Customer Gender]]="O","Other", TRUE,"Unknown")</f>
        <v>Male</v>
      </c>
    </row>
    <row r="2074" spans="1:15" x14ac:dyDescent="0.25">
      <c r="A2074" s="1" t="s">
        <v>2159</v>
      </c>
      <c r="B2074" s="1" t="s">
        <v>29</v>
      </c>
      <c r="C2074" s="1">
        <v>2</v>
      </c>
      <c r="D2074" s="1">
        <v>57.5</v>
      </c>
      <c r="E2074" s="1">
        <v>115</v>
      </c>
      <c r="F2074" s="2">
        <v>45733</v>
      </c>
      <c r="G2074" s="2">
        <v>45735</v>
      </c>
      <c r="H2074" s="1" t="s">
        <v>8</v>
      </c>
      <c r="I2074" s="1" t="s">
        <v>20</v>
      </c>
      <c r="J2074" s="1">
        <v>5</v>
      </c>
      <c r="K2074" s="1" t="s">
        <v>4</v>
      </c>
      <c r="L2074" s="1" t="s">
        <v>18</v>
      </c>
      <c r="M2074" s="1">
        <f>[1]!orders[[#This Row],[Ship Date]]-[1]!orders[[#This Row],[Order Date]]</f>
        <v>2</v>
      </c>
      <c r="N2074" s="1">
        <f>WEEKNUM([1]!orders[[#This Row],[Order Date]])</f>
        <v>12</v>
      </c>
      <c r="O2074" t="str" cm="1">
        <f t="array" ref="O2074">_xlfn.IFS([1]!orders[[#This Row],[Customer Gender]]="M","Male", [1]!orders[[#This Row],[Customer Gender]]="F","Female", [1]!orders[[#This Row],[Customer Gender]]="O","Other", TRUE,"Unknown")</f>
        <v>Male</v>
      </c>
    </row>
    <row r="2075" spans="1:15" x14ac:dyDescent="0.25">
      <c r="A2075" t="s">
        <v>2160</v>
      </c>
      <c r="B2075" t="s">
        <v>29</v>
      </c>
      <c r="C2075">
        <v>1</v>
      </c>
      <c r="D2075">
        <v>34.299999999999997</v>
      </c>
      <c r="E2075">
        <v>34.299999999999997</v>
      </c>
      <c r="F2075" s="3">
        <v>45733</v>
      </c>
      <c r="G2075" s="3">
        <v>45734</v>
      </c>
      <c r="H2075" t="s">
        <v>12</v>
      </c>
      <c r="I2075" t="s">
        <v>55</v>
      </c>
      <c r="J2075">
        <v>5</v>
      </c>
      <c r="K2075" t="s">
        <v>4</v>
      </c>
      <c r="L2075" t="s">
        <v>18</v>
      </c>
      <c r="M2075">
        <f>[1]!orders[[#This Row],[Ship Date]]-[1]!orders[[#This Row],[Order Date]]</f>
        <v>1</v>
      </c>
      <c r="N2075">
        <f>WEEKNUM([1]!orders[[#This Row],[Order Date]])</f>
        <v>12</v>
      </c>
      <c r="O2075" t="str" cm="1">
        <f t="array" ref="O2075">_xlfn.IFS([1]!orders[[#This Row],[Customer Gender]]="M","Male", [1]!orders[[#This Row],[Customer Gender]]="F","Female", [1]!orders[[#This Row],[Customer Gender]]="O","Other", TRUE,"Unknown")</f>
        <v>Female</v>
      </c>
    </row>
    <row r="2076" spans="1:15" x14ac:dyDescent="0.25">
      <c r="A2076" s="1" t="s">
        <v>2161</v>
      </c>
      <c r="B2076" s="1" t="s">
        <v>22</v>
      </c>
      <c r="C2076" s="1">
        <v>2</v>
      </c>
      <c r="D2076" s="1">
        <v>27.8</v>
      </c>
      <c r="E2076" s="1">
        <v>55.6</v>
      </c>
      <c r="F2076" s="2">
        <v>45734</v>
      </c>
      <c r="G2076" s="2">
        <v>45736</v>
      </c>
      <c r="H2076" s="1" t="s">
        <v>12</v>
      </c>
      <c r="I2076" s="1" t="s">
        <v>3</v>
      </c>
      <c r="J2076" s="1">
        <v>4</v>
      </c>
      <c r="K2076" s="1" t="s">
        <v>4</v>
      </c>
      <c r="L2076" s="1" t="s">
        <v>18</v>
      </c>
      <c r="M2076" s="1">
        <f>[1]!orders[[#This Row],[Ship Date]]-[1]!orders[[#This Row],[Order Date]]</f>
        <v>2</v>
      </c>
      <c r="N2076" s="1">
        <f>WEEKNUM([1]!orders[[#This Row],[Order Date]])</f>
        <v>12</v>
      </c>
      <c r="O2076" t="str" cm="1">
        <f t="array" ref="O2076">_xlfn.IFS([1]!orders[[#This Row],[Customer Gender]]="M","Male", [1]!orders[[#This Row],[Customer Gender]]="F","Female", [1]!orders[[#This Row],[Customer Gender]]="O","Other", TRUE,"Unknown")</f>
        <v>Female</v>
      </c>
    </row>
    <row r="2077" spans="1:15" x14ac:dyDescent="0.25">
      <c r="A2077" t="s">
        <v>2162</v>
      </c>
      <c r="B2077" t="s">
        <v>54</v>
      </c>
      <c r="C2077">
        <v>2</v>
      </c>
      <c r="D2077">
        <v>85</v>
      </c>
      <c r="E2077">
        <v>170</v>
      </c>
      <c r="F2077" s="3">
        <v>45734</v>
      </c>
      <c r="G2077" s="3">
        <v>45734</v>
      </c>
      <c r="H2077" t="s">
        <v>8</v>
      </c>
      <c r="I2077" t="s">
        <v>25</v>
      </c>
      <c r="J2077">
        <v>5</v>
      </c>
      <c r="K2077" t="s">
        <v>4</v>
      </c>
      <c r="L2077" t="s">
        <v>18</v>
      </c>
      <c r="M2077">
        <f>[1]!orders[[#This Row],[Ship Date]]-[1]!orders[[#This Row],[Order Date]]</f>
        <v>0</v>
      </c>
      <c r="N2077">
        <f>WEEKNUM([1]!orders[[#This Row],[Order Date]])</f>
        <v>12</v>
      </c>
      <c r="O2077" t="str" cm="1">
        <f t="array" ref="O2077">_xlfn.IFS([1]!orders[[#This Row],[Customer Gender]]="M","Male", [1]!orders[[#This Row],[Customer Gender]]="F","Female", [1]!orders[[#This Row],[Customer Gender]]="O","Other", TRUE,"Unknown")</f>
        <v>Male</v>
      </c>
    </row>
    <row r="2078" spans="1:15" x14ac:dyDescent="0.25">
      <c r="A2078" s="1" t="s">
        <v>2163</v>
      </c>
      <c r="B2078" s="1" t="s">
        <v>24</v>
      </c>
      <c r="C2078" s="1">
        <v>2</v>
      </c>
      <c r="D2078" s="1">
        <v>95</v>
      </c>
      <c r="E2078" s="1">
        <v>190</v>
      </c>
      <c r="F2078" s="2">
        <v>45734</v>
      </c>
      <c r="G2078" s="2">
        <v>45736</v>
      </c>
      <c r="H2078" s="1" t="s">
        <v>12</v>
      </c>
      <c r="I2078" s="1" t="s">
        <v>3</v>
      </c>
      <c r="J2078" s="1">
        <v>4</v>
      </c>
      <c r="K2078" s="1" t="s">
        <v>4</v>
      </c>
      <c r="L2078" s="1" t="s">
        <v>18</v>
      </c>
      <c r="M2078" s="1">
        <f>[1]!orders[[#This Row],[Ship Date]]-[1]!orders[[#This Row],[Order Date]]</f>
        <v>2</v>
      </c>
      <c r="N2078" s="1">
        <f>WEEKNUM([1]!orders[[#This Row],[Order Date]])</f>
        <v>12</v>
      </c>
      <c r="O2078" t="str" cm="1">
        <f t="array" ref="O2078">_xlfn.IFS([1]!orders[[#This Row],[Customer Gender]]="M","Male", [1]!orders[[#This Row],[Customer Gender]]="F","Female", [1]!orders[[#This Row],[Customer Gender]]="O","Other", TRUE,"Unknown")</f>
        <v>Female</v>
      </c>
    </row>
    <row r="2079" spans="1:15" x14ac:dyDescent="0.25">
      <c r="A2079" t="s">
        <v>2164</v>
      </c>
      <c r="B2079" t="s">
        <v>113</v>
      </c>
      <c r="C2079">
        <v>2</v>
      </c>
      <c r="D2079">
        <v>32</v>
      </c>
      <c r="E2079">
        <v>64</v>
      </c>
      <c r="F2079" s="3">
        <v>45734</v>
      </c>
      <c r="G2079" s="3">
        <v>45736</v>
      </c>
      <c r="H2079" t="s">
        <v>8</v>
      </c>
      <c r="I2079" t="s">
        <v>3</v>
      </c>
      <c r="J2079">
        <v>3</v>
      </c>
      <c r="K2079" t="s">
        <v>4</v>
      </c>
      <c r="L2079" t="s">
        <v>18</v>
      </c>
      <c r="M2079">
        <f>[1]!orders[[#This Row],[Ship Date]]-[1]!orders[[#This Row],[Order Date]]</f>
        <v>2</v>
      </c>
      <c r="N2079">
        <f>WEEKNUM([1]!orders[[#This Row],[Order Date]])</f>
        <v>12</v>
      </c>
      <c r="O2079" t="str" cm="1">
        <f t="array" ref="O2079">_xlfn.IFS([1]!orders[[#This Row],[Customer Gender]]="M","Male", [1]!orders[[#This Row],[Customer Gender]]="F","Female", [1]!orders[[#This Row],[Customer Gender]]="O","Other", TRUE,"Unknown")</f>
        <v>Male</v>
      </c>
    </row>
    <row r="2080" spans="1:15" x14ac:dyDescent="0.25">
      <c r="A2080" s="1" t="s">
        <v>2165</v>
      </c>
      <c r="B2080" s="1" t="s">
        <v>11</v>
      </c>
      <c r="C2080" s="1">
        <v>2</v>
      </c>
      <c r="D2080" s="1">
        <v>65.2</v>
      </c>
      <c r="E2080" s="1">
        <v>130.4</v>
      </c>
      <c r="F2080" s="2">
        <v>45734</v>
      </c>
      <c r="G2080" s="2">
        <v>45735</v>
      </c>
      <c r="H2080" s="1" t="s">
        <v>12</v>
      </c>
      <c r="I2080" s="1" t="s">
        <v>20</v>
      </c>
      <c r="J2080" s="1">
        <v>4</v>
      </c>
      <c r="K2080" s="1" t="s">
        <v>4</v>
      </c>
      <c r="L2080" s="1" t="s">
        <v>18</v>
      </c>
      <c r="M2080" s="1">
        <f>[1]!orders[[#This Row],[Ship Date]]-[1]!orders[[#This Row],[Order Date]]</f>
        <v>1</v>
      </c>
      <c r="N2080" s="1">
        <f>WEEKNUM([1]!orders[[#This Row],[Order Date]])</f>
        <v>12</v>
      </c>
      <c r="O2080" t="str" cm="1">
        <f t="array" ref="O2080">_xlfn.IFS([1]!orders[[#This Row],[Customer Gender]]="M","Male", [1]!orders[[#This Row],[Customer Gender]]="F","Female", [1]!orders[[#This Row],[Customer Gender]]="O","Other", TRUE,"Unknown")</f>
        <v>Female</v>
      </c>
    </row>
    <row r="2081" spans="1:15" x14ac:dyDescent="0.25">
      <c r="A2081" t="s">
        <v>2166</v>
      </c>
      <c r="B2081" t="s">
        <v>120</v>
      </c>
      <c r="C2081">
        <v>4</v>
      </c>
      <c r="D2081">
        <v>22</v>
      </c>
      <c r="E2081">
        <v>88</v>
      </c>
      <c r="F2081" s="3">
        <v>45734</v>
      </c>
      <c r="G2081" s="3">
        <v>45735</v>
      </c>
      <c r="H2081" t="s">
        <v>8</v>
      </c>
      <c r="I2081" t="s">
        <v>20</v>
      </c>
      <c r="J2081">
        <v>5</v>
      </c>
      <c r="K2081" t="s">
        <v>4</v>
      </c>
      <c r="L2081" t="s">
        <v>18</v>
      </c>
      <c r="M2081">
        <f>[1]!orders[[#This Row],[Ship Date]]-[1]!orders[[#This Row],[Order Date]]</f>
        <v>1</v>
      </c>
      <c r="N2081">
        <f>WEEKNUM([1]!orders[[#This Row],[Order Date]])</f>
        <v>12</v>
      </c>
      <c r="O2081" t="str" cm="1">
        <f t="array" ref="O2081">_xlfn.IFS([1]!orders[[#This Row],[Customer Gender]]="M","Male", [1]!orders[[#This Row],[Customer Gender]]="F","Female", [1]!orders[[#This Row],[Customer Gender]]="O","Other", TRUE,"Unknown")</f>
        <v>Male</v>
      </c>
    </row>
    <row r="2082" spans="1:15" x14ac:dyDescent="0.25">
      <c r="A2082" s="1" t="s">
        <v>2167</v>
      </c>
      <c r="B2082" s="1" t="s">
        <v>108</v>
      </c>
      <c r="C2082" s="1">
        <v>3</v>
      </c>
      <c r="D2082" s="1">
        <v>69.400000000000006</v>
      </c>
      <c r="E2082" s="1">
        <v>208.20000000000002</v>
      </c>
      <c r="F2082" s="2">
        <v>45734</v>
      </c>
      <c r="G2082" s="2">
        <v>45737</v>
      </c>
      <c r="H2082" s="1" t="s">
        <v>8</v>
      </c>
      <c r="I2082" s="1" t="s">
        <v>20</v>
      </c>
      <c r="J2082" s="1">
        <v>5</v>
      </c>
      <c r="K2082" s="1" t="s">
        <v>4</v>
      </c>
      <c r="L2082" s="1" t="s">
        <v>18</v>
      </c>
      <c r="M2082" s="1">
        <f>[1]!orders[[#This Row],[Ship Date]]-[1]!orders[[#This Row],[Order Date]]</f>
        <v>3</v>
      </c>
      <c r="N2082" s="1">
        <f>WEEKNUM([1]!orders[[#This Row],[Order Date]])</f>
        <v>12</v>
      </c>
      <c r="O2082" t="str" cm="1">
        <f t="array" ref="O2082">_xlfn.IFS([1]!orders[[#This Row],[Customer Gender]]="M","Male", [1]!orders[[#This Row],[Customer Gender]]="F","Female", [1]!orders[[#This Row],[Customer Gender]]="O","Other", TRUE,"Unknown")</f>
        <v>Male</v>
      </c>
    </row>
    <row r="2083" spans="1:15" x14ac:dyDescent="0.25">
      <c r="A2083" t="s">
        <v>2168</v>
      </c>
      <c r="B2083" t="s">
        <v>39</v>
      </c>
      <c r="C2083">
        <v>6</v>
      </c>
      <c r="D2083">
        <v>31.5</v>
      </c>
      <c r="E2083">
        <v>189</v>
      </c>
      <c r="F2083" s="3">
        <v>45734</v>
      </c>
      <c r="G2083" s="3">
        <v>45736</v>
      </c>
      <c r="H2083" t="s">
        <v>12</v>
      </c>
      <c r="I2083" t="s">
        <v>3</v>
      </c>
      <c r="J2083">
        <v>5</v>
      </c>
      <c r="K2083" t="s">
        <v>4</v>
      </c>
      <c r="L2083" t="s">
        <v>18</v>
      </c>
      <c r="M2083">
        <f>[1]!orders[[#This Row],[Ship Date]]-[1]!orders[[#This Row],[Order Date]]</f>
        <v>2</v>
      </c>
      <c r="N2083">
        <f>WEEKNUM([1]!orders[[#This Row],[Order Date]])</f>
        <v>12</v>
      </c>
      <c r="O2083" t="str" cm="1">
        <f t="array" ref="O2083">_xlfn.IFS([1]!orders[[#This Row],[Customer Gender]]="M","Male", [1]!orders[[#This Row],[Customer Gender]]="F","Female", [1]!orders[[#This Row],[Customer Gender]]="O","Other", TRUE,"Unknown")</f>
        <v>Female</v>
      </c>
    </row>
    <row r="2084" spans="1:15" x14ac:dyDescent="0.25">
      <c r="A2084" s="1" t="s">
        <v>2169</v>
      </c>
      <c r="B2084" s="1" t="s">
        <v>24</v>
      </c>
      <c r="C2084" s="1">
        <v>1</v>
      </c>
      <c r="D2084" s="1">
        <v>45.8</v>
      </c>
      <c r="E2084" s="1">
        <v>45.8</v>
      </c>
      <c r="F2084" s="2">
        <v>45734</v>
      </c>
      <c r="G2084" s="2">
        <v>45738</v>
      </c>
      <c r="H2084" s="1" t="s">
        <v>74</v>
      </c>
      <c r="I2084" s="1" t="s">
        <v>3</v>
      </c>
      <c r="J2084" s="1">
        <v>4</v>
      </c>
      <c r="K2084" s="1" t="s">
        <v>4</v>
      </c>
      <c r="L2084" s="1" t="s">
        <v>18</v>
      </c>
      <c r="M2084" s="1">
        <f>[1]!orders[[#This Row],[Ship Date]]-[1]!orders[[#This Row],[Order Date]]</f>
        <v>4</v>
      </c>
      <c r="N2084" s="1">
        <f>WEEKNUM([1]!orders[[#This Row],[Order Date]])</f>
        <v>12</v>
      </c>
      <c r="O2084" t="str" cm="1">
        <f t="array" ref="O2084">_xlfn.IFS([1]!orders[[#This Row],[Customer Gender]]="M","Male", [1]!orders[[#This Row],[Customer Gender]]="F","Female", [1]!orders[[#This Row],[Customer Gender]]="O","Other", TRUE,"Unknown")</f>
        <v>Other</v>
      </c>
    </row>
    <row r="2085" spans="1:15" x14ac:dyDescent="0.25">
      <c r="A2085" t="s">
        <v>2170</v>
      </c>
      <c r="B2085" t="s">
        <v>156</v>
      </c>
      <c r="C2085">
        <v>4</v>
      </c>
      <c r="D2085">
        <v>12.8</v>
      </c>
      <c r="E2085">
        <v>51.2</v>
      </c>
      <c r="F2085" s="3">
        <v>45734</v>
      </c>
      <c r="G2085" s="3">
        <v>45741</v>
      </c>
      <c r="H2085" t="s">
        <v>12</v>
      </c>
      <c r="I2085" t="s">
        <v>20</v>
      </c>
      <c r="J2085">
        <v>3</v>
      </c>
      <c r="K2085" t="s">
        <v>4</v>
      </c>
      <c r="L2085" t="s">
        <v>37</v>
      </c>
      <c r="M2085">
        <f>[1]!orders[[#This Row],[Ship Date]]-[1]!orders[[#This Row],[Order Date]]</f>
        <v>7</v>
      </c>
      <c r="N2085">
        <f>WEEKNUM([1]!orders[[#This Row],[Order Date]])</f>
        <v>12</v>
      </c>
      <c r="O2085" t="str" cm="1">
        <f t="array" ref="O2085">_xlfn.IFS([1]!orders[[#This Row],[Customer Gender]]="M","Male", [1]!orders[[#This Row],[Customer Gender]]="F","Female", [1]!orders[[#This Row],[Customer Gender]]="O","Other", TRUE,"Unknown")</f>
        <v>Female</v>
      </c>
    </row>
    <row r="2086" spans="1:15" x14ac:dyDescent="0.25">
      <c r="A2086" s="1" t="s">
        <v>2171</v>
      </c>
      <c r="B2086" s="1" t="s">
        <v>22</v>
      </c>
      <c r="C2086" s="1">
        <v>3</v>
      </c>
      <c r="D2086" s="1">
        <v>115.3</v>
      </c>
      <c r="E2086" s="1">
        <v>345.9</v>
      </c>
      <c r="F2086" s="2">
        <v>45734</v>
      </c>
      <c r="G2086" s="2">
        <v>45735</v>
      </c>
      <c r="H2086" s="1" t="s">
        <v>12</v>
      </c>
      <c r="I2086" s="1" t="s">
        <v>25</v>
      </c>
      <c r="J2086" s="1">
        <v>5</v>
      </c>
      <c r="K2086" s="1" t="s">
        <v>4</v>
      </c>
      <c r="L2086" s="1" t="s">
        <v>40</v>
      </c>
      <c r="M2086" s="1">
        <f>[1]!orders[[#This Row],[Ship Date]]-[1]!orders[[#This Row],[Order Date]]</f>
        <v>1</v>
      </c>
      <c r="N2086" s="1">
        <f>WEEKNUM([1]!orders[[#This Row],[Order Date]])</f>
        <v>12</v>
      </c>
      <c r="O2086" t="str" cm="1">
        <f t="array" ref="O2086">_xlfn.IFS([1]!orders[[#This Row],[Customer Gender]]="M","Male", [1]!orders[[#This Row],[Customer Gender]]="F","Female", [1]!orders[[#This Row],[Customer Gender]]="O","Other", TRUE,"Unknown")</f>
        <v>Female</v>
      </c>
    </row>
    <row r="2087" spans="1:15" x14ac:dyDescent="0.25">
      <c r="A2087" t="s">
        <v>2172</v>
      </c>
      <c r="B2087" t="s">
        <v>22</v>
      </c>
      <c r="C2087">
        <v>2</v>
      </c>
      <c r="D2087">
        <v>85</v>
      </c>
      <c r="E2087">
        <v>170</v>
      </c>
      <c r="F2087" s="3">
        <v>45734</v>
      </c>
      <c r="G2087" s="3">
        <v>45736</v>
      </c>
      <c r="H2087" t="s">
        <v>12</v>
      </c>
      <c r="I2087" t="s">
        <v>20</v>
      </c>
      <c r="J2087">
        <v>4</v>
      </c>
      <c r="K2087" t="s">
        <v>4</v>
      </c>
      <c r="L2087" t="s">
        <v>44</v>
      </c>
      <c r="M2087">
        <f>[1]!orders[[#This Row],[Ship Date]]-[1]!orders[[#This Row],[Order Date]]</f>
        <v>2</v>
      </c>
      <c r="N2087">
        <f>WEEKNUM([1]!orders[[#This Row],[Order Date]])</f>
        <v>12</v>
      </c>
      <c r="O2087" t="str" cm="1">
        <f t="array" ref="O2087">_xlfn.IFS([1]!orders[[#This Row],[Customer Gender]]="M","Male", [1]!orders[[#This Row],[Customer Gender]]="F","Female", [1]!orders[[#This Row],[Customer Gender]]="O","Other", TRUE,"Unknown")</f>
        <v>Female</v>
      </c>
    </row>
    <row r="2088" spans="1:15" x14ac:dyDescent="0.25">
      <c r="A2088" s="1" t="s">
        <v>2173</v>
      </c>
      <c r="B2088" s="1" t="s">
        <v>29</v>
      </c>
      <c r="C2088" s="1">
        <v>3</v>
      </c>
      <c r="D2088" s="1">
        <v>56.6</v>
      </c>
      <c r="E2088" s="1">
        <v>169.8</v>
      </c>
      <c r="F2088" s="2">
        <v>45734</v>
      </c>
      <c r="G2088" s="2">
        <v>45735</v>
      </c>
      <c r="H2088" s="1" t="s">
        <v>12</v>
      </c>
      <c r="I2088" s="1" t="s">
        <v>20</v>
      </c>
      <c r="J2088" s="1">
        <v>5</v>
      </c>
      <c r="K2088" s="1" t="s">
        <v>4</v>
      </c>
      <c r="L2088" s="1" t="s">
        <v>44</v>
      </c>
      <c r="M2088" s="1">
        <f>[1]!orders[[#This Row],[Ship Date]]-[1]!orders[[#This Row],[Order Date]]</f>
        <v>1</v>
      </c>
      <c r="N2088" s="1">
        <f>WEEKNUM([1]!orders[[#This Row],[Order Date]])</f>
        <v>12</v>
      </c>
      <c r="O2088" t="str" cm="1">
        <f t="array" ref="O2088">_xlfn.IFS([1]!orders[[#This Row],[Customer Gender]]="M","Male", [1]!orders[[#This Row],[Customer Gender]]="F","Female", [1]!orders[[#This Row],[Customer Gender]]="O","Other", TRUE,"Unknown")</f>
        <v>Female</v>
      </c>
    </row>
    <row r="2089" spans="1:15" x14ac:dyDescent="0.25">
      <c r="A2089" t="s">
        <v>2174</v>
      </c>
      <c r="B2089" t="s">
        <v>108</v>
      </c>
      <c r="C2089">
        <v>27</v>
      </c>
      <c r="D2089">
        <v>46.3</v>
      </c>
      <c r="E2089">
        <v>1250.0999999999999</v>
      </c>
      <c r="F2089" s="3">
        <v>45734</v>
      </c>
      <c r="G2089" s="3">
        <v>45737</v>
      </c>
      <c r="H2089" t="s">
        <v>8</v>
      </c>
      <c r="I2089" t="s">
        <v>3</v>
      </c>
      <c r="J2089">
        <v>4</v>
      </c>
      <c r="K2089" t="s">
        <v>4</v>
      </c>
      <c r="L2089" t="s">
        <v>44</v>
      </c>
      <c r="M2089">
        <f>[1]!orders[[#This Row],[Ship Date]]-[1]!orders[[#This Row],[Order Date]]</f>
        <v>3</v>
      </c>
      <c r="N2089">
        <f>WEEKNUM([1]!orders[[#This Row],[Order Date]])</f>
        <v>12</v>
      </c>
      <c r="O2089" t="str" cm="1">
        <f t="array" ref="O2089">_xlfn.IFS([1]!orders[[#This Row],[Customer Gender]]="M","Male", [1]!orders[[#This Row],[Customer Gender]]="F","Female", [1]!orders[[#This Row],[Customer Gender]]="O","Other", TRUE,"Unknown")</f>
        <v>Male</v>
      </c>
    </row>
    <row r="2090" spans="1:15" x14ac:dyDescent="0.25">
      <c r="A2090" s="1" t="s">
        <v>2175</v>
      </c>
      <c r="B2090" s="1" t="s">
        <v>66</v>
      </c>
      <c r="C2090" s="1">
        <v>4</v>
      </c>
      <c r="D2090" s="1">
        <v>23</v>
      </c>
      <c r="E2090" s="1">
        <v>92</v>
      </c>
      <c r="F2090" s="2">
        <v>45734</v>
      </c>
      <c r="G2090" s="2">
        <v>45738</v>
      </c>
      <c r="H2090" s="1" t="s">
        <v>8</v>
      </c>
      <c r="I2090" s="1" t="s">
        <v>36</v>
      </c>
      <c r="J2090" s="1">
        <v>5</v>
      </c>
      <c r="K2090" s="1" t="s">
        <v>4</v>
      </c>
      <c r="L2090" s="1" t="s">
        <v>44</v>
      </c>
      <c r="M2090" s="1">
        <f>[1]!orders[[#This Row],[Ship Date]]-[1]!orders[[#This Row],[Order Date]]</f>
        <v>4</v>
      </c>
      <c r="N2090" s="1">
        <f>WEEKNUM([1]!orders[[#This Row],[Order Date]])</f>
        <v>12</v>
      </c>
      <c r="O2090" t="str" cm="1">
        <f t="array" ref="O2090">_xlfn.IFS([1]!orders[[#This Row],[Customer Gender]]="M","Male", [1]!orders[[#This Row],[Customer Gender]]="F","Female", [1]!orders[[#This Row],[Customer Gender]]="O","Other", TRUE,"Unknown")</f>
        <v>Male</v>
      </c>
    </row>
    <row r="2091" spans="1:15" x14ac:dyDescent="0.25">
      <c r="A2091" t="s">
        <v>2176</v>
      </c>
      <c r="B2091" t="s">
        <v>29</v>
      </c>
      <c r="C2091">
        <v>6</v>
      </c>
      <c r="D2091">
        <v>42.1</v>
      </c>
      <c r="E2091">
        <v>252.60000000000002</v>
      </c>
      <c r="F2091" s="3">
        <v>45734</v>
      </c>
      <c r="G2091" s="3">
        <v>45736</v>
      </c>
      <c r="H2091" t="s">
        <v>8</v>
      </c>
      <c r="I2091" t="s">
        <v>55</v>
      </c>
      <c r="J2091">
        <v>4</v>
      </c>
      <c r="K2091" t="s">
        <v>4</v>
      </c>
      <c r="L2091" t="s">
        <v>47</v>
      </c>
      <c r="M2091">
        <f>[1]!orders[[#This Row],[Ship Date]]-[1]!orders[[#This Row],[Order Date]]</f>
        <v>2</v>
      </c>
      <c r="N2091">
        <f>WEEKNUM([1]!orders[[#This Row],[Order Date]])</f>
        <v>12</v>
      </c>
      <c r="O2091" t="str" cm="1">
        <f t="array" ref="O2091">_xlfn.IFS([1]!orders[[#This Row],[Customer Gender]]="M","Male", [1]!orders[[#This Row],[Customer Gender]]="F","Female", [1]!orders[[#This Row],[Customer Gender]]="O","Other", TRUE,"Unknown")</f>
        <v>Male</v>
      </c>
    </row>
    <row r="2092" spans="1:15" x14ac:dyDescent="0.25">
      <c r="A2092" s="1" t="s">
        <v>2177</v>
      </c>
      <c r="B2092" s="1" t="s">
        <v>22</v>
      </c>
      <c r="C2092" s="1">
        <v>7</v>
      </c>
      <c r="D2092" s="1">
        <v>57.4</v>
      </c>
      <c r="E2092" s="1">
        <v>401.8</v>
      </c>
      <c r="F2092" s="2">
        <v>45734</v>
      </c>
      <c r="G2092" s="2">
        <v>45738</v>
      </c>
      <c r="H2092" s="1" t="s">
        <v>12</v>
      </c>
      <c r="I2092" s="1" t="s">
        <v>20</v>
      </c>
      <c r="J2092" s="1">
        <v>2</v>
      </c>
      <c r="K2092" s="1" t="s">
        <v>4</v>
      </c>
      <c r="L2092" s="1" t="s">
        <v>47</v>
      </c>
      <c r="M2092" s="1">
        <f>[1]!orders[[#This Row],[Ship Date]]-[1]!orders[[#This Row],[Order Date]]</f>
        <v>4</v>
      </c>
      <c r="N2092" s="1">
        <f>WEEKNUM([1]!orders[[#This Row],[Order Date]])</f>
        <v>12</v>
      </c>
      <c r="O2092" t="str" cm="1">
        <f t="array" ref="O2092">_xlfn.IFS([1]!orders[[#This Row],[Customer Gender]]="M","Male", [1]!orders[[#This Row],[Customer Gender]]="F","Female", [1]!orders[[#This Row],[Customer Gender]]="O","Other", TRUE,"Unknown")</f>
        <v>Female</v>
      </c>
    </row>
    <row r="2093" spans="1:15" x14ac:dyDescent="0.25">
      <c r="A2093" t="s">
        <v>2178</v>
      </c>
      <c r="B2093" t="s">
        <v>1</v>
      </c>
      <c r="C2093">
        <v>6</v>
      </c>
      <c r="D2093">
        <v>13.2</v>
      </c>
      <c r="E2093">
        <v>79.199999999999989</v>
      </c>
      <c r="F2093" s="3">
        <v>45734</v>
      </c>
      <c r="G2093" s="3">
        <v>45738</v>
      </c>
      <c r="H2093" t="s">
        <v>8</v>
      </c>
      <c r="I2093" t="s">
        <v>25</v>
      </c>
      <c r="J2093">
        <v>4</v>
      </c>
      <c r="K2093" t="s">
        <v>4</v>
      </c>
      <c r="L2093" t="s">
        <v>47</v>
      </c>
      <c r="M2093">
        <f>[1]!orders[[#This Row],[Ship Date]]-[1]!orders[[#This Row],[Order Date]]</f>
        <v>4</v>
      </c>
      <c r="N2093">
        <f>WEEKNUM([1]!orders[[#This Row],[Order Date]])</f>
        <v>12</v>
      </c>
      <c r="O2093" t="str" cm="1">
        <f t="array" ref="O2093">_xlfn.IFS([1]!orders[[#This Row],[Customer Gender]]="M","Male", [1]!orders[[#This Row],[Customer Gender]]="F","Female", [1]!orders[[#This Row],[Customer Gender]]="O","Other", TRUE,"Unknown")</f>
        <v>Male</v>
      </c>
    </row>
    <row r="2094" spans="1:15" x14ac:dyDescent="0.25">
      <c r="A2094" s="1" t="s">
        <v>2179</v>
      </c>
      <c r="B2094" s="1" t="s">
        <v>24</v>
      </c>
      <c r="C2094" s="1">
        <v>3</v>
      </c>
      <c r="D2094" s="1">
        <v>52.3</v>
      </c>
      <c r="E2094" s="1">
        <v>156.89999999999998</v>
      </c>
      <c r="F2094" s="2">
        <v>45734</v>
      </c>
      <c r="G2094" s="2">
        <v>45735</v>
      </c>
      <c r="H2094" s="1" t="s">
        <v>8</v>
      </c>
      <c r="I2094" s="1" t="s">
        <v>20</v>
      </c>
      <c r="J2094" s="1">
        <v>4</v>
      </c>
      <c r="K2094" s="1" t="s">
        <v>4</v>
      </c>
      <c r="L2094" s="1" t="s">
        <v>47</v>
      </c>
      <c r="M2094" s="1">
        <f>[1]!orders[[#This Row],[Ship Date]]-[1]!orders[[#This Row],[Order Date]]</f>
        <v>1</v>
      </c>
      <c r="N2094" s="1">
        <f>WEEKNUM([1]!orders[[#This Row],[Order Date]])</f>
        <v>12</v>
      </c>
      <c r="O2094" t="str" cm="1">
        <f t="array" ref="O2094">_xlfn.IFS([1]!orders[[#This Row],[Customer Gender]]="M","Male", [1]!orders[[#This Row],[Customer Gender]]="F","Female", [1]!orders[[#This Row],[Customer Gender]]="O","Other", TRUE,"Unknown")</f>
        <v>Male</v>
      </c>
    </row>
    <row r="2095" spans="1:15" x14ac:dyDescent="0.25">
      <c r="A2095" t="s">
        <v>2180</v>
      </c>
      <c r="B2095" t="s">
        <v>29</v>
      </c>
      <c r="C2095">
        <v>2</v>
      </c>
      <c r="D2095">
        <v>15.7</v>
      </c>
      <c r="E2095">
        <v>31.4</v>
      </c>
      <c r="F2095" s="3">
        <v>45734</v>
      </c>
      <c r="G2095" s="3">
        <v>45737</v>
      </c>
      <c r="H2095" t="s">
        <v>8</v>
      </c>
      <c r="I2095" t="s">
        <v>20</v>
      </c>
      <c r="J2095">
        <v>5</v>
      </c>
      <c r="K2095" t="s">
        <v>4</v>
      </c>
      <c r="L2095" t="s">
        <v>47</v>
      </c>
      <c r="M2095">
        <f>[1]!orders[[#This Row],[Ship Date]]-[1]!orders[[#This Row],[Order Date]]</f>
        <v>3</v>
      </c>
      <c r="N2095">
        <f>WEEKNUM([1]!orders[[#This Row],[Order Date]])</f>
        <v>12</v>
      </c>
      <c r="O2095" t="str" cm="1">
        <f t="array" ref="O2095">_xlfn.IFS([1]!orders[[#This Row],[Customer Gender]]="M","Male", [1]!orders[[#This Row],[Customer Gender]]="F","Female", [1]!orders[[#This Row],[Customer Gender]]="O","Other", TRUE,"Unknown")</f>
        <v>Male</v>
      </c>
    </row>
    <row r="2096" spans="1:15" x14ac:dyDescent="0.25">
      <c r="A2096" s="1" t="s">
        <v>2181</v>
      </c>
      <c r="B2096" s="1" t="s">
        <v>27</v>
      </c>
      <c r="C2096" s="1">
        <v>3</v>
      </c>
      <c r="D2096" s="1">
        <v>35</v>
      </c>
      <c r="E2096" s="1">
        <v>105</v>
      </c>
      <c r="F2096" s="2">
        <v>45734</v>
      </c>
      <c r="G2096" s="2">
        <v>45737</v>
      </c>
      <c r="H2096" s="1" t="s">
        <v>12</v>
      </c>
      <c r="I2096" s="1" t="s">
        <v>20</v>
      </c>
      <c r="J2096" s="1">
        <v>5</v>
      </c>
      <c r="K2096" s="1" t="s">
        <v>4</v>
      </c>
      <c r="L2096" s="1" t="s">
        <v>57</v>
      </c>
      <c r="M2096" s="1">
        <f>[1]!orders[[#This Row],[Ship Date]]-[1]!orders[[#This Row],[Order Date]]</f>
        <v>3</v>
      </c>
      <c r="N2096" s="1">
        <f>WEEKNUM([1]!orders[[#This Row],[Order Date]])</f>
        <v>12</v>
      </c>
      <c r="O2096" t="str" cm="1">
        <f t="array" ref="O2096">_xlfn.IFS([1]!orders[[#This Row],[Customer Gender]]="M","Male", [1]!orders[[#This Row],[Customer Gender]]="F","Female", [1]!orders[[#This Row],[Customer Gender]]="O","Other", TRUE,"Unknown")</f>
        <v>Female</v>
      </c>
    </row>
    <row r="2097" spans="1:15" x14ac:dyDescent="0.25">
      <c r="A2097" t="s">
        <v>2182</v>
      </c>
      <c r="B2097" t="s">
        <v>17</v>
      </c>
      <c r="C2097">
        <v>3</v>
      </c>
      <c r="D2097">
        <v>26.6</v>
      </c>
      <c r="E2097">
        <v>79.800000000000011</v>
      </c>
      <c r="F2097" s="3">
        <v>45734</v>
      </c>
      <c r="G2097" s="3">
        <v>45734</v>
      </c>
      <c r="H2097" t="s">
        <v>8</v>
      </c>
      <c r="I2097" t="s">
        <v>20</v>
      </c>
      <c r="J2097">
        <v>5</v>
      </c>
      <c r="K2097" t="s">
        <v>4</v>
      </c>
      <c r="L2097" t="s">
        <v>62</v>
      </c>
      <c r="M2097">
        <f>[1]!orders[[#This Row],[Ship Date]]-[1]!orders[[#This Row],[Order Date]]</f>
        <v>0</v>
      </c>
      <c r="N2097">
        <f>WEEKNUM([1]!orders[[#This Row],[Order Date]])</f>
        <v>12</v>
      </c>
      <c r="O2097" t="str" cm="1">
        <f t="array" ref="O2097">_xlfn.IFS([1]!orders[[#This Row],[Customer Gender]]="M","Male", [1]!orders[[#This Row],[Customer Gender]]="F","Female", [1]!orders[[#This Row],[Customer Gender]]="O","Other", TRUE,"Unknown")</f>
        <v>Male</v>
      </c>
    </row>
    <row r="2098" spans="1:15" x14ac:dyDescent="0.25">
      <c r="A2098" s="1" t="s">
        <v>2183</v>
      </c>
      <c r="B2098" s="1" t="s">
        <v>17</v>
      </c>
      <c r="C2098" s="1">
        <v>8</v>
      </c>
      <c r="D2098" s="1">
        <v>47.9</v>
      </c>
      <c r="E2098" s="1">
        <v>383.2</v>
      </c>
      <c r="F2098" s="2">
        <v>45735</v>
      </c>
      <c r="G2098" s="2">
        <v>45736</v>
      </c>
      <c r="H2098" s="1" t="s">
        <v>12</v>
      </c>
      <c r="I2098" s="1" t="s">
        <v>36</v>
      </c>
      <c r="J2098" s="1">
        <v>5</v>
      </c>
      <c r="K2098" s="1" t="s">
        <v>4</v>
      </c>
      <c r="L2098" s="1" t="s">
        <v>98</v>
      </c>
      <c r="M2098" s="1">
        <f>[1]!orders[[#This Row],[Ship Date]]-[1]!orders[[#This Row],[Order Date]]</f>
        <v>1</v>
      </c>
      <c r="N2098" s="1">
        <f>WEEKNUM([1]!orders[[#This Row],[Order Date]])</f>
        <v>12</v>
      </c>
      <c r="O2098" t="str" cm="1">
        <f t="array" ref="O2098">_xlfn.IFS([1]!orders[[#This Row],[Customer Gender]]="M","Male", [1]!orders[[#This Row],[Customer Gender]]="F","Female", [1]!orders[[#This Row],[Customer Gender]]="O","Other", TRUE,"Unknown")</f>
        <v>Female</v>
      </c>
    </row>
    <row r="2099" spans="1:15" x14ac:dyDescent="0.25">
      <c r="A2099" t="s">
        <v>2184</v>
      </c>
      <c r="B2099" t="s">
        <v>22</v>
      </c>
      <c r="C2099">
        <v>1</v>
      </c>
      <c r="D2099">
        <v>80.099999999999994</v>
      </c>
      <c r="E2099">
        <v>80.099999999999994</v>
      </c>
      <c r="F2099" s="3">
        <v>45735</v>
      </c>
      <c r="G2099" s="3">
        <v>45736</v>
      </c>
      <c r="H2099" t="s">
        <v>8</v>
      </c>
      <c r="I2099" t="s">
        <v>25</v>
      </c>
      <c r="J2099">
        <v>4</v>
      </c>
      <c r="K2099" t="s">
        <v>4</v>
      </c>
      <c r="L2099" t="s">
        <v>100</v>
      </c>
      <c r="M2099">
        <f>[1]!orders[[#This Row],[Ship Date]]-[1]!orders[[#This Row],[Order Date]]</f>
        <v>1</v>
      </c>
      <c r="N2099">
        <f>WEEKNUM([1]!orders[[#This Row],[Order Date]])</f>
        <v>12</v>
      </c>
      <c r="O2099" t="str" cm="1">
        <f t="array" ref="O2099">_xlfn.IFS([1]!orders[[#This Row],[Customer Gender]]="M","Male", [1]!orders[[#This Row],[Customer Gender]]="F","Female", [1]!orders[[#This Row],[Customer Gender]]="O","Other", TRUE,"Unknown")</f>
        <v>Male</v>
      </c>
    </row>
    <row r="2100" spans="1:15" x14ac:dyDescent="0.25">
      <c r="A2100" s="1" t="s">
        <v>2185</v>
      </c>
      <c r="B2100" s="1" t="s">
        <v>24</v>
      </c>
      <c r="C2100" s="1">
        <v>5</v>
      </c>
      <c r="D2100" s="1">
        <v>50.4</v>
      </c>
      <c r="E2100" s="1">
        <v>252</v>
      </c>
      <c r="F2100" s="2">
        <v>45735</v>
      </c>
      <c r="G2100" s="2">
        <v>45736</v>
      </c>
      <c r="H2100" s="1" t="s">
        <v>8</v>
      </c>
      <c r="I2100" s="1" t="s">
        <v>20</v>
      </c>
      <c r="J2100" s="1">
        <v>5</v>
      </c>
      <c r="K2100" s="1" t="s">
        <v>4</v>
      </c>
      <c r="L2100" s="1" t="s">
        <v>100</v>
      </c>
      <c r="M2100" s="1">
        <f>[1]!orders[[#This Row],[Ship Date]]-[1]!orders[[#This Row],[Order Date]]</f>
        <v>1</v>
      </c>
      <c r="N2100" s="1">
        <f>WEEKNUM([1]!orders[[#This Row],[Order Date]])</f>
        <v>12</v>
      </c>
      <c r="O2100" t="str" cm="1">
        <f t="array" ref="O2100">_xlfn.IFS([1]!orders[[#This Row],[Customer Gender]]="M","Male", [1]!orders[[#This Row],[Customer Gender]]="F","Female", [1]!orders[[#This Row],[Customer Gender]]="O","Other", TRUE,"Unknown")</f>
        <v>Male</v>
      </c>
    </row>
    <row r="2101" spans="1:15" x14ac:dyDescent="0.25">
      <c r="A2101" t="s">
        <v>2186</v>
      </c>
      <c r="B2101" t="s">
        <v>39</v>
      </c>
      <c r="C2101">
        <v>7</v>
      </c>
      <c r="D2101">
        <v>43.3</v>
      </c>
      <c r="E2101">
        <v>303.09999999999997</v>
      </c>
      <c r="F2101" s="3">
        <v>45735</v>
      </c>
      <c r="G2101" s="3">
        <v>45736</v>
      </c>
      <c r="H2101" t="s">
        <v>8</v>
      </c>
      <c r="I2101" t="s">
        <v>25</v>
      </c>
      <c r="J2101">
        <v>4</v>
      </c>
      <c r="K2101" t="s">
        <v>4</v>
      </c>
      <c r="L2101" t="s">
        <v>100</v>
      </c>
      <c r="M2101">
        <f>[1]!orders[[#This Row],[Ship Date]]-[1]!orders[[#This Row],[Order Date]]</f>
        <v>1</v>
      </c>
      <c r="N2101">
        <f>WEEKNUM([1]!orders[[#This Row],[Order Date]])</f>
        <v>12</v>
      </c>
      <c r="O2101" t="str" cm="1">
        <f t="array" ref="O2101">_xlfn.IFS([1]!orders[[#This Row],[Customer Gender]]="M","Male", [1]!orders[[#This Row],[Customer Gender]]="F","Female", [1]!orders[[#This Row],[Customer Gender]]="O","Other", TRUE,"Unknown")</f>
        <v>Male</v>
      </c>
    </row>
    <row r="2102" spans="1:15" x14ac:dyDescent="0.25">
      <c r="A2102" s="1" t="s">
        <v>2187</v>
      </c>
      <c r="B2102" s="1" t="s">
        <v>39</v>
      </c>
      <c r="C2102" s="1">
        <v>4</v>
      </c>
      <c r="D2102" s="1">
        <v>57.5</v>
      </c>
      <c r="E2102" s="1">
        <v>230</v>
      </c>
      <c r="F2102" s="2">
        <v>45735</v>
      </c>
      <c r="G2102" s="2">
        <v>45736</v>
      </c>
      <c r="H2102" s="1" t="s">
        <v>12</v>
      </c>
      <c r="I2102" s="1" t="s">
        <v>20</v>
      </c>
      <c r="J2102" s="1">
        <v>5</v>
      </c>
      <c r="K2102" s="1" t="s">
        <v>4</v>
      </c>
      <c r="L2102" s="1" t="s">
        <v>9</v>
      </c>
      <c r="M2102" s="1">
        <f>[1]!orders[[#This Row],[Ship Date]]-[1]!orders[[#This Row],[Order Date]]</f>
        <v>1</v>
      </c>
      <c r="N2102" s="1">
        <f>WEEKNUM([1]!orders[[#This Row],[Order Date]])</f>
        <v>12</v>
      </c>
      <c r="O2102" t="str" cm="1">
        <f t="array" ref="O2102">_xlfn.IFS([1]!orders[[#This Row],[Customer Gender]]="M","Male", [1]!orders[[#This Row],[Customer Gender]]="F","Female", [1]!orders[[#This Row],[Customer Gender]]="O","Other", TRUE,"Unknown")</f>
        <v>Female</v>
      </c>
    </row>
    <row r="2103" spans="1:15" x14ac:dyDescent="0.25">
      <c r="A2103" t="s">
        <v>2188</v>
      </c>
      <c r="B2103" t="s">
        <v>31</v>
      </c>
      <c r="C2103">
        <v>13</v>
      </c>
      <c r="D2103">
        <v>24.8</v>
      </c>
      <c r="E2103">
        <v>322.40000000000003</v>
      </c>
      <c r="F2103" s="3">
        <v>45735</v>
      </c>
      <c r="G2103" s="3">
        <v>45736</v>
      </c>
      <c r="H2103" t="s">
        <v>8</v>
      </c>
      <c r="I2103" t="s">
        <v>3</v>
      </c>
      <c r="J2103">
        <v>4</v>
      </c>
      <c r="K2103" t="s">
        <v>4</v>
      </c>
      <c r="L2103" t="s">
        <v>2189</v>
      </c>
      <c r="M2103">
        <f>[1]!orders[[#This Row],[Ship Date]]-[1]!orders[[#This Row],[Order Date]]</f>
        <v>1</v>
      </c>
      <c r="N2103">
        <f>WEEKNUM([1]!orders[[#This Row],[Order Date]])</f>
        <v>12</v>
      </c>
      <c r="O2103" t="str" cm="1">
        <f t="array" ref="O2103">_xlfn.IFS([1]!orders[[#This Row],[Customer Gender]]="M","Male", [1]!orders[[#This Row],[Customer Gender]]="F","Female", [1]!orders[[#This Row],[Customer Gender]]="O","Other", TRUE,"Unknown")</f>
        <v>Male</v>
      </c>
    </row>
    <row r="2104" spans="1:15" x14ac:dyDescent="0.25">
      <c r="A2104" s="1" t="s">
        <v>2190</v>
      </c>
      <c r="B2104" s="1" t="s">
        <v>11</v>
      </c>
      <c r="C2104" s="1">
        <v>9</v>
      </c>
      <c r="D2104" s="1">
        <v>85.7</v>
      </c>
      <c r="E2104" s="1">
        <v>771.30000000000007</v>
      </c>
      <c r="F2104" s="2">
        <v>45735</v>
      </c>
      <c r="G2104" s="2">
        <v>45736</v>
      </c>
      <c r="H2104" s="1" t="s">
        <v>12</v>
      </c>
      <c r="I2104" s="1" t="s">
        <v>3</v>
      </c>
      <c r="J2104" s="1">
        <v>4</v>
      </c>
      <c r="K2104" s="1" t="s">
        <v>4</v>
      </c>
      <c r="L2104" s="1" t="s">
        <v>422</v>
      </c>
      <c r="M2104" s="1">
        <f>[1]!orders[[#This Row],[Ship Date]]-[1]!orders[[#This Row],[Order Date]]</f>
        <v>1</v>
      </c>
      <c r="N2104" s="1">
        <f>WEEKNUM([1]!orders[[#This Row],[Order Date]])</f>
        <v>12</v>
      </c>
      <c r="O2104" t="str" cm="1">
        <f t="array" ref="O2104">_xlfn.IFS([1]!orders[[#This Row],[Customer Gender]]="M","Male", [1]!orders[[#This Row],[Customer Gender]]="F","Female", [1]!orders[[#This Row],[Customer Gender]]="O","Other", TRUE,"Unknown")</f>
        <v>Female</v>
      </c>
    </row>
    <row r="2105" spans="1:15" x14ac:dyDescent="0.25">
      <c r="A2105" t="s">
        <v>2191</v>
      </c>
      <c r="B2105" t="s">
        <v>27</v>
      </c>
      <c r="C2105">
        <v>1</v>
      </c>
      <c r="D2105">
        <v>47.1</v>
      </c>
      <c r="E2105">
        <v>47.1</v>
      </c>
      <c r="F2105" s="3">
        <v>45735</v>
      </c>
      <c r="G2105" s="3">
        <v>45737</v>
      </c>
      <c r="H2105" t="s">
        <v>12</v>
      </c>
      <c r="I2105" t="s">
        <v>3</v>
      </c>
      <c r="J2105">
        <v>4</v>
      </c>
      <c r="K2105" t="s">
        <v>4</v>
      </c>
      <c r="L2105" t="s">
        <v>13</v>
      </c>
      <c r="M2105">
        <f>[1]!orders[[#This Row],[Ship Date]]-[1]!orders[[#This Row],[Order Date]]</f>
        <v>2</v>
      </c>
      <c r="N2105">
        <f>WEEKNUM([1]!orders[[#This Row],[Order Date]])</f>
        <v>12</v>
      </c>
      <c r="O2105" t="str" cm="1">
        <f t="array" ref="O2105">_xlfn.IFS([1]!orders[[#This Row],[Customer Gender]]="M","Male", [1]!orders[[#This Row],[Customer Gender]]="F","Female", [1]!orders[[#This Row],[Customer Gender]]="O","Other", TRUE,"Unknown")</f>
        <v>Female</v>
      </c>
    </row>
    <row r="2106" spans="1:15" x14ac:dyDescent="0.25">
      <c r="A2106" s="1" t="s">
        <v>2192</v>
      </c>
      <c r="B2106" s="1" t="s">
        <v>22</v>
      </c>
      <c r="C2106" s="1">
        <v>10</v>
      </c>
      <c r="D2106" s="1">
        <v>83.2</v>
      </c>
      <c r="E2106" s="1">
        <v>832</v>
      </c>
      <c r="F2106" s="2">
        <v>45735</v>
      </c>
      <c r="G2106" s="2">
        <v>45739</v>
      </c>
      <c r="H2106" s="1" t="s">
        <v>12</v>
      </c>
      <c r="I2106" s="1" t="s">
        <v>3</v>
      </c>
      <c r="J2106" s="1">
        <v>4</v>
      </c>
      <c r="K2106" s="1" t="s">
        <v>4</v>
      </c>
      <c r="L2106" s="1" t="s">
        <v>316</v>
      </c>
      <c r="M2106" s="1">
        <f>[1]!orders[[#This Row],[Ship Date]]-[1]!orders[[#This Row],[Order Date]]</f>
        <v>4</v>
      </c>
      <c r="N2106" s="1">
        <f>WEEKNUM([1]!orders[[#This Row],[Order Date]])</f>
        <v>12</v>
      </c>
      <c r="O2106" t="str" cm="1">
        <f t="array" ref="O2106">_xlfn.IFS([1]!orders[[#This Row],[Customer Gender]]="M","Male", [1]!orders[[#This Row],[Customer Gender]]="F","Female", [1]!orders[[#This Row],[Customer Gender]]="O","Other", TRUE,"Unknown")</f>
        <v>Female</v>
      </c>
    </row>
    <row r="2107" spans="1:15" x14ac:dyDescent="0.25">
      <c r="A2107" t="s">
        <v>2193</v>
      </c>
      <c r="B2107" t="s">
        <v>11</v>
      </c>
      <c r="C2107">
        <v>3</v>
      </c>
      <c r="D2107">
        <v>157</v>
      </c>
      <c r="E2107">
        <v>471</v>
      </c>
      <c r="F2107" s="3">
        <v>45735</v>
      </c>
      <c r="G2107" s="3">
        <v>45737</v>
      </c>
      <c r="H2107" t="s">
        <v>12</v>
      </c>
      <c r="I2107" t="s">
        <v>3</v>
      </c>
      <c r="J2107">
        <v>5</v>
      </c>
      <c r="K2107" t="s">
        <v>4</v>
      </c>
      <c r="L2107" t="s">
        <v>132</v>
      </c>
      <c r="M2107">
        <f>[1]!orders[[#This Row],[Ship Date]]-[1]!orders[[#This Row],[Order Date]]</f>
        <v>2</v>
      </c>
      <c r="N2107">
        <f>WEEKNUM([1]!orders[[#This Row],[Order Date]])</f>
        <v>12</v>
      </c>
      <c r="O2107" t="str" cm="1">
        <f t="array" ref="O2107">_xlfn.IFS([1]!orders[[#This Row],[Customer Gender]]="M","Male", [1]!orders[[#This Row],[Customer Gender]]="F","Female", [1]!orders[[#This Row],[Customer Gender]]="O","Other", TRUE,"Unknown")</f>
        <v>Female</v>
      </c>
    </row>
    <row r="2108" spans="1:15" x14ac:dyDescent="0.25">
      <c r="A2108" s="1" t="s">
        <v>2194</v>
      </c>
      <c r="B2108" s="1" t="s">
        <v>113</v>
      </c>
      <c r="C2108" s="1">
        <v>4</v>
      </c>
      <c r="D2108" s="1">
        <v>33.700000000000003</v>
      </c>
      <c r="E2108" s="1">
        <v>134.80000000000001</v>
      </c>
      <c r="F2108" s="2">
        <v>45735</v>
      </c>
      <c r="G2108" s="2">
        <v>45736</v>
      </c>
      <c r="H2108" s="1" t="s">
        <v>8</v>
      </c>
      <c r="I2108" s="1" t="s">
        <v>25</v>
      </c>
      <c r="J2108" s="1">
        <v>5</v>
      </c>
      <c r="K2108" s="1" t="s">
        <v>4</v>
      </c>
      <c r="L2108" s="1" t="s">
        <v>132</v>
      </c>
      <c r="M2108" s="1">
        <f>[1]!orders[[#This Row],[Ship Date]]-[1]!orders[[#This Row],[Order Date]]</f>
        <v>1</v>
      </c>
      <c r="N2108" s="1">
        <f>WEEKNUM([1]!orders[[#This Row],[Order Date]])</f>
        <v>12</v>
      </c>
      <c r="O2108" t="str" cm="1">
        <f t="array" ref="O2108">_xlfn.IFS([1]!orders[[#This Row],[Customer Gender]]="M","Male", [1]!orders[[#This Row],[Customer Gender]]="F","Female", [1]!orders[[#This Row],[Customer Gender]]="O","Other", TRUE,"Unknown")</f>
        <v>Male</v>
      </c>
    </row>
    <row r="2109" spans="1:15" x14ac:dyDescent="0.25">
      <c r="A2109" t="s">
        <v>2195</v>
      </c>
      <c r="B2109" t="s">
        <v>11</v>
      </c>
      <c r="C2109">
        <v>3</v>
      </c>
      <c r="D2109">
        <v>60.8</v>
      </c>
      <c r="E2109">
        <v>182.39999999999998</v>
      </c>
      <c r="F2109" s="3">
        <v>45735</v>
      </c>
      <c r="G2109" s="3">
        <v>45739</v>
      </c>
      <c r="H2109" t="s">
        <v>12</v>
      </c>
      <c r="I2109" t="s">
        <v>20</v>
      </c>
      <c r="J2109">
        <v>3</v>
      </c>
      <c r="K2109" t="s">
        <v>4</v>
      </c>
      <c r="L2109" t="s">
        <v>18</v>
      </c>
      <c r="M2109">
        <f>[1]!orders[[#This Row],[Ship Date]]-[1]!orders[[#This Row],[Order Date]]</f>
        <v>4</v>
      </c>
      <c r="N2109">
        <f>WEEKNUM([1]!orders[[#This Row],[Order Date]])</f>
        <v>12</v>
      </c>
      <c r="O2109" t="str" cm="1">
        <f t="array" ref="O2109">_xlfn.IFS([1]!orders[[#This Row],[Customer Gender]]="M","Male", [1]!orders[[#This Row],[Customer Gender]]="F","Female", [1]!orders[[#This Row],[Customer Gender]]="O","Other", TRUE,"Unknown")</f>
        <v>Female</v>
      </c>
    </row>
    <row r="2110" spans="1:15" x14ac:dyDescent="0.25">
      <c r="A2110" s="1" t="s">
        <v>2196</v>
      </c>
      <c r="B2110" s="1" t="s">
        <v>27</v>
      </c>
      <c r="C2110" s="1">
        <v>1</v>
      </c>
      <c r="D2110" s="1">
        <v>57.6</v>
      </c>
      <c r="E2110" s="1">
        <v>57.6</v>
      </c>
      <c r="F2110" s="2">
        <v>45735</v>
      </c>
      <c r="G2110" s="2">
        <v>45736</v>
      </c>
      <c r="H2110" s="1" t="s">
        <v>8</v>
      </c>
      <c r="I2110" s="1" t="s">
        <v>20</v>
      </c>
      <c r="J2110" s="1">
        <v>2</v>
      </c>
      <c r="K2110" s="1" t="s">
        <v>4</v>
      </c>
      <c r="L2110" s="1" t="s">
        <v>18</v>
      </c>
      <c r="M2110" s="1">
        <f>[1]!orders[[#This Row],[Ship Date]]-[1]!orders[[#This Row],[Order Date]]</f>
        <v>1</v>
      </c>
      <c r="N2110" s="1">
        <f>WEEKNUM([1]!orders[[#This Row],[Order Date]])</f>
        <v>12</v>
      </c>
      <c r="O2110" t="str" cm="1">
        <f t="array" ref="O2110">_xlfn.IFS([1]!orders[[#This Row],[Customer Gender]]="M","Male", [1]!orders[[#This Row],[Customer Gender]]="F","Female", [1]!orders[[#This Row],[Customer Gender]]="O","Other", TRUE,"Unknown")</f>
        <v>Male</v>
      </c>
    </row>
    <row r="2111" spans="1:15" x14ac:dyDescent="0.25">
      <c r="A2111" t="s">
        <v>2197</v>
      </c>
      <c r="B2111" t="s">
        <v>39</v>
      </c>
      <c r="C2111">
        <v>1</v>
      </c>
      <c r="D2111">
        <v>32</v>
      </c>
      <c r="E2111">
        <v>32</v>
      </c>
      <c r="F2111" s="3">
        <v>45735</v>
      </c>
      <c r="G2111" s="3">
        <v>45737</v>
      </c>
      <c r="H2111" t="s">
        <v>8</v>
      </c>
      <c r="I2111" t="s">
        <v>3</v>
      </c>
      <c r="J2111">
        <v>4</v>
      </c>
      <c r="K2111" t="s">
        <v>4</v>
      </c>
      <c r="L2111" t="s">
        <v>18</v>
      </c>
      <c r="M2111">
        <f>[1]!orders[[#This Row],[Ship Date]]-[1]!orders[[#This Row],[Order Date]]</f>
        <v>2</v>
      </c>
      <c r="N2111">
        <f>WEEKNUM([1]!orders[[#This Row],[Order Date]])</f>
        <v>12</v>
      </c>
      <c r="O2111" t="str" cm="1">
        <f t="array" ref="O2111">_xlfn.IFS([1]!orders[[#This Row],[Customer Gender]]="M","Male", [1]!orders[[#This Row],[Customer Gender]]="F","Female", [1]!orders[[#This Row],[Customer Gender]]="O","Other", TRUE,"Unknown")</f>
        <v>Male</v>
      </c>
    </row>
    <row r="2112" spans="1:15" x14ac:dyDescent="0.25">
      <c r="A2112" s="1" t="s">
        <v>2198</v>
      </c>
      <c r="B2112" s="1" t="s">
        <v>39</v>
      </c>
      <c r="C2112" s="1">
        <v>4</v>
      </c>
      <c r="D2112" s="1">
        <v>23.5</v>
      </c>
      <c r="E2112" s="1">
        <v>94</v>
      </c>
      <c r="F2112" s="2">
        <v>45735</v>
      </c>
      <c r="G2112" s="2">
        <v>45736</v>
      </c>
      <c r="H2112" s="1" t="s">
        <v>12</v>
      </c>
      <c r="I2112" s="1" t="s">
        <v>3</v>
      </c>
      <c r="J2112" s="1">
        <v>5</v>
      </c>
      <c r="K2112" s="1" t="s">
        <v>4</v>
      </c>
      <c r="L2112" s="1" t="s">
        <v>18</v>
      </c>
      <c r="M2112" s="1">
        <f>[1]!orders[[#This Row],[Ship Date]]-[1]!orders[[#This Row],[Order Date]]</f>
        <v>1</v>
      </c>
      <c r="N2112" s="1">
        <f>WEEKNUM([1]!orders[[#This Row],[Order Date]])</f>
        <v>12</v>
      </c>
      <c r="O2112" t="str" cm="1">
        <f t="array" ref="O2112">_xlfn.IFS([1]!orders[[#This Row],[Customer Gender]]="M","Male", [1]!orders[[#This Row],[Customer Gender]]="F","Female", [1]!orders[[#This Row],[Customer Gender]]="O","Other", TRUE,"Unknown")</f>
        <v>Female</v>
      </c>
    </row>
    <row r="2113" spans="1:15" x14ac:dyDescent="0.25">
      <c r="A2113" t="s">
        <v>2199</v>
      </c>
      <c r="B2113" t="s">
        <v>54</v>
      </c>
      <c r="C2113">
        <v>3</v>
      </c>
      <c r="D2113">
        <v>44.8</v>
      </c>
      <c r="E2113">
        <v>134.39999999999998</v>
      </c>
      <c r="F2113" s="3">
        <v>45735</v>
      </c>
      <c r="G2113" s="3">
        <v>45736</v>
      </c>
      <c r="H2113" t="s">
        <v>74</v>
      </c>
      <c r="I2113" t="s">
        <v>55</v>
      </c>
      <c r="J2113">
        <v>4</v>
      </c>
      <c r="K2113" t="s">
        <v>4</v>
      </c>
      <c r="L2113" t="s">
        <v>18</v>
      </c>
      <c r="M2113">
        <f>[1]!orders[[#This Row],[Ship Date]]-[1]!orders[[#This Row],[Order Date]]</f>
        <v>1</v>
      </c>
      <c r="N2113">
        <f>WEEKNUM([1]!orders[[#This Row],[Order Date]])</f>
        <v>12</v>
      </c>
      <c r="O2113" t="str" cm="1">
        <f t="array" ref="O2113">_xlfn.IFS([1]!orders[[#This Row],[Customer Gender]]="M","Male", [1]!orders[[#This Row],[Customer Gender]]="F","Female", [1]!orders[[#This Row],[Customer Gender]]="O","Other", TRUE,"Unknown")</f>
        <v>Other</v>
      </c>
    </row>
    <row r="2114" spans="1:15" x14ac:dyDescent="0.25">
      <c r="A2114" s="1" t="s">
        <v>2200</v>
      </c>
      <c r="B2114" s="1" t="s">
        <v>1</v>
      </c>
      <c r="C2114" s="1">
        <v>8</v>
      </c>
      <c r="D2114" s="1">
        <v>11.7</v>
      </c>
      <c r="E2114" s="1">
        <v>93.6</v>
      </c>
      <c r="F2114" s="2">
        <v>45735</v>
      </c>
      <c r="G2114" s="2">
        <v>45736</v>
      </c>
      <c r="H2114" s="1" t="s">
        <v>8</v>
      </c>
      <c r="I2114" s="1" t="s">
        <v>25</v>
      </c>
      <c r="J2114" s="1">
        <v>5</v>
      </c>
      <c r="K2114" s="1" t="s">
        <v>4</v>
      </c>
      <c r="L2114" s="1" t="s">
        <v>18</v>
      </c>
      <c r="M2114" s="1">
        <f>[1]!orders[[#This Row],[Ship Date]]-[1]!orders[[#This Row],[Order Date]]</f>
        <v>1</v>
      </c>
      <c r="N2114" s="1">
        <f>WEEKNUM([1]!orders[[#This Row],[Order Date]])</f>
        <v>12</v>
      </c>
      <c r="O2114" t="str" cm="1">
        <f t="array" ref="O2114">_xlfn.IFS([1]!orders[[#This Row],[Customer Gender]]="M","Male", [1]!orders[[#This Row],[Customer Gender]]="F","Female", [1]!orders[[#This Row],[Customer Gender]]="O","Other", TRUE,"Unknown")</f>
        <v>Male</v>
      </c>
    </row>
    <row r="2115" spans="1:15" x14ac:dyDescent="0.25">
      <c r="A2115" t="s">
        <v>2201</v>
      </c>
      <c r="B2115" t="s">
        <v>27</v>
      </c>
      <c r="C2115">
        <v>2</v>
      </c>
      <c r="D2115">
        <v>38.799999999999997</v>
      </c>
      <c r="E2115">
        <v>77.599999999999994</v>
      </c>
      <c r="F2115" s="3">
        <v>45735</v>
      </c>
      <c r="G2115" s="3">
        <v>45738</v>
      </c>
      <c r="H2115" t="s">
        <v>12</v>
      </c>
      <c r="I2115" t="s">
        <v>25</v>
      </c>
      <c r="J2115">
        <v>4</v>
      </c>
      <c r="K2115" t="s">
        <v>4</v>
      </c>
      <c r="L2115" t="s">
        <v>18</v>
      </c>
      <c r="M2115">
        <f>[1]!orders[[#This Row],[Ship Date]]-[1]!orders[[#This Row],[Order Date]]</f>
        <v>3</v>
      </c>
      <c r="N2115">
        <f>WEEKNUM([1]!orders[[#This Row],[Order Date]])</f>
        <v>12</v>
      </c>
      <c r="O2115" t="str" cm="1">
        <f t="array" ref="O2115">_xlfn.IFS([1]!orders[[#This Row],[Customer Gender]]="M","Male", [1]!orders[[#This Row],[Customer Gender]]="F","Female", [1]!orders[[#This Row],[Customer Gender]]="O","Other", TRUE,"Unknown")</f>
        <v>Female</v>
      </c>
    </row>
    <row r="2116" spans="1:15" x14ac:dyDescent="0.25">
      <c r="A2116" s="1" t="s">
        <v>2202</v>
      </c>
      <c r="B2116" s="1" t="s">
        <v>22</v>
      </c>
      <c r="C2116" s="1">
        <v>14</v>
      </c>
      <c r="D2116" s="1">
        <v>86.9</v>
      </c>
      <c r="E2116" s="1">
        <v>1216.6000000000001</v>
      </c>
      <c r="F2116" s="2">
        <v>45735</v>
      </c>
      <c r="G2116" s="2">
        <v>45740</v>
      </c>
      <c r="H2116" s="1" t="s">
        <v>12</v>
      </c>
      <c r="I2116" s="1" t="s">
        <v>20</v>
      </c>
      <c r="J2116" s="1">
        <v>4</v>
      </c>
      <c r="K2116" s="1" t="s">
        <v>4</v>
      </c>
      <c r="L2116" s="1" t="s">
        <v>18</v>
      </c>
      <c r="M2116" s="1">
        <f>[1]!orders[[#This Row],[Ship Date]]-[1]!orders[[#This Row],[Order Date]]</f>
        <v>5</v>
      </c>
      <c r="N2116" s="1">
        <f>WEEKNUM([1]!orders[[#This Row],[Order Date]])</f>
        <v>12</v>
      </c>
      <c r="O2116" t="str" cm="1">
        <f t="array" ref="O2116">_xlfn.IFS([1]!orders[[#This Row],[Customer Gender]]="M","Male", [1]!orders[[#This Row],[Customer Gender]]="F","Female", [1]!orders[[#This Row],[Customer Gender]]="O","Other", TRUE,"Unknown")</f>
        <v>Female</v>
      </c>
    </row>
    <row r="2117" spans="1:15" x14ac:dyDescent="0.25">
      <c r="A2117" t="s">
        <v>2203</v>
      </c>
      <c r="B2117" t="s">
        <v>29</v>
      </c>
      <c r="C2117">
        <v>1</v>
      </c>
      <c r="D2117">
        <v>18.3</v>
      </c>
      <c r="E2117">
        <v>18.3</v>
      </c>
      <c r="F2117" s="3">
        <v>45735</v>
      </c>
      <c r="G2117" s="3">
        <v>45736</v>
      </c>
      <c r="H2117" t="s">
        <v>12</v>
      </c>
      <c r="I2117" t="s">
        <v>3</v>
      </c>
      <c r="J2117">
        <v>4</v>
      </c>
      <c r="K2117" t="s">
        <v>4</v>
      </c>
      <c r="L2117" t="s">
        <v>18</v>
      </c>
      <c r="M2117">
        <f>[1]!orders[[#This Row],[Ship Date]]-[1]!orders[[#This Row],[Order Date]]</f>
        <v>1</v>
      </c>
      <c r="N2117">
        <f>WEEKNUM([1]!orders[[#This Row],[Order Date]])</f>
        <v>12</v>
      </c>
      <c r="O2117" t="str" cm="1">
        <f t="array" ref="O2117">_xlfn.IFS([1]!orders[[#This Row],[Customer Gender]]="M","Male", [1]!orders[[#This Row],[Customer Gender]]="F","Female", [1]!orders[[#This Row],[Customer Gender]]="O","Other", TRUE,"Unknown")</f>
        <v>Female</v>
      </c>
    </row>
    <row r="2118" spans="1:15" x14ac:dyDescent="0.25">
      <c r="A2118" s="1" t="s">
        <v>2204</v>
      </c>
      <c r="B2118" s="1" t="s">
        <v>22</v>
      </c>
      <c r="C2118" s="1">
        <v>1</v>
      </c>
      <c r="D2118" s="1">
        <v>47.5</v>
      </c>
      <c r="E2118" s="1">
        <v>47.5</v>
      </c>
      <c r="F2118" s="2">
        <v>45735</v>
      </c>
      <c r="G2118" s="2">
        <v>45739</v>
      </c>
      <c r="H2118" s="1" t="s">
        <v>8</v>
      </c>
      <c r="I2118" s="1" t="s">
        <v>55</v>
      </c>
      <c r="J2118" s="1">
        <v>5</v>
      </c>
      <c r="K2118" s="1" t="s">
        <v>4</v>
      </c>
      <c r="L2118" s="1" t="s">
        <v>18</v>
      </c>
      <c r="M2118" s="1">
        <f>[1]!orders[[#This Row],[Ship Date]]-[1]!orders[[#This Row],[Order Date]]</f>
        <v>4</v>
      </c>
      <c r="N2118" s="1">
        <f>WEEKNUM([1]!orders[[#This Row],[Order Date]])</f>
        <v>12</v>
      </c>
      <c r="O2118" t="str" cm="1">
        <f t="array" ref="O2118">_xlfn.IFS([1]!orders[[#This Row],[Customer Gender]]="M","Male", [1]!orders[[#This Row],[Customer Gender]]="F","Female", [1]!orders[[#This Row],[Customer Gender]]="O","Other", TRUE,"Unknown")</f>
        <v>Male</v>
      </c>
    </row>
    <row r="2119" spans="1:15" x14ac:dyDescent="0.25">
      <c r="A2119" t="s">
        <v>2205</v>
      </c>
      <c r="B2119" t="s">
        <v>7</v>
      </c>
      <c r="C2119">
        <v>2</v>
      </c>
      <c r="D2119">
        <v>78.599999999999994</v>
      </c>
      <c r="E2119">
        <v>157.19999999999999</v>
      </c>
      <c r="F2119" s="3">
        <v>45735</v>
      </c>
      <c r="G2119" s="3">
        <v>45736</v>
      </c>
      <c r="H2119" t="s">
        <v>8</v>
      </c>
      <c r="I2119" t="s">
        <v>25</v>
      </c>
      <c r="J2119">
        <v>5</v>
      </c>
      <c r="K2119" t="s">
        <v>4</v>
      </c>
      <c r="L2119" t="s">
        <v>18</v>
      </c>
      <c r="M2119">
        <f>[1]!orders[[#This Row],[Ship Date]]-[1]!orders[[#This Row],[Order Date]]</f>
        <v>1</v>
      </c>
      <c r="N2119">
        <f>WEEKNUM([1]!orders[[#This Row],[Order Date]])</f>
        <v>12</v>
      </c>
      <c r="O2119" t="str" cm="1">
        <f t="array" ref="O2119">_xlfn.IFS([1]!orders[[#This Row],[Customer Gender]]="M","Male", [1]!orders[[#This Row],[Customer Gender]]="F","Female", [1]!orders[[#This Row],[Customer Gender]]="O","Other", TRUE,"Unknown")</f>
        <v>Male</v>
      </c>
    </row>
    <row r="2120" spans="1:15" x14ac:dyDescent="0.25">
      <c r="A2120" s="1" t="s">
        <v>2206</v>
      </c>
      <c r="B2120" s="1" t="s">
        <v>24</v>
      </c>
      <c r="C2120" s="1">
        <v>4</v>
      </c>
      <c r="D2120" s="1">
        <v>87.3</v>
      </c>
      <c r="E2120" s="1">
        <v>349.2</v>
      </c>
      <c r="F2120" s="2">
        <v>45735</v>
      </c>
      <c r="G2120" s="2">
        <v>45736</v>
      </c>
      <c r="H2120" s="1" t="s">
        <v>8</v>
      </c>
      <c r="I2120" s="1" t="s">
        <v>3</v>
      </c>
      <c r="J2120" s="1">
        <v>4</v>
      </c>
      <c r="K2120" s="1" t="s">
        <v>4</v>
      </c>
      <c r="L2120" s="1" t="s">
        <v>18</v>
      </c>
      <c r="M2120" s="1">
        <f>[1]!orders[[#This Row],[Ship Date]]-[1]!orders[[#This Row],[Order Date]]</f>
        <v>1</v>
      </c>
      <c r="N2120" s="1">
        <f>WEEKNUM([1]!orders[[#This Row],[Order Date]])</f>
        <v>12</v>
      </c>
      <c r="O2120" t="str" cm="1">
        <f t="array" ref="O2120">_xlfn.IFS([1]!orders[[#This Row],[Customer Gender]]="M","Male", [1]!orders[[#This Row],[Customer Gender]]="F","Female", [1]!orders[[#This Row],[Customer Gender]]="O","Other", TRUE,"Unknown")</f>
        <v>Male</v>
      </c>
    </row>
    <row r="2121" spans="1:15" x14ac:dyDescent="0.25">
      <c r="A2121" t="s">
        <v>2207</v>
      </c>
      <c r="B2121" t="s">
        <v>31</v>
      </c>
      <c r="C2121">
        <v>2</v>
      </c>
      <c r="D2121">
        <v>63.2</v>
      </c>
      <c r="E2121">
        <v>126.4</v>
      </c>
      <c r="F2121" s="3">
        <v>45735</v>
      </c>
      <c r="G2121" s="3">
        <v>45735</v>
      </c>
      <c r="H2121" t="s">
        <v>8</v>
      </c>
      <c r="I2121" t="s">
        <v>55</v>
      </c>
      <c r="J2121">
        <v>3</v>
      </c>
      <c r="K2121" t="s">
        <v>4</v>
      </c>
      <c r="L2121" t="s">
        <v>18</v>
      </c>
      <c r="M2121">
        <f>[1]!orders[[#This Row],[Ship Date]]-[1]!orders[[#This Row],[Order Date]]</f>
        <v>0</v>
      </c>
      <c r="N2121">
        <f>WEEKNUM([1]!orders[[#This Row],[Order Date]])</f>
        <v>12</v>
      </c>
      <c r="O2121" t="str" cm="1">
        <f t="array" ref="O2121">_xlfn.IFS([1]!orders[[#This Row],[Customer Gender]]="M","Male", [1]!orders[[#This Row],[Customer Gender]]="F","Female", [1]!orders[[#This Row],[Customer Gender]]="O","Other", TRUE,"Unknown")</f>
        <v>Male</v>
      </c>
    </row>
    <row r="2122" spans="1:15" x14ac:dyDescent="0.25">
      <c r="A2122" s="1" t="s">
        <v>2208</v>
      </c>
      <c r="B2122" s="1" t="s">
        <v>22</v>
      </c>
      <c r="C2122" s="1">
        <v>5</v>
      </c>
      <c r="D2122" s="1">
        <v>33.700000000000003</v>
      </c>
      <c r="E2122" s="1">
        <v>168.5</v>
      </c>
      <c r="F2122" s="2">
        <v>45735</v>
      </c>
      <c r="G2122" s="2">
        <v>45736</v>
      </c>
      <c r="H2122" s="1" t="s">
        <v>12</v>
      </c>
      <c r="I2122" s="1" t="s">
        <v>3</v>
      </c>
      <c r="J2122" s="1">
        <v>4</v>
      </c>
      <c r="K2122" s="1" t="s">
        <v>4</v>
      </c>
      <c r="L2122" s="1" t="s">
        <v>18</v>
      </c>
      <c r="M2122" s="1">
        <f>[1]!orders[[#This Row],[Ship Date]]-[1]!orders[[#This Row],[Order Date]]</f>
        <v>1</v>
      </c>
      <c r="N2122" s="1">
        <f>WEEKNUM([1]!orders[[#This Row],[Order Date]])</f>
        <v>12</v>
      </c>
      <c r="O2122" t="str" cm="1">
        <f t="array" ref="O2122">_xlfn.IFS([1]!orders[[#This Row],[Customer Gender]]="M","Male", [1]!orders[[#This Row],[Customer Gender]]="F","Female", [1]!orders[[#This Row],[Customer Gender]]="O","Other", TRUE,"Unknown")</f>
        <v>Female</v>
      </c>
    </row>
    <row r="2123" spans="1:15" x14ac:dyDescent="0.25">
      <c r="A2123" t="s">
        <v>2209</v>
      </c>
      <c r="B2123" t="s">
        <v>11</v>
      </c>
      <c r="C2123">
        <v>3</v>
      </c>
      <c r="D2123">
        <v>107.4</v>
      </c>
      <c r="E2123">
        <v>322.20000000000005</v>
      </c>
      <c r="F2123" s="3">
        <v>45735</v>
      </c>
      <c r="G2123" s="3">
        <v>45748</v>
      </c>
      <c r="H2123" t="s">
        <v>12</v>
      </c>
      <c r="I2123" t="s">
        <v>20</v>
      </c>
      <c r="J2123">
        <v>5</v>
      </c>
      <c r="K2123" t="s">
        <v>4</v>
      </c>
      <c r="L2123" t="s">
        <v>18</v>
      </c>
      <c r="M2123">
        <f>[1]!orders[[#This Row],[Ship Date]]-[1]!orders[[#This Row],[Order Date]]</f>
        <v>13</v>
      </c>
      <c r="N2123">
        <f>WEEKNUM([1]!orders[[#This Row],[Order Date]])</f>
        <v>12</v>
      </c>
      <c r="O2123" t="str" cm="1">
        <f t="array" ref="O2123">_xlfn.IFS([1]!orders[[#This Row],[Customer Gender]]="M","Male", [1]!orders[[#This Row],[Customer Gender]]="F","Female", [1]!orders[[#This Row],[Customer Gender]]="O","Other", TRUE,"Unknown")</f>
        <v>Female</v>
      </c>
    </row>
    <row r="2124" spans="1:15" x14ac:dyDescent="0.25">
      <c r="A2124" s="1" t="s">
        <v>2210</v>
      </c>
      <c r="B2124" s="1" t="s">
        <v>17</v>
      </c>
      <c r="C2124" s="1">
        <v>4</v>
      </c>
      <c r="D2124" s="1">
        <v>22.2</v>
      </c>
      <c r="E2124" s="1">
        <v>88.8</v>
      </c>
      <c r="F2124" s="2">
        <v>45735</v>
      </c>
      <c r="G2124" s="2">
        <v>45736</v>
      </c>
      <c r="H2124" s="1" t="s">
        <v>2</v>
      </c>
      <c r="I2124" s="1" t="s">
        <v>20</v>
      </c>
      <c r="J2124" s="1">
        <v>5</v>
      </c>
      <c r="K2124" s="1" t="s">
        <v>4</v>
      </c>
      <c r="L2124" s="1" t="s">
        <v>171</v>
      </c>
      <c r="M2124" s="1">
        <f>[1]!orders[[#This Row],[Ship Date]]-[1]!orders[[#This Row],[Order Date]]</f>
        <v>1</v>
      </c>
      <c r="N2124" s="1">
        <f>WEEKNUM([1]!orders[[#This Row],[Order Date]])</f>
        <v>12</v>
      </c>
      <c r="O2124" t="str" cm="1">
        <f t="array" ref="O2124">_xlfn.IFS([1]!orders[[#This Row],[Customer Gender]]="M","Male", [1]!orders[[#This Row],[Customer Gender]]="F","Female", [1]!orders[[#This Row],[Customer Gender]]="O","Other", TRUE,"Unknown")</f>
        <v>Unknown</v>
      </c>
    </row>
    <row r="2125" spans="1:15" x14ac:dyDescent="0.25">
      <c r="A2125" t="s">
        <v>2211</v>
      </c>
      <c r="B2125" t="s">
        <v>131</v>
      </c>
      <c r="C2125">
        <v>3</v>
      </c>
      <c r="D2125">
        <v>52.8</v>
      </c>
      <c r="E2125">
        <v>158.39999999999998</v>
      </c>
      <c r="F2125" s="3">
        <v>45735</v>
      </c>
      <c r="G2125" s="3">
        <v>45736</v>
      </c>
      <c r="H2125" t="s">
        <v>8</v>
      </c>
      <c r="I2125" t="s">
        <v>36</v>
      </c>
      <c r="J2125">
        <v>5</v>
      </c>
      <c r="K2125" t="s">
        <v>4</v>
      </c>
      <c r="L2125" t="s">
        <v>171</v>
      </c>
      <c r="M2125">
        <f>[1]!orders[[#This Row],[Ship Date]]-[1]!orders[[#This Row],[Order Date]]</f>
        <v>1</v>
      </c>
      <c r="N2125">
        <f>WEEKNUM([1]!orders[[#This Row],[Order Date]])</f>
        <v>12</v>
      </c>
      <c r="O2125" t="str" cm="1">
        <f t="array" ref="O2125">_xlfn.IFS([1]!orders[[#This Row],[Customer Gender]]="M","Male", [1]!orders[[#This Row],[Customer Gender]]="F","Female", [1]!orders[[#This Row],[Customer Gender]]="O","Other", TRUE,"Unknown")</f>
        <v>Male</v>
      </c>
    </row>
    <row r="2126" spans="1:15" x14ac:dyDescent="0.25">
      <c r="A2126" s="1" t="s">
        <v>2212</v>
      </c>
      <c r="B2126" s="1" t="s">
        <v>29</v>
      </c>
      <c r="C2126" s="1">
        <v>3</v>
      </c>
      <c r="D2126" s="1">
        <v>41.5</v>
      </c>
      <c r="E2126" s="1">
        <v>124.5</v>
      </c>
      <c r="F2126" s="2">
        <v>45735</v>
      </c>
      <c r="G2126" s="2">
        <v>45738</v>
      </c>
      <c r="H2126" s="1" t="s">
        <v>12</v>
      </c>
      <c r="I2126" s="1" t="s">
        <v>3</v>
      </c>
      <c r="J2126" s="1">
        <v>4</v>
      </c>
      <c r="K2126" s="1" t="s">
        <v>4</v>
      </c>
      <c r="L2126" s="1" t="s">
        <v>173</v>
      </c>
      <c r="M2126" s="1">
        <f>[1]!orders[[#This Row],[Ship Date]]-[1]!orders[[#This Row],[Order Date]]</f>
        <v>3</v>
      </c>
      <c r="N2126" s="1">
        <f>WEEKNUM([1]!orders[[#This Row],[Order Date]])</f>
        <v>12</v>
      </c>
      <c r="O2126" t="str" cm="1">
        <f t="array" ref="O2126">_xlfn.IFS([1]!orders[[#This Row],[Customer Gender]]="M","Male", [1]!orders[[#This Row],[Customer Gender]]="F","Female", [1]!orders[[#This Row],[Customer Gender]]="O","Other", TRUE,"Unknown")</f>
        <v>Female</v>
      </c>
    </row>
    <row r="2127" spans="1:15" x14ac:dyDescent="0.25">
      <c r="A2127" t="s">
        <v>2213</v>
      </c>
      <c r="B2127" t="s">
        <v>54</v>
      </c>
      <c r="C2127">
        <v>8</v>
      </c>
      <c r="D2127">
        <v>103.5</v>
      </c>
      <c r="E2127">
        <v>828</v>
      </c>
      <c r="F2127" s="3">
        <v>45735</v>
      </c>
      <c r="G2127" s="3">
        <v>45738</v>
      </c>
      <c r="H2127" t="s">
        <v>12</v>
      </c>
      <c r="I2127" t="s">
        <v>3</v>
      </c>
      <c r="J2127">
        <v>5</v>
      </c>
      <c r="K2127" t="s">
        <v>4</v>
      </c>
      <c r="L2127" t="s">
        <v>143</v>
      </c>
      <c r="M2127">
        <f>[1]!orders[[#This Row],[Ship Date]]-[1]!orders[[#This Row],[Order Date]]</f>
        <v>3</v>
      </c>
      <c r="N2127">
        <f>WEEKNUM([1]!orders[[#This Row],[Order Date]])</f>
        <v>12</v>
      </c>
      <c r="O2127" t="str" cm="1">
        <f t="array" ref="O2127">_xlfn.IFS([1]!orders[[#This Row],[Customer Gender]]="M","Male", [1]!orders[[#This Row],[Customer Gender]]="F","Female", [1]!orders[[#This Row],[Customer Gender]]="O","Other", TRUE,"Unknown")</f>
        <v>Female</v>
      </c>
    </row>
    <row r="2128" spans="1:15" x14ac:dyDescent="0.25">
      <c r="A2128" s="1" t="s">
        <v>2214</v>
      </c>
      <c r="B2128" s="1" t="s">
        <v>17</v>
      </c>
      <c r="C2128" s="1">
        <v>14</v>
      </c>
      <c r="D2128" s="1">
        <v>37.5</v>
      </c>
      <c r="E2128" s="1">
        <v>525</v>
      </c>
      <c r="F2128" s="2">
        <v>45735</v>
      </c>
      <c r="G2128" s="2">
        <v>45735</v>
      </c>
      <c r="H2128" s="1" t="s">
        <v>12</v>
      </c>
      <c r="I2128" s="1" t="s">
        <v>20</v>
      </c>
      <c r="J2128" s="1">
        <v>5</v>
      </c>
      <c r="K2128" s="1" t="s">
        <v>4</v>
      </c>
      <c r="L2128" s="1" t="s">
        <v>40</v>
      </c>
      <c r="M2128" s="1">
        <f>[1]!orders[[#This Row],[Ship Date]]-[1]!orders[[#This Row],[Order Date]]</f>
        <v>0</v>
      </c>
      <c r="N2128" s="1">
        <f>WEEKNUM([1]!orders[[#This Row],[Order Date]])</f>
        <v>12</v>
      </c>
      <c r="O2128" t="str" cm="1">
        <f t="array" ref="O2128">_xlfn.IFS([1]!orders[[#This Row],[Customer Gender]]="M","Male", [1]!orders[[#This Row],[Customer Gender]]="F","Female", [1]!orders[[#This Row],[Customer Gender]]="O","Other", TRUE,"Unknown")</f>
        <v>Female</v>
      </c>
    </row>
    <row r="2129" spans="1:15" x14ac:dyDescent="0.25">
      <c r="A2129" t="s">
        <v>2215</v>
      </c>
      <c r="B2129" t="s">
        <v>108</v>
      </c>
      <c r="C2129">
        <v>8</v>
      </c>
      <c r="D2129">
        <v>44.4</v>
      </c>
      <c r="E2129">
        <v>355.2</v>
      </c>
      <c r="F2129" s="3">
        <v>45735</v>
      </c>
      <c r="G2129" s="3">
        <v>45741</v>
      </c>
      <c r="H2129" t="s">
        <v>12</v>
      </c>
      <c r="I2129" t="s">
        <v>36</v>
      </c>
      <c r="J2129">
        <v>5</v>
      </c>
      <c r="K2129" t="s">
        <v>4</v>
      </c>
      <c r="L2129" t="s">
        <v>44</v>
      </c>
      <c r="M2129">
        <f>[1]!orders[[#This Row],[Ship Date]]-[1]!orders[[#This Row],[Order Date]]</f>
        <v>6</v>
      </c>
      <c r="N2129">
        <f>WEEKNUM([1]!orders[[#This Row],[Order Date]])</f>
        <v>12</v>
      </c>
      <c r="O2129" t="str" cm="1">
        <f t="array" ref="O2129">_xlfn.IFS([1]!orders[[#This Row],[Customer Gender]]="M","Male", [1]!orders[[#This Row],[Customer Gender]]="F","Female", [1]!orders[[#This Row],[Customer Gender]]="O","Other", TRUE,"Unknown")</f>
        <v>Female</v>
      </c>
    </row>
    <row r="2130" spans="1:15" x14ac:dyDescent="0.25">
      <c r="A2130" s="1" t="s">
        <v>2216</v>
      </c>
      <c r="B2130" s="1" t="s">
        <v>29</v>
      </c>
      <c r="C2130" s="1">
        <v>3</v>
      </c>
      <c r="D2130" s="1">
        <v>26.2</v>
      </c>
      <c r="E2130" s="1">
        <v>78.599999999999994</v>
      </c>
      <c r="F2130" s="2">
        <v>45735</v>
      </c>
      <c r="G2130" s="2">
        <v>45736</v>
      </c>
      <c r="H2130" s="1" t="s">
        <v>8</v>
      </c>
      <c r="I2130" s="1" t="s">
        <v>3</v>
      </c>
      <c r="J2130" s="1">
        <v>4</v>
      </c>
      <c r="K2130" s="1" t="s">
        <v>4</v>
      </c>
      <c r="L2130" s="1" t="s">
        <v>47</v>
      </c>
      <c r="M2130" s="1">
        <f>[1]!orders[[#This Row],[Ship Date]]-[1]!orders[[#This Row],[Order Date]]</f>
        <v>1</v>
      </c>
      <c r="N2130" s="1">
        <f>WEEKNUM([1]!orders[[#This Row],[Order Date]])</f>
        <v>12</v>
      </c>
      <c r="O2130" t="str" cm="1">
        <f t="array" ref="O2130">_xlfn.IFS([1]!orders[[#This Row],[Customer Gender]]="M","Male", [1]!orders[[#This Row],[Customer Gender]]="F","Female", [1]!orders[[#This Row],[Customer Gender]]="O","Other", TRUE,"Unknown")</f>
        <v>Male</v>
      </c>
    </row>
    <row r="2131" spans="1:15" x14ac:dyDescent="0.25">
      <c r="A2131" t="s">
        <v>2217</v>
      </c>
      <c r="B2131" t="s">
        <v>7</v>
      </c>
      <c r="C2131">
        <v>7</v>
      </c>
      <c r="D2131">
        <v>32.200000000000003</v>
      </c>
      <c r="E2131">
        <v>225.40000000000003</v>
      </c>
      <c r="F2131" s="3">
        <v>45735</v>
      </c>
      <c r="G2131" s="3">
        <v>45736</v>
      </c>
      <c r="H2131" t="s">
        <v>12</v>
      </c>
      <c r="I2131" t="s">
        <v>20</v>
      </c>
      <c r="J2131">
        <v>5</v>
      </c>
      <c r="K2131" t="s">
        <v>4</v>
      </c>
      <c r="L2131" t="s">
        <v>47</v>
      </c>
      <c r="M2131">
        <f>[1]!orders[[#This Row],[Ship Date]]-[1]!orders[[#This Row],[Order Date]]</f>
        <v>1</v>
      </c>
      <c r="N2131">
        <f>WEEKNUM([1]!orders[[#This Row],[Order Date]])</f>
        <v>12</v>
      </c>
      <c r="O2131" t="str" cm="1">
        <f t="array" ref="O2131">_xlfn.IFS([1]!orders[[#This Row],[Customer Gender]]="M","Male", [1]!orders[[#This Row],[Customer Gender]]="F","Female", [1]!orders[[#This Row],[Customer Gender]]="O","Other", TRUE,"Unknown")</f>
        <v>Female</v>
      </c>
    </row>
    <row r="2132" spans="1:15" x14ac:dyDescent="0.25">
      <c r="A2132" s="1" t="s">
        <v>2218</v>
      </c>
      <c r="B2132" s="1" t="s">
        <v>29</v>
      </c>
      <c r="C2132" s="1">
        <v>1</v>
      </c>
      <c r="D2132" s="1">
        <v>17.399999999999999</v>
      </c>
      <c r="E2132" s="1">
        <v>17.399999999999999</v>
      </c>
      <c r="F2132" s="2">
        <v>45735</v>
      </c>
      <c r="G2132" s="2">
        <v>45739</v>
      </c>
      <c r="H2132" s="1" t="s">
        <v>2</v>
      </c>
      <c r="I2132" s="1" t="s">
        <v>25</v>
      </c>
      <c r="J2132" s="1">
        <v>3</v>
      </c>
      <c r="K2132" s="1" t="s">
        <v>4</v>
      </c>
      <c r="L2132" s="1" t="s">
        <v>47</v>
      </c>
      <c r="M2132" s="1">
        <f>[1]!orders[[#This Row],[Ship Date]]-[1]!orders[[#This Row],[Order Date]]</f>
        <v>4</v>
      </c>
      <c r="N2132" s="1">
        <f>WEEKNUM([1]!orders[[#This Row],[Order Date]])</f>
        <v>12</v>
      </c>
      <c r="O2132" t="str" cm="1">
        <f t="array" ref="O2132">_xlfn.IFS([1]!orders[[#This Row],[Customer Gender]]="M","Male", [1]!orders[[#This Row],[Customer Gender]]="F","Female", [1]!orders[[#This Row],[Customer Gender]]="O","Other", TRUE,"Unknown")</f>
        <v>Unknown</v>
      </c>
    </row>
    <row r="2133" spans="1:15" x14ac:dyDescent="0.25">
      <c r="A2133" t="s">
        <v>2219</v>
      </c>
      <c r="B2133" t="s">
        <v>29</v>
      </c>
      <c r="C2133">
        <v>6</v>
      </c>
      <c r="D2133">
        <v>72.3</v>
      </c>
      <c r="E2133">
        <v>433.79999999999995</v>
      </c>
      <c r="F2133" s="3">
        <v>45735</v>
      </c>
      <c r="G2133" s="3">
        <v>45738</v>
      </c>
      <c r="H2133" t="s">
        <v>12</v>
      </c>
      <c r="I2133" t="s">
        <v>3</v>
      </c>
      <c r="J2133">
        <v>4</v>
      </c>
      <c r="K2133" t="s">
        <v>4</v>
      </c>
      <c r="L2133" t="s">
        <v>47</v>
      </c>
      <c r="M2133">
        <f>[1]!orders[[#This Row],[Ship Date]]-[1]!orders[[#This Row],[Order Date]]</f>
        <v>3</v>
      </c>
      <c r="N2133">
        <f>WEEKNUM([1]!orders[[#This Row],[Order Date]])</f>
        <v>12</v>
      </c>
      <c r="O2133" t="str" cm="1">
        <f t="array" ref="O2133">_xlfn.IFS([1]!orders[[#This Row],[Customer Gender]]="M","Male", [1]!orders[[#This Row],[Customer Gender]]="F","Female", [1]!orders[[#This Row],[Customer Gender]]="O","Other", TRUE,"Unknown")</f>
        <v>Female</v>
      </c>
    </row>
    <row r="2134" spans="1:15" x14ac:dyDescent="0.25">
      <c r="A2134" s="1" t="s">
        <v>2220</v>
      </c>
      <c r="B2134" s="1" t="s">
        <v>29</v>
      </c>
      <c r="C2134" s="1">
        <v>11</v>
      </c>
      <c r="D2134" s="1">
        <v>24.3</v>
      </c>
      <c r="E2134" s="1">
        <v>267.3</v>
      </c>
      <c r="F2134" s="2">
        <v>45735</v>
      </c>
      <c r="G2134" s="2">
        <v>45736</v>
      </c>
      <c r="H2134" s="1" t="s">
        <v>8</v>
      </c>
      <c r="I2134" s="1" t="s">
        <v>3</v>
      </c>
      <c r="J2134" s="1">
        <v>4</v>
      </c>
      <c r="K2134" s="1" t="s">
        <v>4</v>
      </c>
      <c r="L2134" s="1" t="s">
        <v>47</v>
      </c>
      <c r="M2134" s="1">
        <f>[1]!orders[[#This Row],[Ship Date]]-[1]!orders[[#This Row],[Order Date]]</f>
        <v>1</v>
      </c>
      <c r="N2134" s="1">
        <f>WEEKNUM([1]!orders[[#This Row],[Order Date]])</f>
        <v>12</v>
      </c>
      <c r="O2134" t="str" cm="1">
        <f t="array" ref="O2134">_xlfn.IFS([1]!orders[[#This Row],[Customer Gender]]="M","Male", [1]!orders[[#This Row],[Customer Gender]]="F","Female", [1]!orders[[#This Row],[Customer Gender]]="O","Other", TRUE,"Unknown")</f>
        <v>Male</v>
      </c>
    </row>
    <row r="2135" spans="1:15" x14ac:dyDescent="0.25">
      <c r="A2135" t="s">
        <v>2221</v>
      </c>
      <c r="B2135" t="s">
        <v>61</v>
      </c>
      <c r="C2135">
        <v>3</v>
      </c>
      <c r="D2135">
        <v>49.1</v>
      </c>
      <c r="E2135">
        <v>147.30000000000001</v>
      </c>
      <c r="F2135" s="3">
        <v>45735</v>
      </c>
      <c r="G2135" s="3">
        <v>45741</v>
      </c>
      <c r="H2135" t="s">
        <v>8</v>
      </c>
      <c r="I2135" t="s">
        <v>25</v>
      </c>
      <c r="J2135">
        <v>2</v>
      </c>
      <c r="K2135" t="s">
        <v>4</v>
      </c>
      <c r="L2135" t="s">
        <v>47</v>
      </c>
      <c r="M2135">
        <f>[1]!orders[[#This Row],[Ship Date]]-[1]!orders[[#This Row],[Order Date]]</f>
        <v>6</v>
      </c>
      <c r="N2135">
        <f>WEEKNUM([1]!orders[[#This Row],[Order Date]])</f>
        <v>12</v>
      </c>
      <c r="O2135" t="str" cm="1">
        <f t="array" ref="O2135">_xlfn.IFS([1]!orders[[#This Row],[Customer Gender]]="M","Male", [1]!orders[[#This Row],[Customer Gender]]="F","Female", [1]!orders[[#This Row],[Customer Gender]]="O","Other", TRUE,"Unknown")</f>
        <v>Male</v>
      </c>
    </row>
    <row r="2136" spans="1:15" x14ac:dyDescent="0.25">
      <c r="A2136" s="1" t="s">
        <v>2222</v>
      </c>
      <c r="B2136" s="1" t="s">
        <v>11</v>
      </c>
      <c r="C2136" s="1">
        <v>10</v>
      </c>
      <c r="D2136" s="1">
        <v>234.7</v>
      </c>
      <c r="E2136" s="1">
        <v>2347</v>
      </c>
      <c r="F2136" s="2">
        <v>45735</v>
      </c>
      <c r="G2136" s="2">
        <v>45736</v>
      </c>
      <c r="H2136" s="1" t="s">
        <v>8</v>
      </c>
      <c r="I2136" s="1" t="s">
        <v>36</v>
      </c>
      <c r="J2136" s="1">
        <v>3</v>
      </c>
      <c r="K2136" s="1" t="s">
        <v>4</v>
      </c>
      <c r="L2136" s="1" t="s">
        <v>47</v>
      </c>
      <c r="M2136" s="1">
        <f>[1]!orders[[#This Row],[Ship Date]]-[1]!orders[[#This Row],[Order Date]]</f>
        <v>1</v>
      </c>
      <c r="N2136" s="1">
        <f>WEEKNUM([1]!orders[[#This Row],[Order Date]])</f>
        <v>12</v>
      </c>
      <c r="O2136" t="str" cm="1">
        <f t="array" ref="O2136">_xlfn.IFS([1]!orders[[#This Row],[Customer Gender]]="M","Male", [1]!orders[[#This Row],[Customer Gender]]="F","Female", [1]!orders[[#This Row],[Customer Gender]]="O","Other", TRUE,"Unknown")</f>
        <v>Male</v>
      </c>
    </row>
    <row r="2137" spans="1:15" x14ac:dyDescent="0.25">
      <c r="A2137" t="s">
        <v>2223</v>
      </c>
      <c r="B2137" t="s">
        <v>15</v>
      </c>
      <c r="C2137">
        <v>5</v>
      </c>
      <c r="D2137">
        <v>76.099999999999994</v>
      </c>
      <c r="E2137">
        <v>380.5</v>
      </c>
      <c r="F2137" s="3">
        <v>45735</v>
      </c>
      <c r="G2137" s="3">
        <v>45737</v>
      </c>
      <c r="H2137" t="s">
        <v>8</v>
      </c>
      <c r="I2137" t="s">
        <v>20</v>
      </c>
      <c r="J2137">
        <v>3</v>
      </c>
      <c r="K2137" t="s">
        <v>4</v>
      </c>
      <c r="L2137" t="s">
        <v>88</v>
      </c>
      <c r="M2137">
        <f>[1]!orders[[#This Row],[Ship Date]]-[1]!orders[[#This Row],[Order Date]]</f>
        <v>2</v>
      </c>
      <c r="N2137">
        <f>WEEKNUM([1]!orders[[#This Row],[Order Date]])</f>
        <v>12</v>
      </c>
      <c r="O2137" t="str" cm="1">
        <f t="array" ref="O2137">_xlfn.IFS([1]!orders[[#This Row],[Customer Gender]]="M","Male", [1]!orders[[#This Row],[Customer Gender]]="F","Female", [1]!orders[[#This Row],[Customer Gender]]="O","Other", TRUE,"Unknown")</f>
        <v>Male</v>
      </c>
    </row>
    <row r="2138" spans="1:15" x14ac:dyDescent="0.25">
      <c r="A2138" s="1" t="s">
        <v>2224</v>
      </c>
      <c r="B2138" s="1" t="s">
        <v>7</v>
      </c>
      <c r="C2138" s="1">
        <v>3</v>
      </c>
      <c r="D2138" s="1">
        <v>93.9</v>
      </c>
      <c r="E2138" s="1">
        <v>281.70000000000005</v>
      </c>
      <c r="F2138" s="2">
        <v>45735</v>
      </c>
      <c r="G2138" s="2">
        <v>45736</v>
      </c>
      <c r="H2138" s="1" t="s">
        <v>8</v>
      </c>
      <c r="I2138" s="1" t="s">
        <v>20</v>
      </c>
      <c r="J2138" s="1">
        <v>2</v>
      </c>
      <c r="K2138" s="1" t="s">
        <v>4</v>
      </c>
      <c r="L2138" s="1" t="s">
        <v>62</v>
      </c>
      <c r="M2138" s="1">
        <f>[1]!orders[[#This Row],[Ship Date]]-[1]!orders[[#This Row],[Order Date]]</f>
        <v>1</v>
      </c>
      <c r="N2138" s="1">
        <f>WEEKNUM([1]!orders[[#This Row],[Order Date]])</f>
        <v>12</v>
      </c>
      <c r="O2138" t="str" cm="1">
        <f t="array" ref="O2138">_xlfn.IFS([1]!orders[[#This Row],[Customer Gender]]="M","Male", [1]!orders[[#This Row],[Customer Gender]]="F","Female", [1]!orders[[#This Row],[Customer Gender]]="O","Other", TRUE,"Unknown")</f>
        <v>Male</v>
      </c>
    </row>
    <row r="2139" spans="1:15" x14ac:dyDescent="0.25">
      <c r="A2139" t="s">
        <v>2225</v>
      </c>
      <c r="B2139" t="s">
        <v>11</v>
      </c>
      <c r="C2139">
        <v>4</v>
      </c>
      <c r="D2139">
        <v>187</v>
      </c>
      <c r="E2139">
        <v>748</v>
      </c>
      <c r="F2139" s="3">
        <v>45736</v>
      </c>
      <c r="G2139" s="3">
        <v>45739</v>
      </c>
      <c r="H2139" t="s">
        <v>8</v>
      </c>
      <c r="I2139" t="s">
        <v>3</v>
      </c>
      <c r="J2139">
        <v>4</v>
      </c>
      <c r="K2139" t="s">
        <v>4</v>
      </c>
      <c r="L2139" t="s">
        <v>62</v>
      </c>
      <c r="M2139">
        <f>[1]!orders[[#This Row],[Ship Date]]-[1]!orders[[#This Row],[Order Date]]</f>
        <v>3</v>
      </c>
      <c r="N2139">
        <f>WEEKNUM([1]!orders[[#This Row],[Order Date]])</f>
        <v>12</v>
      </c>
      <c r="O2139" t="str" cm="1">
        <f t="array" ref="O2139">_xlfn.IFS([1]!orders[[#This Row],[Customer Gender]]="M","Male", [1]!orders[[#This Row],[Customer Gender]]="F","Female", [1]!orders[[#This Row],[Customer Gender]]="O","Other", TRUE,"Unknown")</f>
        <v>Male</v>
      </c>
    </row>
    <row r="2140" spans="1:15" x14ac:dyDescent="0.25">
      <c r="A2140" s="1" t="s">
        <v>2226</v>
      </c>
      <c r="B2140" s="1" t="s">
        <v>29</v>
      </c>
      <c r="C2140" s="1">
        <v>2</v>
      </c>
      <c r="D2140" s="1">
        <v>18</v>
      </c>
      <c r="E2140" s="1">
        <v>36</v>
      </c>
      <c r="F2140" s="2">
        <v>45736</v>
      </c>
      <c r="G2140" s="2">
        <v>45737</v>
      </c>
      <c r="H2140" s="1" t="s">
        <v>12</v>
      </c>
      <c r="I2140" s="1" t="s">
        <v>20</v>
      </c>
      <c r="J2140" s="1">
        <v>5</v>
      </c>
      <c r="K2140" s="1" t="s">
        <v>4</v>
      </c>
      <c r="L2140" s="1" t="s">
        <v>1101</v>
      </c>
      <c r="M2140" s="1">
        <f>[1]!orders[[#This Row],[Ship Date]]-[1]!orders[[#This Row],[Order Date]]</f>
        <v>1</v>
      </c>
      <c r="N2140" s="1">
        <f>WEEKNUM([1]!orders[[#This Row],[Order Date]])</f>
        <v>12</v>
      </c>
      <c r="O2140" t="str" cm="1">
        <f t="array" ref="O2140">_xlfn.IFS([1]!orders[[#This Row],[Customer Gender]]="M","Male", [1]!orders[[#This Row],[Customer Gender]]="F","Female", [1]!orders[[#This Row],[Customer Gender]]="O","Other", TRUE,"Unknown")</f>
        <v>Female</v>
      </c>
    </row>
    <row r="2141" spans="1:15" x14ac:dyDescent="0.25">
      <c r="A2141" t="s">
        <v>2227</v>
      </c>
      <c r="B2141" t="s">
        <v>17</v>
      </c>
      <c r="C2141">
        <v>1</v>
      </c>
      <c r="D2141">
        <v>24.4</v>
      </c>
      <c r="E2141">
        <v>24.4</v>
      </c>
      <c r="F2141" s="3">
        <v>45736</v>
      </c>
      <c r="G2141" s="3">
        <v>45737</v>
      </c>
      <c r="H2141" t="s">
        <v>12</v>
      </c>
      <c r="I2141" t="s">
        <v>55</v>
      </c>
      <c r="J2141">
        <v>5</v>
      </c>
      <c r="K2141" t="s">
        <v>4</v>
      </c>
      <c r="L2141" t="s">
        <v>100</v>
      </c>
      <c r="M2141">
        <f>[1]!orders[[#This Row],[Ship Date]]-[1]!orders[[#This Row],[Order Date]]</f>
        <v>1</v>
      </c>
      <c r="N2141">
        <f>WEEKNUM([1]!orders[[#This Row],[Order Date]])</f>
        <v>12</v>
      </c>
      <c r="O2141" t="str" cm="1">
        <f t="array" ref="O2141">_xlfn.IFS([1]!orders[[#This Row],[Customer Gender]]="M","Male", [1]!orders[[#This Row],[Customer Gender]]="F","Female", [1]!orders[[#This Row],[Customer Gender]]="O","Other", TRUE,"Unknown")</f>
        <v>Female</v>
      </c>
    </row>
    <row r="2142" spans="1:15" x14ac:dyDescent="0.25">
      <c r="A2142" s="1" t="s">
        <v>2228</v>
      </c>
      <c r="B2142" s="1" t="s">
        <v>39</v>
      </c>
      <c r="C2142" s="1">
        <v>2</v>
      </c>
      <c r="D2142" s="1">
        <v>38.799999999999997</v>
      </c>
      <c r="E2142" s="1">
        <v>77.599999999999994</v>
      </c>
      <c r="F2142" s="2">
        <v>45736</v>
      </c>
      <c r="G2142" s="2">
        <v>45737</v>
      </c>
      <c r="H2142" s="1" t="s">
        <v>8</v>
      </c>
      <c r="I2142" s="1" t="s">
        <v>55</v>
      </c>
      <c r="J2142" s="1">
        <v>3</v>
      </c>
      <c r="K2142" s="1" t="s">
        <v>4</v>
      </c>
      <c r="L2142" s="1" t="s">
        <v>18</v>
      </c>
      <c r="M2142" s="1">
        <f>[1]!orders[[#This Row],[Ship Date]]-[1]!orders[[#This Row],[Order Date]]</f>
        <v>1</v>
      </c>
      <c r="N2142" s="1">
        <f>WEEKNUM([1]!orders[[#This Row],[Order Date]])</f>
        <v>12</v>
      </c>
      <c r="O2142" t="str" cm="1">
        <f t="array" ref="O2142">_xlfn.IFS([1]!orders[[#This Row],[Customer Gender]]="M","Male", [1]!orders[[#This Row],[Customer Gender]]="F","Female", [1]!orders[[#This Row],[Customer Gender]]="O","Other", TRUE,"Unknown")</f>
        <v>Male</v>
      </c>
    </row>
    <row r="2143" spans="1:15" x14ac:dyDescent="0.25">
      <c r="A2143" t="s">
        <v>2229</v>
      </c>
      <c r="B2143" t="s">
        <v>15</v>
      </c>
      <c r="C2143">
        <v>1</v>
      </c>
      <c r="D2143">
        <v>59.7</v>
      </c>
      <c r="E2143">
        <v>59.7</v>
      </c>
      <c r="F2143" s="3">
        <v>45736</v>
      </c>
      <c r="G2143" s="3">
        <v>45739</v>
      </c>
      <c r="H2143" t="s">
        <v>8</v>
      </c>
      <c r="I2143" t="s">
        <v>36</v>
      </c>
      <c r="J2143">
        <v>4</v>
      </c>
      <c r="K2143" t="s">
        <v>4</v>
      </c>
      <c r="L2143" t="s">
        <v>18</v>
      </c>
      <c r="M2143">
        <f>[1]!orders[[#This Row],[Ship Date]]-[1]!orders[[#This Row],[Order Date]]</f>
        <v>3</v>
      </c>
      <c r="N2143">
        <f>WEEKNUM([1]!orders[[#This Row],[Order Date]])</f>
        <v>12</v>
      </c>
      <c r="O2143" t="str" cm="1">
        <f t="array" ref="O2143">_xlfn.IFS([1]!orders[[#This Row],[Customer Gender]]="M","Male", [1]!orders[[#This Row],[Customer Gender]]="F","Female", [1]!orders[[#This Row],[Customer Gender]]="O","Other", TRUE,"Unknown")</f>
        <v>Male</v>
      </c>
    </row>
    <row r="2144" spans="1:15" x14ac:dyDescent="0.25">
      <c r="A2144" s="1" t="s">
        <v>2230</v>
      </c>
      <c r="B2144" s="1" t="s">
        <v>27</v>
      </c>
      <c r="C2144" s="1">
        <v>1</v>
      </c>
      <c r="D2144" s="1">
        <v>31.2</v>
      </c>
      <c r="E2144" s="1">
        <v>31.2</v>
      </c>
      <c r="F2144" s="2">
        <v>45736</v>
      </c>
      <c r="G2144" s="2">
        <v>45737</v>
      </c>
      <c r="H2144" s="1" t="s">
        <v>8</v>
      </c>
      <c r="I2144" s="1" t="s">
        <v>20</v>
      </c>
      <c r="J2144" s="1">
        <v>5</v>
      </c>
      <c r="K2144" s="1" t="s">
        <v>4</v>
      </c>
      <c r="L2144" s="1" t="s">
        <v>18</v>
      </c>
      <c r="M2144" s="1">
        <f>[1]!orders[[#This Row],[Ship Date]]-[1]!orders[[#This Row],[Order Date]]</f>
        <v>1</v>
      </c>
      <c r="N2144" s="1">
        <f>WEEKNUM([1]!orders[[#This Row],[Order Date]])</f>
        <v>12</v>
      </c>
      <c r="O2144" t="str" cm="1">
        <f t="array" ref="O2144">_xlfn.IFS([1]!orders[[#This Row],[Customer Gender]]="M","Male", [1]!orders[[#This Row],[Customer Gender]]="F","Female", [1]!orders[[#This Row],[Customer Gender]]="O","Other", TRUE,"Unknown")</f>
        <v>Male</v>
      </c>
    </row>
    <row r="2145" spans="1:15" x14ac:dyDescent="0.25">
      <c r="A2145" t="s">
        <v>2231</v>
      </c>
      <c r="B2145" t="s">
        <v>1</v>
      </c>
      <c r="C2145">
        <v>1</v>
      </c>
      <c r="D2145">
        <v>16.8</v>
      </c>
      <c r="E2145">
        <v>16.8</v>
      </c>
      <c r="F2145" s="3">
        <v>45736</v>
      </c>
      <c r="G2145" s="3">
        <v>45737</v>
      </c>
      <c r="H2145" t="s">
        <v>12</v>
      </c>
      <c r="I2145" t="s">
        <v>25</v>
      </c>
      <c r="J2145">
        <v>3</v>
      </c>
      <c r="K2145" t="s">
        <v>4</v>
      </c>
      <c r="L2145" t="s">
        <v>18</v>
      </c>
      <c r="M2145">
        <f>[1]!orders[[#This Row],[Ship Date]]-[1]!orders[[#This Row],[Order Date]]</f>
        <v>1</v>
      </c>
      <c r="N2145">
        <f>WEEKNUM([1]!orders[[#This Row],[Order Date]])</f>
        <v>12</v>
      </c>
      <c r="O2145" t="str" cm="1">
        <f t="array" ref="O2145">_xlfn.IFS([1]!orders[[#This Row],[Customer Gender]]="M","Male", [1]!orders[[#This Row],[Customer Gender]]="F","Female", [1]!orders[[#This Row],[Customer Gender]]="O","Other", TRUE,"Unknown")</f>
        <v>Female</v>
      </c>
    </row>
    <row r="2146" spans="1:15" x14ac:dyDescent="0.25">
      <c r="A2146" s="1" t="s">
        <v>2232</v>
      </c>
      <c r="B2146" s="1" t="s">
        <v>29</v>
      </c>
      <c r="C2146" s="1">
        <v>1</v>
      </c>
      <c r="D2146" s="1">
        <v>46</v>
      </c>
      <c r="E2146" s="1">
        <v>46</v>
      </c>
      <c r="F2146" s="2">
        <v>45736</v>
      </c>
      <c r="G2146" s="2">
        <v>45737</v>
      </c>
      <c r="H2146" s="1" t="s">
        <v>8</v>
      </c>
      <c r="I2146" s="1" t="s">
        <v>3</v>
      </c>
      <c r="J2146" s="1">
        <v>4</v>
      </c>
      <c r="K2146" s="1" t="s">
        <v>4</v>
      </c>
      <c r="L2146" s="1" t="s">
        <v>18</v>
      </c>
      <c r="M2146" s="1">
        <f>[1]!orders[[#This Row],[Ship Date]]-[1]!orders[[#This Row],[Order Date]]</f>
        <v>1</v>
      </c>
      <c r="N2146" s="1">
        <f>WEEKNUM([1]!orders[[#This Row],[Order Date]])</f>
        <v>12</v>
      </c>
      <c r="O2146" t="str" cm="1">
        <f t="array" ref="O2146">_xlfn.IFS([1]!orders[[#This Row],[Customer Gender]]="M","Male", [1]!orders[[#This Row],[Customer Gender]]="F","Female", [1]!orders[[#This Row],[Customer Gender]]="O","Other", TRUE,"Unknown")</f>
        <v>Male</v>
      </c>
    </row>
    <row r="2147" spans="1:15" x14ac:dyDescent="0.25">
      <c r="A2147" t="s">
        <v>2233</v>
      </c>
      <c r="B2147" t="s">
        <v>31</v>
      </c>
      <c r="C2147">
        <v>8</v>
      </c>
      <c r="D2147">
        <v>42.2</v>
      </c>
      <c r="E2147">
        <v>337.6</v>
      </c>
      <c r="F2147" s="3">
        <v>45736</v>
      </c>
      <c r="G2147" s="3">
        <v>45739</v>
      </c>
      <c r="H2147" t="s">
        <v>12</v>
      </c>
      <c r="I2147" t="s">
        <v>36</v>
      </c>
      <c r="J2147">
        <v>5</v>
      </c>
      <c r="K2147" t="s">
        <v>4</v>
      </c>
      <c r="L2147" t="s">
        <v>18</v>
      </c>
      <c r="M2147">
        <f>[1]!orders[[#This Row],[Ship Date]]-[1]!orders[[#This Row],[Order Date]]</f>
        <v>3</v>
      </c>
      <c r="N2147">
        <f>WEEKNUM([1]!orders[[#This Row],[Order Date]])</f>
        <v>12</v>
      </c>
      <c r="O2147" t="str" cm="1">
        <f t="array" ref="O2147">_xlfn.IFS([1]!orders[[#This Row],[Customer Gender]]="M","Male", [1]!orders[[#This Row],[Customer Gender]]="F","Female", [1]!orders[[#This Row],[Customer Gender]]="O","Other", TRUE,"Unknown")</f>
        <v>Female</v>
      </c>
    </row>
    <row r="2148" spans="1:15" x14ac:dyDescent="0.25">
      <c r="A2148" s="1" t="s">
        <v>2234</v>
      </c>
      <c r="B2148" s="1" t="s">
        <v>7</v>
      </c>
      <c r="C2148" s="1">
        <v>3</v>
      </c>
      <c r="D2148" s="1">
        <v>71.5</v>
      </c>
      <c r="E2148" s="1">
        <v>214.5</v>
      </c>
      <c r="F2148" s="2">
        <v>45736</v>
      </c>
      <c r="G2148" s="2">
        <v>45750</v>
      </c>
      <c r="H2148" s="1" t="s">
        <v>12</v>
      </c>
      <c r="I2148" s="1" t="s">
        <v>3</v>
      </c>
      <c r="J2148" s="1">
        <v>4</v>
      </c>
      <c r="K2148" s="1" t="s">
        <v>4</v>
      </c>
      <c r="L2148" s="1" t="s">
        <v>18</v>
      </c>
      <c r="M2148" s="1">
        <f>[1]!orders[[#This Row],[Ship Date]]-[1]!orders[[#This Row],[Order Date]]</f>
        <v>14</v>
      </c>
      <c r="N2148" s="1">
        <f>WEEKNUM([1]!orders[[#This Row],[Order Date]])</f>
        <v>12</v>
      </c>
      <c r="O2148" t="str" cm="1">
        <f t="array" ref="O2148">_xlfn.IFS([1]!orders[[#This Row],[Customer Gender]]="M","Male", [1]!orders[[#This Row],[Customer Gender]]="F","Female", [1]!orders[[#This Row],[Customer Gender]]="O","Other", TRUE,"Unknown")</f>
        <v>Female</v>
      </c>
    </row>
    <row r="2149" spans="1:15" x14ac:dyDescent="0.25">
      <c r="A2149" t="s">
        <v>2235</v>
      </c>
      <c r="B2149" t="s">
        <v>7</v>
      </c>
      <c r="C2149">
        <v>2</v>
      </c>
      <c r="D2149">
        <v>76.599999999999994</v>
      </c>
      <c r="E2149">
        <v>153.19999999999999</v>
      </c>
      <c r="F2149" s="3">
        <v>45736</v>
      </c>
      <c r="G2149" s="3">
        <v>45736</v>
      </c>
      <c r="H2149" t="s">
        <v>8</v>
      </c>
      <c r="I2149" t="s">
        <v>3</v>
      </c>
      <c r="J2149">
        <v>5</v>
      </c>
      <c r="K2149" t="s">
        <v>4</v>
      </c>
      <c r="L2149" t="s">
        <v>18</v>
      </c>
      <c r="M2149">
        <f>[1]!orders[[#This Row],[Ship Date]]-[1]!orders[[#This Row],[Order Date]]</f>
        <v>0</v>
      </c>
      <c r="N2149">
        <f>WEEKNUM([1]!orders[[#This Row],[Order Date]])</f>
        <v>12</v>
      </c>
      <c r="O2149" t="str" cm="1">
        <f t="array" ref="O2149">_xlfn.IFS([1]!orders[[#This Row],[Customer Gender]]="M","Male", [1]!orders[[#This Row],[Customer Gender]]="F","Female", [1]!orders[[#This Row],[Customer Gender]]="O","Other", TRUE,"Unknown")</f>
        <v>Male</v>
      </c>
    </row>
    <row r="2150" spans="1:15" x14ac:dyDescent="0.25">
      <c r="A2150" s="1" t="s">
        <v>2236</v>
      </c>
      <c r="B2150" s="1" t="s">
        <v>54</v>
      </c>
      <c r="C2150" s="1">
        <v>2</v>
      </c>
      <c r="D2150" s="1">
        <v>87.3</v>
      </c>
      <c r="E2150" s="1">
        <v>174.6</v>
      </c>
      <c r="F2150" s="2">
        <v>45736</v>
      </c>
      <c r="G2150" s="2">
        <v>45744</v>
      </c>
      <c r="H2150" s="1" t="s">
        <v>12</v>
      </c>
      <c r="I2150" s="1" t="s">
        <v>36</v>
      </c>
      <c r="J2150" s="1">
        <v>5</v>
      </c>
      <c r="K2150" s="1" t="s">
        <v>4</v>
      </c>
      <c r="L2150" s="1" t="s">
        <v>18</v>
      </c>
      <c r="M2150" s="1">
        <f>[1]!orders[[#This Row],[Ship Date]]-[1]!orders[[#This Row],[Order Date]]</f>
        <v>8</v>
      </c>
      <c r="N2150" s="1">
        <f>WEEKNUM([1]!orders[[#This Row],[Order Date]])</f>
        <v>12</v>
      </c>
      <c r="O2150" t="str" cm="1">
        <f t="array" ref="O2150">_xlfn.IFS([1]!orders[[#This Row],[Customer Gender]]="M","Male", [1]!orders[[#This Row],[Customer Gender]]="F","Female", [1]!orders[[#This Row],[Customer Gender]]="O","Other", TRUE,"Unknown")</f>
        <v>Female</v>
      </c>
    </row>
    <row r="2151" spans="1:15" x14ac:dyDescent="0.25">
      <c r="A2151" t="s">
        <v>2237</v>
      </c>
      <c r="B2151" t="s">
        <v>7</v>
      </c>
      <c r="C2151">
        <v>1</v>
      </c>
      <c r="D2151">
        <v>63</v>
      </c>
      <c r="E2151">
        <v>63</v>
      </c>
      <c r="F2151" s="3">
        <v>45736</v>
      </c>
      <c r="G2151" s="3">
        <v>45739</v>
      </c>
      <c r="H2151" t="s">
        <v>8</v>
      </c>
      <c r="I2151" t="s">
        <v>36</v>
      </c>
      <c r="J2151">
        <v>4</v>
      </c>
      <c r="K2151" t="s">
        <v>4</v>
      </c>
      <c r="L2151" t="s">
        <v>18</v>
      </c>
      <c r="M2151">
        <f>[1]!orders[[#This Row],[Ship Date]]-[1]!orders[[#This Row],[Order Date]]</f>
        <v>3</v>
      </c>
      <c r="N2151">
        <f>WEEKNUM([1]!orders[[#This Row],[Order Date]])</f>
        <v>12</v>
      </c>
      <c r="O2151" t="str" cm="1">
        <f t="array" ref="O2151">_xlfn.IFS([1]!orders[[#This Row],[Customer Gender]]="M","Male", [1]!orders[[#This Row],[Customer Gender]]="F","Female", [1]!orders[[#This Row],[Customer Gender]]="O","Other", TRUE,"Unknown")</f>
        <v>Male</v>
      </c>
    </row>
    <row r="2152" spans="1:15" x14ac:dyDescent="0.25">
      <c r="A2152" s="1" t="s">
        <v>2238</v>
      </c>
      <c r="B2152" s="1" t="s">
        <v>29</v>
      </c>
      <c r="C2152" s="1">
        <v>2</v>
      </c>
      <c r="D2152" s="1">
        <v>41.7</v>
      </c>
      <c r="E2152" s="1">
        <v>83.4</v>
      </c>
      <c r="F2152" s="2">
        <v>45736</v>
      </c>
      <c r="G2152" s="2">
        <v>45737</v>
      </c>
      <c r="H2152" s="1" t="s">
        <v>12</v>
      </c>
      <c r="I2152" s="1" t="s">
        <v>55</v>
      </c>
      <c r="J2152" s="1">
        <v>3</v>
      </c>
      <c r="K2152" s="1" t="s">
        <v>4</v>
      </c>
      <c r="L2152" s="1" t="s">
        <v>530</v>
      </c>
      <c r="M2152" s="1">
        <f>[1]!orders[[#This Row],[Ship Date]]-[1]!orders[[#This Row],[Order Date]]</f>
        <v>1</v>
      </c>
      <c r="N2152" s="1">
        <f>WEEKNUM([1]!orders[[#This Row],[Order Date]])</f>
        <v>12</v>
      </c>
      <c r="O2152" t="str" cm="1">
        <f t="array" ref="O2152">_xlfn.IFS([1]!orders[[#This Row],[Customer Gender]]="M","Male", [1]!orders[[#This Row],[Customer Gender]]="F","Female", [1]!orders[[#This Row],[Customer Gender]]="O","Other", TRUE,"Unknown")</f>
        <v>Female</v>
      </c>
    </row>
    <row r="2153" spans="1:15" x14ac:dyDescent="0.25">
      <c r="A2153" t="s">
        <v>2239</v>
      </c>
      <c r="B2153" t="s">
        <v>24</v>
      </c>
      <c r="C2153">
        <v>2</v>
      </c>
      <c r="D2153">
        <v>76.099999999999994</v>
      </c>
      <c r="E2153">
        <v>152.19999999999999</v>
      </c>
      <c r="F2153" s="3">
        <v>45736</v>
      </c>
      <c r="G2153" s="3">
        <v>45736</v>
      </c>
      <c r="H2153" t="s">
        <v>12</v>
      </c>
      <c r="I2153" t="s">
        <v>55</v>
      </c>
      <c r="J2153">
        <v>5</v>
      </c>
      <c r="K2153" t="s">
        <v>4</v>
      </c>
      <c r="L2153" t="s">
        <v>83</v>
      </c>
      <c r="M2153">
        <f>[1]!orders[[#This Row],[Ship Date]]-[1]!orders[[#This Row],[Order Date]]</f>
        <v>0</v>
      </c>
      <c r="N2153">
        <f>WEEKNUM([1]!orders[[#This Row],[Order Date]])</f>
        <v>12</v>
      </c>
      <c r="O2153" t="str" cm="1">
        <f t="array" ref="O2153">_xlfn.IFS([1]!orders[[#This Row],[Customer Gender]]="M","Male", [1]!orders[[#This Row],[Customer Gender]]="F","Female", [1]!orders[[#This Row],[Customer Gender]]="O","Other", TRUE,"Unknown")</f>
        <v>Female</v>
      </c>
    </row>
    <row r="2154" spans="1:15" x14ac:dyDescent="0.25">
      <c r="A2154" s="1" t="s">
        <v>2240</v>
      </c>
      <c r="B2154" s="1" t="s">
        <v>61</v>
      </c>
      <c r="C2154" s="1">
        <v>2</v>
      </c>
      <c r="D2154" s="1">
        <v>28.5</v>
      </c>
      <c r="E2154" s="1">
        <v>57</v>
      </c>
      <c r="F2154" s="2">
        <v>45736</v>
      </c>
      <c r="G2154" s="2">
        <v>45737</v>
      </c>
      <c r="H2154" s="1" t="s">
        <v>12</v>
      </c>
      <c r="I2154" s="1" t="s">
        <v>3</v>
      </c>
      <c r="J2154" s="1">
        <v>5</v>
      </c>
      <c r="K2154" s="1" t="s">
        <v>4</v>
      </c>
      <c r="L2154" s="1" t="s">
        <v>34</v>
      </c>
      <c r="M2154" s="1">
        <f>[1]!orders[[#This Row],[Ship Date]]-[1]!orders[[#This Row],[Order Date]]</f>
        <v>1</v>
      </c>
      <c r="N2154" s="1">
        <f>WEEKNUM([1]!orders[[#This Row],[Order Date]])</f>
        <v>12</v>
      </c>
      <c r="O2154" t="str" cm="1">
        <f t="array" ref="O2154">_xlfn.IFS([1]!orders[[#This Row],[Customer Gender]]="M","Male", [1]!orders[[#This Row],[Customer Gender]]="F","Female", [1]!orders[[#This Row],[Customer Gender]]="O","Other", TRUE,"Unknown")</f>
        <v>Female</v>
      </c>
    </row>
    <row r="2155" spans="1:15" x14ac:dyDescent="0.25">
      <c r="A2155" t="s">
        <v>2241</v>
      </c>
      <c r="B2155" t="s">
        <v>1</v>
      </c>
      <c r="C2155">
        <v>4</v>
      </c>
      <c r="D2155">
        <v>32.1</v>
      </c>
      <c r="E2155">
        <v>128.4</v>
      </c>
      <c r="F2155" s="3">
        <v>45736</v>
      </c>
      <c r="G2155" s="3">
        <v>45737</v>
      </c>
      <c r="H2155" t="s">
        <v>12</v>
      </c>
      <c r="I2155" t="s">
        <v>20</v>
      </c>
      <c r="J2155">
        <v>5</v>
      </c>
      <c r="K2155" t="s">
        <v>4</v>
      </c>
      <c r="L2155" t="s">
        <v>173</v>
      </c>
      <c r="M2155">
        <f>[1]!orders[[#This Row],[Ship Date]]-[1]!orders[[#This Row],[Order Date]]</f>
        <v>1</v>
      </c>
      <c r="N2155">
        <f>WEEKNUM([1]!orders[[#This Row],[Order Date]])</f>
        <v>12</v>
      </c>
      <c r="O2155" t="str" cm="1">
        <f t="array" ref="O2155">_xlfn.IFS([1]!orders[[#This Row],[Customer Gender]]="M","Male", [1]!orders[[#This Row],[Customer Gender]]="F","Female", [1]!orders[[#This Row],[Customer Gender]]="O","Other", TRUE,"Unknown")</f>
        <v>Female</v>
      </c>
    </row>
    <row r="2156" spans="1:15" x14ac:dyDescent="0.25">
      <c r="A2156" s="1" t="s">
        <v>2242</v>
      </c>
      <c r="B2156" s="1" t="s">
        <v>17</v>
      </c>
      <c r="C2156" s="1">
        <v>3</v>
      </c>
      <c r="D2156" s="1">
        <v>39</v>
      </c>
      <c r="E2156" s="1">
        <v>117</v>
      </c>
      <c r="F2156" s="2">
        <v>45736</v>
      </c>
      <c r="G2156" s="2">
        <v>45739</v>
      </c>
      <c r="H2156" s="1" t="s">
        <v>8</v>
      </c>
      <c r="I2156" s="1" t="s">
        <v>20</v>
      </c>
      <c r="J2156" s="1">
        <v>5</v>
      </c>
      <c r="K2156" s="1" t="s">
        <v>4</v>
      </c>
      <c r="L2156" s="1" t="s">
        <v>173</v>
      </c>
      <c r="M2156" s="1">
        <f>[1]!orders[[#This Row],[Ship Date]]-[1]!orders[[#This Row],[Order Date]]</f>
        <v>3</v>
      </c>
      <c r="N2156" s="1">
        <f>WEEKNUM([1]!orders[[#This Row],[Order Date]])</f>
        <v>12</v>
      </c>
      <c r="O2156" t="str" cm="1">
        <f t="array" ref="O2156">_xlfn.IFS([1]!orders[[#This Row],[Customer Gender]]="M","Male", [1]!orders[[#This Row],[Customer Gender]]="F","Female", [1]!orders[[#This Row],[Customer Gender]]="O","Other", TRUE,"Unknown")</f>
        <v>Male</v>
      </c>
    </row>
    <row r="2157" spans="1:15" x14ac:dyDescent="0.25">
      <c r="A2157" t="s">
        <v>2243</v>
      </c>
      <c r="B2157" t="s">
        <v>24</v>
      </c>
      <c r="C2157">
        <v>1</v>
      </c>
      <c r="D2157">
        <v>78.5</v>
      </c>
      <c r="E2157">
        <v>78.5</v>
      </c>
      <c r="F2157" s="3">
        <v>45736</v>
      </c>
      <c r="G2157" s="3">
        <v>45737</v>
      </c>
      <c r="H2157" t="s">
        <v>8</v>
      </c>
      <c r="I2157" t="s">
        <v>20</v>
      </c>
      <c r="J2157">
        <v>4</v>
      </c>
      <c r="K2157" t="s">
        <v>4</v>
      </c>
      <c r="L2157" t="s">
        <v>40</v>
      </c>
      <c r="M2157">
        <f>[1]!orders[[#This Row],[Ship Date]]-[1]!orders[[#This Row],[Order Date]]</f>
        <v>1</v>
      </c>
      <c r="N2157">
        <f>WEEKNUM([1]!orders[[#This Row],[Order Date]])</f>
        <v>12</v>
      </c>
      <c r="O2157" t="str" cm="1">
        <f t="array" ref="O2157">_xlfn.IFS([1]!orders[[#This Row],[Customer Gender]]="M","Male", [1]!orders[[#This Row],[Customer Gender]]="F","Female", [1]!orders[[#This Row],[Customer Gender]]="O","Other", TRUE,"Unknown")</f>
        <v>Male</v>
      </c>
    </row>
    <row r="2158" spans="1:15" x14ac:dyDescent="0.25">
      <c r="A2158" s="1" t="s">
        <v>2244</v>
      </c>
      <c r="B2158" s="1" t="s">
        <v>17</v>
      </c>
      <c r="C2158" s="1">
        <v>5</v>
      </c>
      <c r="D2158" s="1">
        <v>49.7</v>
      </c>
      <c r="E2158" s="1">
        <v>248.5</v>
      </c>
      <c r="F2158" s="2">
        <v>45736</v>
      </c>
      <c r="G2158" s="2">
        <v>45738</v>
      </c>
      <c r="H2158" s="1" t="s">
        <v>12</v>
      </c>
      <c r="I2158" s="1" t="s">
        <v>3</v>
      </c>
      <c r="J2158" s="1">
        <v>4</v>
      </c>
      <c r="K2158" s="1" t="s">
        <v>4</v>
      </c>
      <c r="L2158" s="1" t="s">
        <v>40</v>
      </c>
      <c r="M2158" s="1">
        <f>[1]!orders[[#This Row],[Ship Date]]-[1]!orders[[#This Row],[Order Date]]</f>
        <v>2</v>
      </c>
      <c r="N2158" s="1">
        <f>WEEKNUM([1]!orders[[#This Row],[Order Date]])</f>
        <v>12</v>
      </c>
      <c r="O2158" t="str" cm="1">
        <f t="array" ref="O2158">_xlfn.IFS([1]!orders[[#This Row],[Customer Gender]]="M","Male", [1]!orders[[#This Row],[Customer Gender]]="F","Female", [1]!orders[[#This Row],[Customer Gender]]="O","Other", TRUE,"Unknown")</f>
        <v>Female</v>
      </c>
    </row>
    <row r="2159" spans="1:15" x14ac:dyDescent="0.25">
      <c r="A2159" t="s">
        <v>2245</v>
      </c>
      <c r="B2159" t="s">
        <v>7</v>
      </c>
      <c r="C2159">
        <v>4</v>
      </c>
      <c r="D2159">
        <v>68.400000000000006</v>
      </c>
      <c r="E2159">
        <v>273.60000000000002</v>
      </c>
      <c r="F2159" s="3">
        <v>45736</v>
      </c>
      <c r="G2159" s="3">
        <v>45737</v>
      </c>
      <c r="H2159" t="s">
        <v>12</v>
      </c>
      <c r="I2159" t="s">
        <v>25</v>
      </c>
      <c r="J2159">
        <v>5</v>
      </c>
      <c r="K2159" t="s">
        <v>4</v>
      </c>
      <c r="L2159" t="s">
        <v>44</v>
      </c>
      <c r="M2159">
        <f>[1]!orders[[#This Row],[Ship Date]]-[1]!orders[[#This Row],[Order Date]]</f>
        <v>1</v>
      </c>
      <c r="N2159">
        <f>WEEKNUM([1]!orders[[#This Row],[Order Date]])</f>
        <v>12</v>
      </c>
      <c r="O2159" t="str" cm="1">
        <f t="array" ref="O2159">_xlfn.IFS([1]!orders[[#This Row],[Customer Gender]]="M","Male", [1]!orders[[#This Row],[Customer Gender]]="F","Female", [1]!orders[[#This Row],[Customer Gender]]="O","Other", TRUE,"Unknown")</f>
        <v>Female</v>
      </c>
    </row>
    <row r="2160" spans="1:15" x14ac:dyDescent="0.25">
      <c r="A2160" s="1" t="s">
        <v>2246</v>
      </c>
      <c r="B2160" s="1" t="s">
        <v>15</v>
      </c>
      <c r="C2160" s="1">
        <v>2</v>
      </c>
      <c r="D2160" s="1">
        <v>72.900000000000006</v>
      </c>
      <c r="E2160" s="1">
        <v>145.80000000000001</v>
      </c>
      <c r="F2160" s="2">
        <v>45736</v>
      </c>
      <c r="G2160" s="2">
        <v>45739</v>
      </c>
      <c r="H2160" s="1" t="s">
        <v>2</v>
      </c>
      <c r="I2160" s="1" t="s">
        <v>3</v>
      </c>
      <c r="J2160" s="1">
        <v>5</v>
      </c>
      <c r="K2160" s="1" t="s">
        <v>4</v>
      </c>
      <c r="L2160" s="1" t="s">
        <v>44</v>
      </c>
      <c r="M2160" s="1">
        <f>[1]!orders[[#This Row],[Ship Date]]-[1]!orders[[#This Row],[Order Date]]</f>
        <v>3</v>
      </c>
      <c r="N2160" s="1">
        <f>WEEKNUM([1]!orders[[#This Row],[Order Date]])</f>
        <v>12</v>
      </c>
      <c r="O2160" t="str" cm="1">
        <f t="array" ref="O2160">_xlfn.IFS([1]!orders[[#This Row],[Customer Gender]]="M","Male", [1]!orders[[#This Row],[Customer Gender]]="F","Female", [1]!orders[[#This Row],[Customer Gender]]="O","Other", TRUE,"Unknown")</f>
        <v>Unknown</v>
      </c>
    </row>
    <row r="2161" spans="1:15" x14ac:dyDescent="0.25">
      <c r="A2161" t="s">
        <v>2247</v>
      </c>
      <c r="B2161" t="s">
        <v>22</v>
      </c>
      <c r="C2161">
        <v>13</v>
      </c>
      <c r="D2161">
        <v>30.3</v>
      </c>
      <c r="E2161">
        <v>393.90000000000003</v>
      </c>
      <c r="F2161" s="3">
        <v>45736</v>
      </c>
      <c r="G2161" s="3">
        <v>45737</v>
      </c>
      <c r="H2161" t="s">
        <v>8</v>
      </c>
      <c r="I2161" t="s">
        <v>55</v>
      </c>
      <c r="J2161">
        <v>4</v>
      </c>
      <c r="K2161" t="s">
        <v>4</v>
      </c>
      <c r="L2161" t="s">
        <v>44</v>
      </c>
      <c r="M2161">
        <f>[1]!orders[[#This Row],[Ship Date]]-[1]!orders[[#This Row],[Order Date]]</f>
        <v>1</v>
      </c>
      <c r="N2161">
        <f>WEEKNUM([1]!orders[[#This Row],[Order Date]])</f>
        <v>12</v>
      </c>
      <c r="O2161" t="str" cm="1">
        <f t="array" ref="O2161">_xlfn.IFS([1]!orders[[#This Row],[Customer Gender]]="M","Male", [1]!orders[[#This Row],[Customer Gender]]="F","Female", [1]!orders[[#This Row],[Customer Gender]]="O","Other", TRUE,"Unknown")</f>
        <v>Male</v>
      </c>
    </row>
    <row r="2162" spans="1:15" x14ac:dyDescent="0.25">
      <c r="A2162" s="1" t="s">
        <v>2248</v>
      </c>
      <c r="B2162" s="1" t="s">
        <v>24</v>
      </c>
      <c r="C2162" s="1">
        <v>11</v>
      </c>
      <c r="D2162" s="1">
        <v>57.9</v>
      </c>
      <c r="E2162" s="1">
        <v>636.9</v>
      </c>
      <c r="F2162" s="2">
        <v>45736</v>
      </c>
      <c r="G2162" s="2">
        <v>45737</v>
      </c>
      <c r="H2162" s="1" t="s">
        <v>12</v>
      </c>
      <c r="I2162" s="1" t="s">
        <v>3</v>
      </c>
      <c r="J2162" s="1">
        <v>4</v>
      </c>
      <c r="K2162" s="1" t="s">
        <v>4</v>
      </c>
      <c r="L2162" s="1" t="s">
        <v>47</v>
      </c>
      <c r="M2162" s="1">
        <f>[1]!orders[[#This Row],[Ship Date]]-[1]!orders[[#This Row],[Order Date]]</f>
        <v>1</v>
      </c>
      <c r="N2162" s="1">
        <f>WEEKNUM([1]!orders[[#This Row],[Order Date]])</f>
        <v>12</v>
      </c>
      <c r="O2162" t="str" cm="1">
        <f t="array" ref="O2162">_xlfn.IFS([1]!orders[[#This Row],[Customer Gender]]="M","Male", [1]!orders[[#This Row],[Customer Gender]]="F","Female", [1]!orders[[#This Row],[Customer Gender]]="O","Other", TRUE,"Unknown")</f>
        <v>Female</v>
      </c>
    </row>
    <row r="2163" spans="1:15" x14ac:dyDescent="0.25">
      <c r="A2163" t="s">
        <v>2249</v>
      </c>
      <c r="B2163" t="s">
        <v>7</v>
      </c>
      <c r="C2163">
        <v>1</v>
      </c>
      <c r="D2163">
        <v>96.7</v>
      </c>
      <c r="E2163">
        <v>96.7</v>
      </c>
      <c r="F2163" s="3">
        <v>45736</v>
      </c>
      <c r="G2163" s="3">
        <v>45737</v>
      </c>
      <c r="H2163" t="s">
        <v>8</v>
      </c>
      <c r="I2163" t="s">
        <v>3</v>
      </c>
      <c r="J2163">
        <v>4</v>
      </c>
      <c r="K2163" t="s">
        <v>4</v>
      </c>
      <c r="L2163" t="s">
        <v>47</v>
      </c>
      <c r="M2163">
        <f>[1]!orders[[#This Row],[Ship Date]]-[1]!orders[[#This Row],[Order Date]]</f>
        <v>1</v>
      </c>
      <c r="N2163">
        <f>WEEKNUM([1]!orders[[#This Row],[Order Date]])</f>
        <v>12</v>
      </c>
      <c r="O2163" t="str" cm="1">
        <f t="array" ref="O2163">_xlfn.IFS([1]!orders[[#This Row],[Customer Gender]]="M","Male", [1]!orders[[#This Row],[Customer Gender]]="F","Female", [1]!orders[[#This Row],[Customer Gender]]="O","Other", TRUE,"Unknown")</f>
        <v>Male</v>
      </c>
    </row>
    <row r="2164" spans="1:15" x14ac:dyDescent="0.25">
      <c r="A2164" s="1" t="s">
        <v>2250</v>
      </c>
      <c r="B2164" s="1" t="s">
        <v>29</v>
      </c>
      <c r="C2164" s="1">
        <v>12</v>
      </c>
      <c r="D2164" s="1">
        <v>27.6</v>
      </c>
      <c r="E2164" s="1">
        <v>331.20000000000005</v>
      </c>
      <c r="F2164" s="2">
        <v>45736</v>
      </c>
      <c r="G2164" s="2">
        <v>45738</v>
      </c>
      <c r="H2164" s="1" t="s">
        <v>8</v>
      </c>
      <c r="I2164" s="1" t="s">
        <v>25</v>
      </c>
      <c r="J2164" s="1">
        <v>5</v>
      </c>
      <c r="K2164" s="1" t="s">
        <v>4</v>
      </c>
      <c r="L2164" s="1" t="s">
        <v>47</v>
      </c>
      <c r="M2164" s="1">
        <f>[1]!orders[[#This Row],[Ship Date]]-[1]!orders[[#This Row],[Order Date]]</f>
        <v>2</v>
      </c>
      <c r="N2164" s="1">
        <f>WEEKNUM([1]!orders[[#This Row],[Order Date]])</f>
        <v>12</v>
      </c>
      <c r="O2164" t="str" cm="1">
        <f t="array" ref="O2164">_xlfn.IFS([1]!orders[[#This Row],[Customer Gender]]="M","Male", [1]!orders[[#This Row],[Customer Gender]]="F","Female", [1]!orders[[#This Row],[Customer Gender]]="O","Other", TRUE,"Unknown")</f>
        <v>Male</v>
      </c>
    </row>
    <row r="2165" spans="1:15" x14ac:dyDescent="0.25">
      <c r="A2165" t="s">
        <v>2251</v>
      </c>
      <c r="B2165" t="s">
        <v>24</v>
      </c>
      <c r="C2165">
        <v>4</v>
      </c>
      <c r="D2165">
        <v>64.7</v>
      </c>
      <c r="E2165">
        <v>258.8</v>
      </c>
      <c r="F2165" s="3">
        <v>45736</v>
      </c>
      <c r="G2165" s="3">
        <v>45736</v>
      </c>
      <c r="H2165" t="s">
        <v>8</v>
      </c>
      <c r="I2165" t="s">
        <v>36</v>
      </c>
      <c r="J2165">
        <v>5</v>
      </c>
      <c r="K2165" t="s">
        <v>4</v>
      </c>
      <c r="L2165" t="s">
        <v>47</v>
      </c>
      <c r="M2165">
        <f>[1]!orders[[#This Row],[Ship Date]]-[1]!orders[[#This Row],[Order Date]]</f>
        <v>0</v>
      </c>
      <c r="N2165">
        <f>WEEKNUM([1]!orders[[#This Row],[Order Date]])</f>
        <v>12</v>
      </c>
      <c r="O2165" t="str" cm="1">
        <f t="array" ref="O2165">_xlfn.IFS([1]!orders[[#This Row],[Customer Gender]]="M","Male", [1]!orders[[#This Row],[Customer Gender]]="F","Female", [1]!orders[[#This Row],[Customer Gender]]="O","Other", TRUE,"Unknown")</f>
        <v>Male</v>
      </c>
    </row>
    <row r="2166" spans="1:15" x14ac:dyDescent="0.25">
      <c r="A2166" s="1" t="s">
        <v>2252</v>
      </c>
      <c r="B2166" s="1" t="s">
        <v>39</v>
      </c>
      <c r="C2166" s="1">
        <v>6</v>
      </c>
      <c r="D2166" s="1">
        <v>30.5</v>
      </c>
      <c r="E2166" s="1">
        <v>183</v>
      </c>
      <c r="F2166" s="2">
        <v>45736</v>
      </c>
      <c r="G2166" s="2">
        <v>45737</v>
      </c>
      <c r="H2166" s="1" t="s">
        <v>8</v>
      </c>
      <c r="I2166" s="1" t="s">
        <v>55</v>
      </c>
      <c r="J2166" s="1">
        <v>4</v>
      </c>
      <c r="K2166" s="1" t="s">
        <v>4</v>
      </c>
      <c r="L2166" s="1" t="s">
        <v>47</v>
      </c>
      <c r="M2166" s="1">
        <f>[1]!orders[[#This Row],[Ship Date]]-[1]!orders[[#This Row],[Order Date]]</f>
        <v>1</v>
      </c>
      <c r="N2166" s="1">
        <f>WEEKNUM([1]!orders[[#This Row],[Order Date]])</f>
        <v>12</v>
      </c>
      <c r="O2166" t="str" cm="1">
        <f t="array" ref="O2166">_xlfn.IFS([1]!orders[[#This Row],[Customer Gender]]="M","Male", [1]!orders[[#This Row],[Customer Gender]]="F","Female", [1]!orders[[#This Row],[Customer Gender]]="O","Other", TRUE,"Unknown")</f>
        <v>Male</v>
      </c>
    </row>
    <row r="2167" spans="1:15" x14ac:dyDescent="0.25">
      <c r="A2167" t="s">
        <v>2253</v>
      </c>
      <c r="B2167" t="s">
        <v>24</v>
      </c>
      <c r="C2167">
        <v>70</v>
      </c>
      <c r="D2167">
        <v>106</v>
      </c>
      <c r="E2167">
        <v>7420</v>
      </c>
      <c r="F2167" s="3">
        <v>45737</v>
      </c>
      <c r="G2167" s="3">
        <v>45739</v>
      </c>
      <c r="H2167" t="s">
        <v>8</v>
      </c>
      <c r="I2167" t="s">
        <v>55</v>
      </c>
      <c r="J2167">
        <v>5</v>
      </c>
      <c r="K2167" t="s">
        <v>4</v>
      </c>
      <c r="L2167" t="s">
        <v>47</v>
      </c>
      <c r="M2167">
        <f>[1]!orders[[#This Row],[Ship Date]]-[1]!orders[[#This Row],[Order Date]]</f>
        <v>2</v>
      </c>
      <c r="N2167">
        <f>WEEKNUM([1]!orders[[#This Row],[Order Date]])</f>
        <v>12</v>
      </c>
      <c r="O2167" t="str" cm="1">
        <f t="array" ref="O2167">_xlfn.IFS([1]!orders[[#This Row],[Customer Gender]]="M","Male", [1]!orders[[#This Row],[Customer Gender]]="F","Female", [1]!orders[[#This Row],[Customer Gender]]="O","Other", TRUE,"Unknown")</f>
        <v>Male</v>
      </c>
    </row>
    <row r="2168" spans="1:15" x14ac:dyDescent="0.25">
      <c r="A2168" s="1" t="s">
        <v>2254</v>
      </c>
      <c r="B2168" s="1" t="s">
        <v>54</v>
      </c>
      <c r="C2168" s="1">
        <v>5</v>
      </c>
      <c r="D2168" s="1">
        <v>76.8</v>
      </c>
      <c r="E2168" s="1">
        <v>384</v>
      </c>
      <c r="F2168" s="2">
        <v>45737</v>
      </c>
      <c r="G2168" s="2">
        <v>45743</v>
      </c>
      <c r="H2168" s="1" t="s">
        <v>2</v>
      </c>
      <c r="I2168" s="1" t="s">
        <v>20</v>
      </c>
      <c r="J2168" s="1">
        <v>3</v>
      </c>
      <c r="K2168" s="1" t="s">
        <v>4</v>
      </c>
      <c r="L2168" s="1" t="s">
        <v>93</v>
      </c>
      <c r="M2168" s="1">
        <f>[1]!orders[[#This Row],[Ship Date]]-[1]!orders[[#This Row],[Order Date]]</f>
        <v>6</v>
      </c>
      <c r="N2168" s="1">
        <f>WEEKNUM([1]!orders[[#This Row],[Order Date]])</f>
        <v>12</v>
      </c>
      <c r="O2168" t="str" cm="1">
        <f t="array" ref="O2168">_xlfn.IFS([1]!orders[[#This Row],[Customer Gender]]="M","Male", [1]!orders[[#This Row],[Customer Gender]]="F","Female", [1]!orders[[#This Row],[Customer Gender]]="O","Other", TRUE,"Unknown")</f>
        <v>Unknown</v>
      </c>
    </row>
    <row r="2169" spans="1:15" x14ac:dyDescent="0.25">
      <c r="A2169" t="s">
        <v>2255</v>
      </c>
      <c r="B2169" t="s">
        <v>24</v>
      </c>
      <c r="C2169">
        <v>2</v>
      </c>
      <c r="D2169">
        <v>80.400000000000006</v>
      </c>
      <c r="E2169">
        <v>160.80000000000001</v>
      </c>
      <c r="F2169" s="3">
        <v>45737</v>
      </c>
      <c r="G2169" s="3">
        <v>45738</v>
      </c>
      <c r="H2169" t="s">
        <v>12</v>
      </c>
      <c r="I2169" t="s">
        <v>25</v>
      </c>
      <c r="J2169">
        <v>4</v>
      </c>
      <c r="K2169" t="s">
        <v>4</v>
      </c>
      <c r="L2169" t="s">
        <v>67</v>
      </c>
      <c r="M2169">
        <f>[1]!orders[[#This Row],[Ship Date]]-[1]!orders[[#This Row],[Order Date]]</f>
        <v>1</v>
      </c>
      <c r="N2169">
        <f>WEEKNUM([1]!orders[[#This Row],[Order Date]])</f>
        <v>12</v>
      </c>
      <c r="O2169" t="str" cm="1">
        <f t="array" ref="O2169">_xlfn.IFS([1]!orders[[#This Row],[Customer Gender]]="M","Male", [1]!orders[[#This Row],[Customer Gender]]="F","Female", [1]!orders[[#This Row],[Customer Gender]]="O","Other", TRUE,"Unknown")</f>
        <v>Female</v>
      </c>
    </row>
    <row r="2170" spans="1:15" x14ac:dyDescent="0.25">
      <c r="A2170" s="1" t="s">
        <v>2256</v>
      </c>
      <c r="B2170" s="1" t="s">
        <v>24</v>
      </c>
      <c r="C2170" s="1">
        <v>4</v>
      </c>
      <c r="D2170" s="1">
        <v>69.099999999999994</v>
      </c>
      <c r="E2170" s="1">
        <v>276.39999999999998</v>
      </c>
      <c r="F2170" s="2">
        <v>45737</v>
      </c>
      <c r="G2170" s="2">
        <v>45738</v>
      </c>
      <c r="H2170" s="1" t="s">
        <v>8</v>
      </c>
      <c r="I2170" s="1" t="s">
        <v>20</v>
      </c>
      <c r="J2170" s="1">
        <v>5</v>
      </c>
      <c r="K2170" s="1" t="s">
        <v>4</v>
      </c>
      <c r="L2170" s="1" t="s">
        <v>100</v>
      </c>
      <c r="M2170" s="1">
        <f>[1]!orders[[#This Row],[Ship Date]]-[1]!orders[[#This Row],[Order Date]]</f>
        <v>1</v>
      </c>
      <c r="N2170" s="1">
        <f>WEEKNUM([1]!orders[[#This Row],[Order Date]])</f>
        <v>12</v>
      </c>
      <c r="O2170" t="str" cm="1">
        <f t="array" ref="O2170">_xlfn.IFS([1]!orders[[#This Row],[Customer Gender]]="M","Male", [1]!orders[[#This Row],[Customer Gender]]="F","Female", [1]!orders[[#This Row],[Customer Gender]]="O","Other", TRUE,"Unknown")</f>
        <v>Male</v>
      </c>
    </row>
    <row r="2171" spans="1:15" x14ac:dyDescent="0.25">
      <c r="A2171" t="s">
        <v>2257</v>
      </c>
      <c r="B2171" t="s">
        <v>131</v>
      </c>
      <c r="C2171">
        <v>2</v>
      </c>
      <c r="D2171">
        <v>76.400000000000006</v>
      </c>
      <c r="E2171">
        <v>152.80000000000001</v>
      </c>
      <c r="F2171" s="3">
        <v>45737</v>
      </c>
      <c r="G2171" s="3">
        <v>45737</v>
      </c>
      <c r="H2171" t="s">
        <v>8</v>
      </c>
      <c r="I2171" t="s">
        <v>36</v>
      </c>
      <c r="J2171">
        <v>4</v>
      </c>
      <c r="K2171" t="s">
        <v>4</v>
      </c>
      <c r="L2171" t="s">
        <v>100</v>
      </c>
      <c r="M2171">
        <f>[1]!orders[[#This Row],[Ship Date]]-[1]!orders[[#This Row],[Order Date]]</f>
        <v>0</v>
      </c>
      <c r="N2171">
        <f>WEEKNUM([1]!orders[[#This Row],[Order Date]])</f>
        <v>12</v>
      </c>
      <c r="O2171" t="str" cm="1">
        <f t="array" ref="O2171">_xlfn.IFS([1]!orders[[#This Row],[Customer Gender]]="M","Male", [1]!orders[[#This Row],[Customer Gender]]="F","Female", [1]!orders[[#This Row],[Customer Gender]]="O","Other", TRUE,"Unknown")</f>
        <v>Male</v>
      </c>
    </row>
    <row r="2172" spans="1:15" x14ac:dyDescent="0.25">
      <c r="A2172" s="1" t="s">
        <v>2258</v>
      </c>
      <c r="B2172" s="1" t="s">
        <v>11</v>
      </c>
      <c r="C2172" s="1">
        <v>2</v>
      </c>
      <c r="D2172" s="1">
        <v>61.3</v>
      </c>
      <c r="E2172" s="1">
        <v>122.6</v>
      </c>
      <c r="F2172" s="2">
        <v>45737</v>
      </c>
      <c r="G2172" s="2">
        <v>45738</v>
      </c>
      <c r="H2172" s="1" t="s">
        <v>12</v>
      </c>
      <c r="I2172" s="1" t="s">
        <v>20</v>
      </c>
      <c r="J2172" s="1">
        <v>3</v>
      </c>
      <c r="K2172" s="1" t="s">
        <v>4</v>
      </c>
      <c r="L2172" s="1" t="s">
        <v>100</v>
      </c>
      <c r="M2172" s="1">
        <f>[1]!orders[[#This Row],[Ship Date]]-[1]!orders[[#This Row],[Order Date]]</f>
        <v>1</v>
      </c>
      <c r="N2172" s="1">
        <f>WEEKNUM([1]!orders[[#This Row],[Order Date]])</f>
        <v>12</v>
      </c>
      <c r="O2172" t="str" cm="1">
        <f t="array" ref="O2172">_xlfn.IFS([1]!orders[[#This Row],[Customer Gender]]="M","Male", [1]!orders[[#This Row],[Customer Gender]]="F","Female", [1]!orders[[#This Row],[Customer Gender]]="O","Other", TRUE,"Unknown")</f>
        <v>Female</v>
      </c>
    </row>
    <row r="2173" spans="1:15" x14ac:dyDescent="0.25">
      <c r="A2173" t="s">
        <v>2259</v>
      </c>
      <c r="B2173" t="s">
        <v>27</v>
      </c>
      <c r="C2173">
        <v>1</v>
      </c>
      <c r="D2173">
        <v>58</v>
      </c>
      <c r="E2173">
        <v>58</v>
      </c>
      <c r="F2173" s="3">
        <v>45737</v>
      </c>
      <c r="G2173" s="3">
        <v>45738</v>
      </c>
      <c r="H2173" t="s">
        <v>8</v>
      </c>
      <c r="I2173" t="s">
        <v>36</v>
      </c>
      <c r="J2173">
        <v>3</v>
      </c>
      <c r="K2173" t="s">
        <v>4</v>
      </c>
      <c r="L2173" t="s">
        <v>9</v>
      </c>
      <c r="M2173">
        <f>[1]!orders[[#This Row],[Ship Date]]-[1]!orders[[#This Row],[Order Date]]</f>
        <v>1</v>
      </c>
      <c r="N2173">
        <f>WEEKNUM([1]!orders[[#This Row],[Order Date]])</f>
        <v>12</v>
      </c>
      <c r="O2173" t="str" cm="1">
        <f t="array" ref="O2173">_xlfn.IFS([1]!orders[[#This Row],[Customer Gender]]="M","Male", [1]!orders[[#This Row],[Customer Gender]]="F","Female", [1]!orders[[#This Row],[Customer Gender]]="O","Other", TRUE,"Unknown")</f>
        <v>Male</v>
      </c>
    </row>
    <row r="2174" spans="1:15" x14ac:dyDescent="0.25">
      <c r="A2174" s="1" t="s">
        <v>2260</v>
      </c>
      <c r="B2174" s="1" t="s">
        <v>11</v>
      </c>
      <c r="C2174" s="1">
        <v>8</v>
      </c>
      <c r="D2174" s="1">
        <v>102.3</v>
      </c>
      <c r="E2174" s="1">
        <v>818.4</v>
      </c>
      <c r="F2174" s="2">
        <v>45737</v>
      </c>
      <c r="G2174" s="2">
        <v>45739</v>
      </c>
      <c r="H2174" s="1" t="s">
        <v>8</v>
      </c>
      <c r="I2174" s="1" t="s">
        <v>25</v>
      </c>
      <c r="J2174" s="1">
        <v>4</v>
      </c>
      <c r="K2174" s="1" t="s">
        <v>4</v>
      </c>
      <c r="L2174" s="1" t="s">
        <v>422</v>
      </c>
      <c r="M2174" s="1">
        <f>[1]!orders[[#This Row],[Ship Date]]-[1]!orders[[#This Row],[Order Date]]</f>
        <v>2</v>
      </c>
      <c r="N2174" s="1">
        <f>WEEKNUM([1]!orders[[#This Row],[Order Date]])</f>
        <v>12</v>
      </c>
      <c r="O2174" t="str" cm="1">
        <f t="array" ref="O2174">_xlfn.IFS([1]!orders[[#This Row],[Customer Gender]]="M","Male", [1]!orders[[#This Row],[Customer Gender]]="F","Female", [1]!orders[[#This Row],[Customer Gender]]="O","Other", TRUE,"Unknown")</f>
        <v>Male</v>
      </c>
    </row>
    <row r="2175" spans="1:15" x14ac:dyDescent="0.25">
      <c r="A2175" t="s">
        <v>2261</v>
      </c>
      <c r="B2175" t="s">
        <v>156</v>
      </c>
      <c r="C2175">
        <v>2</v>
      </c>
      <c r="D2175">
        <v>13.8</v>
      </c>
      <c r="E2175">
        <v>27.6</v>
      </c>
      <c r="F2175" s="3">
        <v>45737</v>
      </c>
      <c r="G2175" s="3">
        <v>45738</v>
      </c>
      <c r="H2175" t="s">
        <v>12</v>
      </c>
      <c r="I2175" t="s">
        <v>55</v>
      </c>
      <c r="J2175">
        <v>5</v>
      </c>
      <c r="K2175" t="s">
        <v>4</v>
      </c>
      <c r="L2175" t="s">
        <v>13</v>
      </c>
      <c r="M2175">
        <f>[1]!orders[[#This Row],[Ship Date]]-[1]!orders[[#This Row],[Order Date]]</f>
        <v>1</v>
      </c>
      <c r="N2175">
        <f>WEEKNUM([1]!orders[[#This Row],[Order Date]])</f>
        <v>12</v>
      </c>
      <c r="O2175" t="str" cm="1">
        <f t="array" ref="O2175">_xlfn.IFS([1]!orders[[#This Row],[Customer Gender]]="M","Male", [1]!orders[[#This Row],[Customer Gender]]="F","Female", [1]!orders[[#This Row],[Customer Gender]]="O","Other", TRUE,"Unknown")</f>
        <v>Female</v>
      </c>
    </row>
    <row r="2176" spans="1:15" x14ac:dyDescent="0.25">
      <c r="A2176" s="1" t="s">
        <v>2262</v>
      </c>
      <c r="B2176" s="1" t="s">
        <v>29</v>
      </c>
      <c r="C2176" s="1">
        <v>3</v>
      </c>
      <c r="D2176" s="1">
        <v>33.299999999999997</v>
      </c>
      <c r="E2176" s="1">
        <v>99.899999999999991</v>
      </c>
      <c r="F2176" s="2">
        <v>45737</v>
      </c>
      <c r="G2176" s="2">
        <v>45740</v>
      </c>
      <c r="H2176" s="1" t="s">
        <v>12</v>
      </c>
      <c r="I2176" s="1" t="s">
        <v>25</v>
      </c>
      <c r="J2176" s="1">
        <v>4</v>
      </c>
      <c r="K2176" s="1" t="s">
        <v>4</v>
      </c>
      <c r="L2176" s="1" t="s">
        <v>132</v>
      </c>
      <c r="M2176" s="1">
        <f>[1]!orders[[#This Row],[Ship Date]]-[1]!orders[[#This Row],[Order Date]]</f>
        <v>3</v>
      </c>
      <c r="N2176" s="1">
        <f>WEEKNUM([1]!orders[[#This Row],[Order Date]])</f>
        <v>12</v>
      </c>
      <c r="O2176" t="str" cm="1">
        <f t="array" ref="O2176">_xlfn.IFS([1]!orders[[#This Row],[Customer Gender]]="M","Male", [1]!orders[[#This Row],[Customer Gender]]="F","Female", [1]!orders[[#This Row],[Customer Gender]]="O","Other", TRUE,"Unknown")</f>
        <v>Female</v>
      </c>
    </row>
    <row r="2177" spans="1:15" x14ac:dyDescent="0.25">
      <c r="A2177" t="s">
        <v>2263</v>
      </c>
      <c r="B2177" t="s">
        <v>39</v>
      </c>
      <c r="C2177">
        <v>1</v>
      </c>
      <c r="D2177">
        <v>27.4</v>
      </c>
      <c r="E2177">
        <v>27.4</v>
      </c>
      <c r="F2177" s="3">
        <v>45737</v>
      </c>
      <c r="G2177" s="3">
        <v>45740</v>
      </c>
      <c r="H2177" t="s">
        <v>8</v>
      </c>
      <c r="I2177" t="s">
        <v>3</v>
      </c>
      <c r="J2177">
        <v>5</v>
      </c>
      <c r="K2177" t="s">
        <v>4</v>
      </c>
      <c r="L2177" t="s">
        <v>132</v>
      </c>
      <c r="M2177">
        <f>[1]!orders[[#This Row],[Ship Date]]-[1]!orders[[#This Row],[Order Date]]</f>
        <v>3</v>
      </c>
      <c r="N2177">
        <f>WEEKNUM([1]!orders[[#This Row],[Order Date]])</f>
        <v>12</v>
      </c>
      <c r="O2177" t="str" cm="1">
        <f t="array" ref="O2177">_xlfn.IFS([1]!orders[[#This Row],[Customer Gender]]="M","Male", [1]!orders[[#This Row],[Customer Gender]]="F","Female", [1]!orders[[#This Row],[Customer Gender]]="O","Other", TRUE,"Unknown")</f>
        <v>Male</v>
      </c>
    </row>
    <row r="2178" spans="1:15" x14ac:dyDescent="0.25">
      <c r="A2178" s="1" t="s">
        <v>2264</v>
      </c>
      <c r="B2178" s="1" t="s">
        <v>66</v>
      </c>
      <c r="C2178" s="1">
        <v>2</v>
      </c>
      <c r="D2178" s="1">
        <v>25.6</v>
      </c>
      <c r="E2178" s="1">
        <v>51.2</v>
      </c>
      <c r="F2178" s="2">
        <v>45737</v>
      </c>
      <c r="G2178" s="2">
        <v>45738</v>
      </c>
      <c r="H2178" s="1" t="s">
        <v>12</v>
      </c>
      <c r="I2178" s="1" t="s">
        <v>20</v>
      </c>
      <c r="J2178" s="1">
        <v>3</v>
      </c>
      <c r="K2178" s="1" t="s">
        <v>4</v>
      </c>
      <c r="L2178" s="1" t="s">
        <v>18</v>
      </c>
      <c r="M2178" s="1">
        <f>[1]!orders[[#This Row],[Ship Date]]-[1]!orders[[#This Row],[Order Date]]</f>
        <v>1</v>
      </c>
      <c r="N2178" s="1">
        <f>WEEKNUM([1]!orders[[#This Row],[Order Date]])</f>
        <v>12</v>
      </c>
      <c r="O2178" t="str" cm="1">
        <f t="array" ref="O2178">_xlfn.IFS([1]!orders[[#This Row],[Customer Gender]]="M","Male", [1]!orders[[#This Row],[Customer Gender]]="F","Female", [1]!orders[[#This Row],[Customer Gender]]="O","Other", TRUE,"Unknown")</f>
        <v>Female</v>
      </c>
    </row>
    <row r="2179" spans="1:15" x14ac:dyDescent="0.25">
      <c r="A2179" t="s">
        <v>2265</v>
      </c>
      <c r="B2179" t="s">
        <v>61</v>
      </c>
      <c r="C2179">
        <v>1</v>
      </c>
      <c r="D2179">
        <v>58.4</v>
      </c>
      <c r="E2179">
        <v>58.4</v>
      </c>
      <c r="F2179" s="3">
        <v>45737</v>
      </c>
      <c r="G2179" s="3">
        <v>45738</v>
      </c>
      <c r="H2179" t="s">
        <v>12</v>
      </c>
      <c r="I2179" t="s">
        <v>25</v>
      </c>
      <c r="J2179">
        <v>5</v>
      </c>
      <c r="K2179" t="s">
        <v>4</v>
      </c>
      <c r="L2179" t="s">
        <v>18</v>
      </c>
      <c r="M2179">
        <f>[1]!orders[[#This Row],[Ship Date]]-[1]!orders[[#This Row],[Order Date]]</f>
        <v>1</v>
      </c>
      <c r="N2179">
        <f>WEEKNUM([1]!orders[[#This Row],[Order Date]])</f>
        <v>12</v>
      </c>
      <c r="O2179" t="str" cm="1">
        <f t="array" ref="O2179">_xlfn.IFS([1]!orders[[#This Row],[Customer Gender]]="M","Male", [1]!orders[[#This Row],[Customer Gender]]="F","Female", [1]!orders[[#This Row],[Customer Gender]]="O","Other", TRUE,"Unknown")</f>
        <v>Female</v>
      </c>
    </row>
    <row r="2180" spans="1:15" x14ac:dyDescent="0.25">
      <c r="A2180" s="1" t="s">
        <v>2266</v>
      </c>
      <c r="B2180" s="1" t="s">
        <v>52</v>
      </c>
      <c r="C2180" s="1">
        <v>30</v>
      </c>
      <c r="D2180" s="1">
        <v>27</v>
      </c>
      <c r="E2180" s="1">
        <v>810</v>
      </c>
      <c r="F2180" s="2">
        <v>45737</v>
      </c>
      <c r="G2180" s="2">
        <v>45738</v>
      </c>
      <c r="H2180" s="1" t="s">
        <v>12</v>
      </c>
      <c r="I2180" s="1" t="s">
        <v>55</v>
      </c>
      <c r="J2180" s="1">
        <v>4</v>
      </c>
      <c r="K2180" s="1" t="s">
        <v>4</v>
      </c>
      <c r="L2180" s="1" t="s">
        <v>18</v>
      </c>
      <c r="M2180" s="1">
        <f>[1]!orders[[#This Row],[Ship Date]]-[1]!orders[[#This Row],[Order Date]]</f>
        <v>1</v>
      </c>
      <c r="N2180" s="1">
        <f>WEEKNUM([1]!orders[[#This Row],[Order Date]])</f>
        <v>12</v>
      </c>
      <c r="O2180" t="str" cm="1">
        <f t="array" ref="O2180">_xlfn.IFS([1]!orders[[#This Row],[Customer Gender]]="M","Male", [1]!orders[[#This Row],[Customer Gender]]="F","Female", [1]!orders[[#This Row],[Customer Gender]]="O","Other", TRUE,"Unknown")</f>
        <v>Female</v>
      </c>
    </row>
    <row r="2181" spans="1:15" x14ac:dyDescent="0.25">
      <c r="A2181" t="s">
        <v>2267</v>
      </c>
      <c r="B2181" t="s">
        <v>1</v>
      </c>
      <c r="C2181">
        <v>4</v>
      </c>
      <c r="D2181">
        <v>14.2</v>
      </c>
      <c r="E2181">
        <v>56.8</v>
      </c>
      <c r="F2181" s="3">
        <v>45737</v>
      </c>
      <c r="G2181" s="3">
        <v>45738</v>
      </c>
      <c r="H2181" t="s">
        <v>8</v>
      </c>
      <c r="I2181" t="s">
        <v>3</v>
      </c>
      <c r="J2181">
        <v>5</v>
      </c>
      <c r="K2181" t="s">
        <v>4</v>
      </c>
      <c r="L2181" t="s">
        <v>18</v>
      </c>
      <c r="M2181">
        <f>[1]!orders[[#This Row],[Ship Date]]-[1]!orders[[#This Row],[Order Date]]</f>
        <v>1</v>
      </c>
      <c r="N2181">
        <f>WEEKNUM([1]!orders[[#This Row],[Order Date]])</f>
        <v>12</v>
      </c>
      <c r="O2181" t="str" cm="1">
        <f t="array" ref="O2181">_xlfn.IFS([1]!orders[[#This Row],[Customer Gender]]="M","Male", [1]!orders[[#This Row],[Customer Gender]]="F","Female", [1]!orders[[#This Row],[Customer Gender]]="O","Other", TRUE,"Unknown")</f>
        <v>Male</v>
      </c>
    </row>
    <row r="2182" spans="1:15" x14ac:dyDescent="0.25">
      <c r="A2182" s="1" t="s">
        <v>2268</v>
      </c>
      <c r="B2182" s="1" t="s">
        <v>27</v>
      </c>
      <c r="C2182" s="1">
        <v>2</v>
      </c>
      <c r="D2182" s="1">
        <v>68</v>
      </c>
      <c r="E2182" s="1">
        <v>136</v>
      </c>
      <c r="F2182" s="2">
        <v>45737</v>
      </c>
      <c r="G2182" s="2">
        <v>45747</v>
      </c>
      <c r="H2182" s="1" t="s">
        <v>8</v>
      </c>
      <c r="I2182" s="1" t="s">
        <v>25</v>
      </c>
      <c r="J2182" s="1">
        <v>3</v>
      </c>
      <c r="K2182" s="1" t="s">
        <v>4</v>
      </c>
      <c r="L2182" s="1" t="s">
        <v>18</v>
      </c>
      <c r="M2182" s="1">
        <f>[1]!orders[[#This Row],[Ship Date]]-[1]!orders[[#This Row],[Order Date]]</f>
        <v>10</v>
      </c>
      <c r="N2182" s="1">
        <f>WEEKNUM([1]!orders[[#This Row],[Order Date]])</f>
        <v>12</v>
      </c>
      <c r="O2182" t="str" cm="1">
        <f t="array" ref="O2182">_xlfn.IFS([1]!orders[[#This Row],[Customer Gender]]="M","Male", [1]!orders[[#This Row],[Customer Gender]]="F","Female", [1]!orders[[#This Row],[Customer Gender]]="O","Other", TRUE,"Unknown")</f>
        <v>Male</v>
      </c>
    </row>
    <row r="2183" spans="1:15" x14ac:dyDescent="0.25">
      <c r="A2183" t="s">
        <v>2269</v>
      </c>
      <c r="B2183" t="s">
        <v>29</v>
      </c>
      <c r="C2183">
        <v>1</v>
      </c>
      <c r="D2183">
        <v>30.7</v>
      </c>
      <c r="E2183">
        <v>30.7</v>
      </c>
      <c r="F2183" s="3">
        <v>45737</v>
      </c>
      <c r="G2183" s="3">
        <v>45738</v>
      </c>
      <c r="H2183" t="s">
        <v>8</v>
      </c>
      <c r="I2183" t="s">
        <v>3</v>
      </c>
      <c r="J2183">
        <v>4</v>
      </c>
      <c r="K2183" t="s">
        <v>4</v>
      </c>
      <c r="L2183" t="s">
        <v>18</v>
      </c>
      <c r="M2183">
        <f>[1]!orders[[#This Row],[Ship Date]]-[1]!orders[[#This Row],[Order Date]]</f>
        <v>1</v>
      </c>
      <c r="N2183">
        <f>WEEKNUM([1]!orders[[#This Row],[Order Date]])</f>
        <v>12</v>
      </c>
      <c r="O2183" t="str" cm="1">
        <f t="array" ref="O2183">_xlfn.IFS([1]!orders[[#This Row],[Customer Gender]]="M","Male", [1]!orders[[#This Row],[Customer Gender]]="F","Female", [1]!orders[[#This Row],[Customer Gender]]="O","Other", TRUE,"Unknown")</f>
        <v>Male</v>
      </c>
    </row>
    <row r="2184" spans="1:15" x14ac:dyDescent="0.25">
      <c r="A2184" s="1" t="s">
        <v>2270</v>
      </c>
      <c r="B2184" s="1" t="s">
        <v>120</v>
      </c>
      <c r="C2184" s="1">
        <v>13</v>
      </c>
      <c r="D2184" s="1">
        <v>51.6</v>
      </c>
      <c r="E2184" s="1">
        <v>670.80000000000007</v>
      </c>
      <c r="F2184" s="2">
        <v>45737</v>
      </c>
      <c r="G2184" s="2">
        <v>45740</v>
      </c>
      <c r="H2184" s="1" t="s">
        <v>74</v>
      </c>
      <c r="I2184" s="1" t="s">
        <v>20</v>
      </c>
      <c r="J2184" s="1">
        <v>5</v>
      </c>
      <c r="K2184" s="1" t="s">
        <v>4</v>
      </c>
      <c r="L2184" s="1" t="s">
        <v>18</v>
      </c>
      <c r="M2184" s="1">
        <f>[1]!orders[[#This Row],[Ship Date]]-[1]!orders[[#This Row],[Order Date]]</f>
        <v>3</v>
      </c>
      <c r="N2184" s="1">
        <f>WEEKNUM([1]!orders[[#This Row],[Order Date]])</f>
        <v>12</v>
      </c>
      <c r="O2184" t="str" cm="1">
        <f t="array" ref="O2184">_xlfn.IFS([1]!orders[[#This Row],[Customer Gender]]="M","Male", [1]!orders[[#This Row],[Customer Gender]]="F","Female", [1]!orders[[#This Row],[Customer Gender]]="O","Other", TRUE,"Unknown")</f>
        <v>Other</v>
      </c>
    </row>
    <row r="2185" spans="1:15" x14ac:dyDescent="0.25">
      <c r="A2185" t="s">
        <v>2271</v>
      </c>
      <c r="B2185" t="s">
        <v>29</v>
      </c>
      <c r="C2185">
        <v>3</v>
      </c>
      <c r="D2185">
        <v>20.6</v>
      </c>
      <c r="E2185">
        <v>61.800000000000004</v>
      </c>
      <c r="F2185" s="3">
        <v>45737</v>
      </c>
      <c r="G2185" s="3">
        <v>45741</v>
      </c>
      <c r="H2185" t="s">
        <v>12</v>
      </c>
      <c r="I2185" t="s">
        <v>55</v>
      </c>
      <c r="J2185">
        <v>5</v>
      </c>
      <c r="K2185" t="s">
        <v>4</v>
      </c>
      <c r="L2185" t="s">
        <v>18</v>
      </c>
      <c r="M2185">
        <f>[1]!orders[[#This Row],[Ship Date]]-[1]!orders[[#This Row],[Order Date]]</f>
        <v>4</v>
      </c>
      <c r="N2185">
        <f>WEEKNUM([1]!orders[[#This Row],[Order Date]])</f>
        <v>12</v>
      </c>
      <c r="O2185" t="str" cm="1">
        <f t="array" ref="O2185">_xlfn.IFS([1]!orders[[#This Row],[Customer Gender]]="M","Male", [1]!orders[[#This Row],[Customer Gender]]="F","Female", [1]!orders[[#This Row],[Customer Gender]]="O","Other", TRUE,"Unknown")</f>
        <v>Female</v>
      </c>
    </row>
    <row r="2186" spans="1:15" x14ac:dyDescent="0.25">
      <c r="A2186" s="1" t="s">
        <v>2272</v>
      </c>
      <c r="B2186" s="1" t="s">
        <v>29</v>
      </c>
      <c r="C2186" s="1">
        <v>1</v>
      </c>
      <c r="D2186" s="1">
        <v>24.8</v>
      </c>
      <c r="E2186" s="1">
        <v>24.8</v>
      </c>
      <c r="F2186" s="2">
        <v>45737</v>
      </c>
      <c r="G2186" s="2">
        <v>45738</v>
      </c>
      <c r="H2186" s="1" t="s">
        <v>8</v>
      </c>
      <c r="I2186" s="1" t="s">
        <v>55</v>
      </c>
      <c r="J2186" s="1">
        <v>4</v>
      </c>
      <c r="K2186" s="1" t="s">
        <v>4</v>
      </c>
      <c r="L2186" s="1" t="s">
        <v>18</v>
      </c>
      <c r="M2186" s="1">
        <f>[1]!orders[[#This Row],[Ship Date]]-[1]!orders[[#This Row],[Order Date]]</f>
        <v>1</v>
      </c>
      <c r="N2186" s="1">
        <f>WEEKNUM([1]!orders[[#This Row],[Order Date]])</f>
        <v>12</v>
      </c>
      <c r="O2186" t="str" cm="1">
        <f t="array" ref="O2186">_xlfn.IFS([1]!orders[[#This Row],[Customer Gender]]="M","Male", [1]!orders[[#This Row],[Customer Gender]]="F","Female", [1]!orders[[#This Row],[Customer Gender]]="O","Other", TRUE,"Unknown")</f>
        <v>Male</v>
      </c>
    </row>
    <row r="2187" spans="1:15" x14ac:dyDescent="0.25">
      <c r="A2187" t="s">
        <v>2273</v>
      </c>
      <c r="B2187" t="s">
        <v>1</v>
      </c>
      <c r="C2187">
        <v>7</v>
      </c>
      <c r="D2187">
        <v>11.2</v>
      </c>
      <c r="E2187">
        <v>78.399999999999991</v>
      </c>
      <c r="F2187" s="3">
        <v>45737</v>
      </c>
      <c r="G2187" s="3">
        <v>45740</v>
      </c>
      <c r="H2187" t="s">
        <v>8</v>
      </c>
      <c r="I2187" t="s">
        <v>20</v>
      </c>
      <c r="J2187">
        <v>4</v>
      </c>
      <c r="K2187" t="s">
        <v>4</v>
      </c>
      <c r="L2187" t="s">
        <v>18</v>
      </c>
      <c r="M2187">
        <f>[1]!orders[[#This Row],[Ship Date]]-[1]!orders[[#This Row],[Order Date]]</f>
        <v>3</v>
      </c>
      <c r="N2187">
        <f>WEEKNUM([1]!orders[[#This Row],[Order Date]])</f>
        <v>12</v>
      </c>
      <c r="O2187" t="str" cm="1">
        <f t="array" ref="O2187">_xlfn.IFS([1]!orders[[#This Row],[Customer Gender]]="M","Male", [1]!orders[[#This Row],[Customer Gender]]="F","Female", [1]!orders[[#This Row],[Customer Gender]]="O","Other", TRUE,"Unknown")</f>
        <v>Male</v>
      </c>
    </row>
    <row r="2188" spans="1:15" x14ac:dyDescent="0.25">
      <c r="A2188" s="1" t="s">
        <v>2274</v>
      </c>
      <c r="B2188" s="1" t="s">
        <v>52</v>
      </c>
      <c r="C2188" s="1">
        <v>2</v>
      </c>
      <c r="D2188" s="1">
        <v>51.2</v>
      </c>
      <c r="E2188" s="1">
        <v>102.4</v>
      </c>
      <c r="F2188" s="2">
        <v>45737</v>
      </c>
      <c r="G2188" s="2">
        <v>45738</v>
      </c>
      <c r="H2188" s="1" t="s">
        <v>12</v>
      </c>
      <c r="I2188" s="1" t="s">
        <v>20</v>
      </c>
      <c r="J2188" s="1">
        <v>5</v>
      </c>
      <c r="K2188" s="1" t="s">
        <v>4</v>
      </c>
      <c r="L2188" s="1" t="s">
        <v>18</v>
      </c>
      <c r="M2188" s="1">
        <f>[1]!orders[[#This Row],[Ship Date]]-[1]!orders[[#This Row],[Order Date]]</f>
        <v>1</v>
      </c>
      <c r="N2188" s="1">
        <f>WEEKNUM([1]!orders[[#This Row],[Order Date]])</f>
        <v>12</v>
      </c>
      <c r="O2188" t="str" cm="1">
        <f t="array" ref="O2188">_xlfn.IFS([1]!orders[[#This Row],[Customer Gender]]="M","Male", [1]!orders[[#This Row],[Customer Gender]]="F","Female", [1]!orders[[#This Row],[Customer Gender]]="O","Other", TRUE,"Unknown")</f>
        <v>Female</v>
      </c>
    </row>
    <row r="2189" spans="1:15" x14ac:dyDescent="0.25">
      <c r="A2189" t="s">
        <v>2275</v>
      </c>
      <c r="B2189" t="s">
        <v>27</v>
      </c>
      <c r="C2189">
        <v>6</v>
      </c>
      <c r="D2189">
        <v>90.5</v>
      </c>
      <c r="E2189">
        <v>543</v>
      </c>
      <c r="F2189" s="3">
        <v>45737</v>
      </c>
      <c r="G2189" s="3">
        <v>45738</v>
      </c>
      <c r="H2189" t="s">
        <v>12</v>
      </c>
      <c r="I2189" t="s">
        <v>20</v>
      </c>
      <c r="J2189">
        <v>2</v>
      </c>
      <c r="K2189" t="s">
        <v>4</v>
      </c>
      <c r="L2189" t="s">
        <v>18</v>
      </c>
      <c r="M2189">
        <f>[1]!orders[[#This Row],[Ship Date]]-[1]!orders[[#This Row],[Order Date]]</f>
        <v>1</v>
      </c>
      <c r="N2189">
        <f>WEEKNUM([1]!orders[[#This Row],[Order Date]])</f>
        <v>12</v>
      </c>
      <c r="O2189" t="str" cm="1">
        <f t="array" ref="O2189">_xlfn.IFS([1]!orders[[#This Row],[Customer Gender]]="M","Male", [1]!orders[[#This Row],[Customer Gender]]="F","Female", [1]!orders[[#This Row],[Customer Gender]]="O","Other", TRUE,"Unknown")</f>
        <v>Female</v>
      </c>
    </row>
    <row r="2190" spans="1:15" x14ac:dyDescent="0.25">
      <c r="A2190" s="1" t="s">
        <v>2276</v>
      </c>
      <c r="B2190" s="1" t="s">
        <v>7</v>
      </c>
      <c r="C2190" s="1">
        <v>2</v>
      </c>
      <c r="D2190" s="1">
        <v>42.4</v>
      </c>
      <c r="E2190" s="1">
        <v>84.8</v>
      </c>
      <c r="F2190" s="2">
        <v>45737</v>
      </c>
      <c r="G2190" s="2">
        <v>45738</v>
      </c>
      <c r="H2190" s="1" t="s">
        <v>8</v>
      </c>
      <c r="I2190" s="1" t="s">
        <v>20</v>
      </c>
      <c r="J2190" s="1">
        <v>5</v>
      </c>
      <c r="K2190" s="1" t="s">
        <v>4</v>
      </c>
      <c r="L2190" s="1" t="s">
        <v>34</v>
      </c>
      <c r="M2190" s="1">
        <f>[1]!orders[[#This Row],[Ship Date]]-[1]!orders[[#This Row],[Order Date]]</f>
        <v>1</v>
      </c>
      <c r="N2190" s="1">
        <f>WEEKNUM([1]!orders[[#This Row],[Order Date]])</f>
        <v>12</v>
      </c>
      <c r="O2190" t="str" cm="1">
        <f t="array" ref="O2190">_xlfn.IFS([1]!orders[[#This Row],[Customer Gender]]="M","Male", [1]!orders[[#This Row],[Customer Gender]]="F","Female", [1]!orders[[#This Row],[Customer Gender]]="O","Other", TRUE,"Unknown")</f>
        <v>Male</v>
      </c>
    </row>
    <row r="2191" spans="1:15" x14ac:dyDescent="0.25">
      <c r="A2191" t="s">
        <v>2277</v>
      </c>
      <c r="B2191" t="s">
        <v>7</v>
      </c>
      <c r="C2191">
        <v>2</v>
      </c>
      <c r="D2191">
        <v>38.200000000000003</v>
      </c>
      <c r="E2191">
        <v>76.400000000000006</v>
      </c>
      <c r="F2191" s="3">
        <v>45737</v>
      </c>
      <c r="G2191" s="3">
        <v>45738</v>
      </c>
      <c r="H2191" t="s">
        <v>8</v>
      </c>
      <c r="I2191" t="s">
        <v>3</v>
      </c>
      <c r="J2191">
        <v>4</v>
      </c>
      <c r="K2191" t="s">
        <v>4</v>
      </c>
      <c r="L2191" t="s">
        <v>37</v>
      </c>
      <c r="M2191">
        <f>[1]!orders[[#This Row],[Ship Date]]-[1]!orders[[#This Row],[Order Date]]</f>
        <v>1</v>
      </c>
      <c r="N2191">
        <f>WEEKNUM([1]!orders[[#This Row],[Order Date]])</f>
        <v>12</v>
      </c>
      <c r="O2191" t="str" cm="1">
        <f t="array" ref="O2191">_xlfn.IFS([1]!orders[[#This Row],[Customer Gender]]="M","Male", [1]!orders[[#This Row],[Customer Gender]]="F","Female", [1]!orders[[#This Row],[Customer Gender]]="O","Other", TRUE,"Unknown")</f>
        <v>Male</v>
      </c>
    </row>
    <row r="2192" spans="1:15" x14ac:dyDescent="0.25">
      <c r="A2192" s="1" t="s">
        <v>2278</v>
      </c>
      <c r="B2192" s="1" t="s">
        <v>11</v>
      </c>
      <c r="C2192" s="1">
        <v>9</v>
      </c>
      <c r="D2192" s="1">
        <v>121.3</v>
      </c>
      <c r="E2192" s="1">
        <v>1091.7</v>
      </c>
      <c r="F2192" s="2">
        <v>45737</v>
      </c>
      <c r="G2192" s="2">
        <v>45742</v>
      </c>
      <c r="H2192" s="1" t="s">
        <v>8</v>
      </c>
      <c r="I2192" s="1" t="s">
        <v>3</v>
      </c>
      <c r="J2192" s="1">
        <v>4</v>
      </c>
      <c r="K2192" s="1" t="s">
        <v>4</v>
      </c>
      <c r="L2192" s="1" t="s">
        <v>40</v>
      </c>
      <c r="M2192" s="1">
        <f>[1]!orders[[#This Row],[Ship Date]]-[1]!orders[[#This Row],[Order Date]]</f>
        <v>5</v>
      </c>
      <c r="N2192" s="1">
        <f>WEEKNUM([1]!orders[[#This Row],[Order Date]])</f>
        <v>12</v>
      </c>
      <c r="O2192" t="str" cm="1">
        <f t="array" ref="O2192">_xlfn.IFS([1]!orders[[#This Row],[Customer Gender]]="M","Male", [1]!orders[[#This Row],[Customer Gender]]="F","Female", [1]!orders[[#This Row],[Customer Gender]]="O","Other", TRUE,"Unknown")</f>
        <v>Male</v>
      </c>
    </row>
    <row r="2193" spans="1:15" x14ac:dyDescent="0.25">
      <c r="A2193" t="s">
        <v>2279</v>
      </c>
      <c r="B2193" t="s">
        <v>24</v>
      </c>
      <c r="C2193">
        <v>2</v>
      </c>
      <c r="D2193">
        <v>46.9</v>
      </c>
      <c r="E2193">
        <v>93.8</v>
      </c>
      <c r="F2193" s="3">
        <v>45737</v>
      </c>
      <c r="G2193" s="3">
        <v>45744</v>
      </c>
      <c r="H2193" t="s">
        <v>8</v>
      </c>
      <c r="I2193" t="s">
        <v>3</v>
      </c>
      <c r="J2193">
        <v>4</v>
      </c>
      <c r="K2193" t="s">
        <v>4</v>
      </c>
      <c r="L2193" t="s">
        <v>47</v>
      </c>
      <c r="M2193">
        <f>[1]!orders[[#This Row],[Ship Date]]-[1]!orders[[#This Row],[Order Date]]</f>
        <v>7</v>
      </c>
      <c r="N2193">
        <f>WEEKNUM([1]!orders[[#This Row],[Order Date]])</f>
        <v>12</v>
      </c>
      <c r="O2193" t="str" cm="1">
        <f t="array" ref="O2193">_xlfn.IFS([1]!orders[[#This Row],[Customer Gender]]="M","Male", [1]!orders[[#This Row],[Customer Gender]]="F","Female", [1]!orders[[#This Row],[Customer Gender]]="O","Other", TRUE,"Unknown")</f>
        <v>Male</v>
      </c>
    </row>
    <row r="2194" spans="1:15" x14ac:dyDescent="0.25">
      <c r="A2194" s="1" t="s">
        <v>2280</v>
      </c>
      <c r="B2194" s="1" t="s">
        <v>39</v>
      </c>
      <c r="C2194" s="1">
        <v>1</v>
      </c>
      <c r="D2194" s="1">
        <v>55.3</v>
      </c>
      <c r="E2194" s="1">
        <v>55.3</v>
      </c>
      <c r="F2194" s="2">
        <v>45737</v>
      </c>
      <c r="G2194" s="2">
        <v>45739</v>
      </c>
      <c r="H2194" s="1" t="s">
        <v>8</v>
      </c>
      <c r="I2194" s="1" t="s">
        <v>3</v>
      </c>
      <c r="J2194" s="1">
        <v>4</v>
      </c>
      <c r="K2194" s="1" t="s">
        <v>4</v>
      </c>
      <c r="L2194" s="1" t="s">
        <v>47</v>
      </c>
      <c r="M2194" s="1">
        <f>[1]!orders[[#This Row],[Ship Date]]-[1]!orders[[#This Row],[Order Date]]</f>
        <v>2</v>
      </c>
      <c r="N2194" s="1">
        <f>WEEKNUM([1]!orders[[#This Row],[Order Date]])</f>
        <v>12</v>
      </c>
      <c r="O2194" t="str" cm="1">
        <f t="array" ref="O2194">_xlfn.IFS([1]!orders[[#This Row],[Customer Gender]]="M","Male", [1]!orders[[#This Row],[Customer Gender]]="F","Female", [1]!orders[[#This Row],[Customer Gender]]="O","Other", TRUE,"Unknown")</f>
        <v>Male</v>
      </c>
    </row>
    <row r="2195" spans="1:15" x14ac:dyDescent="0.25">
      <c r="A2195" t="s">
        <v>2281</v>
      </c>
      <c r="B2195" t="s">
        <v>11</v>
      </c>
      <c r="C2195">
        <v>3</v>
      </c>
      <c r="D2195">
        <v>70.599999999999994</v>
      </c>
      <c r="E2195">
        <v>211.79999999999998</v>
      </c>
      <c r="F2195" s="3">
        <v>45738</v>
      </c>
      <c r="G2195" s="3">
        <v>45738</v>
      </c>
      <c r="H2195" t="s">
        <v>12</v>
      </c>
      <c r="I2195" t="s">
        <v>3</v>
      </c>
      <c r="J2195">
        <v>3</v>
      </c>
      <c r="K2195" t="s">
        <v>4</v>
      </c>
      <c r="L2195" t="s">
        <v>47</v>
      </c>
      <c r="M2195">
        <f>[1]!orders[[#This Row],[Ship Date]]-[1]!orders[[#This Row],[Order Date]]</f>
        <v>0</v>
      </c>
      <c r="N2195">
        <f>WEEKNUM([1]!orders[[#This Row],[Order Date]])</f>
        <v>12</v>
      </c>
      <c r="O2195" t="str" cm="1">
        <f t="array" ref="O2195">_xlfn.IFS([1]!orders[[#This Row],[Customer Gender]]="M","Male", [1]!orders[[#This Row],[Customer Gender]]="F","Female", [1]!orders[[#This Row],[Customer Gender]]="O","Other", TRUE,"Unknown")</f>
        <v>Female</v>
      </c>
    </row>
    <row r="2196" spans="1:15" x14ac:dyDescent="0.25">
      <c r="A2196" s="1" t="s">
        <v>2282</v>
      </c>
      <c r="B2196" s="1" t="s">
        <v>66</v>
      </c>
      <c r="C2196" s="1">
        <v>4</v>
      </c>
      <c r="D2196" s="1">
        <v>26.1</v>
      </c>
      <c r="E2196" s="1">
        <v>104.4</v>
      </c>
      <c r="F2196" s="2">
        <v>45738</v>
      </c>
      <c r="G2196" s="2">
        <v>45740</v>
      </c>
      <c r="H2196" s="1" t="s">
        <v>8</v>
      </c>
      <c r="I2196" s="1" t="s">
        <v>3</v>
      </c>
      <c r="J2196" s="1">
        <v>4</v>
      </c>
      <c r="K2196" s="1" t="s">
        <v>4</v>
      </c>
      <c r="L2196" s="1" t="s">
        <v>47</v>
      </c>
      <c r="M2196" s="1">
        <f>[1]!orders[[#This Row],[Ship Date]]-[1]!orders[[#This Row],[Order Date]]</f>
        <v>2</v>
      </c>
      <c r="N2196" s="1">
        <f>WEEKNUM([1]!orders[[#This Row],[Order Date]])</f>
        <v>12</v>
      </c>
      <c r="O2196" t="str" cm="1">
        <f t="array" ref="O2196">_xlfn.IFS([1]!orders[[#This Row],[Customer Gender]]="M","Male", [1]!orders[[#This Row],[Customer Gender]]="F","Female", [1]!orders[[#This Row],[Customer Gender]]="O","Other", TRUE,"Unknown")</f>
        <v>Male</v>
      </c>
    </row>
    <row r="2197" spans="1:15" x14ac:dyDescent="0.25">
      <c r="A2197" t="s">
        <v>2283</v>
      </c>
      <c r="B2197" t="s">
        <v>31</v>
      </c>
      <c r="C2197">
        <v>11</v>
      </c>
      <c r="D2197">
        <v>34.5</v>
      </c>
      <c r="E2197">
        <v>379.5</v>
      </c>
      <c r="F2197" s="3">
        <v>45738</v>
      </c>
      <c r="G2197" s="3">
        <v>45742</v>
      </c>
      <c r="H2197" t="s">
        <v>8</v>
      </c>
      <c r="I2197" t="s">
        <v>25</v>
      </c>
      <c r="J2197">
        <v>4</v>
      </c>
      <c r="K2197" t="s">
        <v>4</v>
      </c>
      <c r="L2197" t="s">
        <v>88</v>
      </c>
      <c r="M2197">
        <f>[1]!orders[[#This Row],[Ship Date]]-[1]!orders[[#This Row],[Order Date]]</f>
        <v>4</v>
      </c>
      <c r="N2197">
        <f>WEEKNUM([1]!orders[[#This Row],[Order Date]])</f>
        <v>12</v>
      </c>
      <c r="O2197" t="str" cm="1">
        <f t="array" ref="O2197">_xlfn.IFS([1]!orders[[#This Row],[Customer Gender]]="M","Male", [1]!orders[[#This Row],[Customer Gender]]="F","Female", [1]!orders[[#This Row],[Customer Gender]]="O","Other", TRUE,"Unknown")</f>
        <v>Male</v>
      </c>
    </row>
    <row r="2198" spans="1:15" x14ac:dyDescent="0.25">
      <c r="A2198" s="1" t="s">
        <v>2284</v>
      </c>
      <c r="B2198" s="1" t="s">
        <v>7</v>
      </c>
      <c r="C2198" s="1">
        <v>2</v>
      </c>
      <c r="D2198" s="1">
        <v>64.2</v>
      </c>
      <c r="E2198" s="1">
        <v>128.4</v>
      </c>
      <c r="F2198" s="2">
        <v>45738</v>
      </c>
      <c r="G2198" s="2">
        <v>45739</v>
      </c>
      <c r="H2198" s="1" t="s">
        <v>12</v>
      </c>
      <c r="I2198" s="1" t="s">
        <v>3</v>
      </c>
      <c r="J2198" s="1">
        <v>3</v>
      </c>
      <c r="K2198" s="1" t="s">
        <v>4</v>
      </c>
      <c r="L2198" s="1" t="s">
        <v>88</v>
      </c>
      <c r="M2198" s="1">
        <f>[1]!orders[[#This Row],[Ship Date]]-[1]!orders[[#This Row],[Order Date]]</f>
        <v>1</v>
      </c>
      <c r="N2198" s="1">
        <f>WEEKNUM([1]!orders[[#This Row],[Order Date]])</f>
        <v>12</v>
      </c>
      <c r="O2198" t="str" cm="1">
        <f t="array" ref="O2198">_xlfn.IFS([1]!orders[[#This Row],[Customer Gender]]="M","Male", [1]!orders[[#This Row],[Customer Gender]]="F","Female", [1]!orders[[#This Row],[Customer Gender]]="O","Other", TRUE,"Unknown")</f>
        <v>Female</v>
      </c>
    </row>
    <row r="2199" spans="1:15" x14ac:dyDescent="0.25">
      <c r="A2199" t="s">
        <v>2285</v>
      </c>
      <c r="B2199" t="s">
        <v>11</v>
      </c>
      <c r="C2199">
        <v>4</v>
      </c>
      <c r="D2199">
        <v>145.69999999999999</v>
      </c>
      <c r="E2199">
        <v>582.79999999999995</v>
      </c>
      <c r="F2199" s="3">
        <v>45738</v>
      </c>
      <c r="G2199" s="3">
        <v>45739</v>
      </c>
      <c r="H2199" t="s">
        <v>12</v>
      </c>
      <c r="I2199" t="s">
        <v>3</v>
      </c>
      <c r="J2199">
        <v>2</v>
      </c>
      <c r="K2199" t="s">
        <v>4</v>
      </c>
      <c r="L2199" t="s">
        <v>88</v>
      </c>
      <c r="M2199">
        <f>[1]!orders[[#This Row],[Ship Date]]-[1]!orders[[#This Row],[Order Date]]</f>
        <v>1</v>
      </c>
      <c r="N2199">
        <f>WEEKNUM([1]!orders[[#This Row],[Order Date]])</f>
        <v>12</v>
      </c>
      <c r="O2199" t="str" cm="1">
        <f t="array" ref="O2199">_xlfn.IFS([1]!orders[[#This Row],[Customer Gender]]="M","Male", [1]!orders[[#This Row],[Customer Gender]]="F","Female", [1]!orders[[#This Row],[Customer Gender]]="O","Other", TRUE,"Unknown")</f>
        <v>Female</v>
      </c>
    </row>
    <row r="2200" spans="1:15" x14ac:dyDescent="0.25">
      <c r="A2200" s="1" t="s">
        <v>2286</v>
      </c>
      <c r="B2200" s="1" t="s">
        <v>54</v>
      </c>
      <c r="C2200" s="1">
        <v>2</v>
      </c>
      <c r="D2200" s="1">
        <v>78.5</v>
      </c>
      <c r="E2200" s="1">
        <v>157</v>
      </c>
      <c r="F2200" s="2">
        <v>45738</v>
      </c>
      <c r="G2200" s="2">
        <v>45739</v>
      </c>
      <c r="H2200" s="1" t="s">
        <v>8</v>
      </c>
      <c r="I2200" s="1" t="s">
        <v>25</v>
      </c>
      <c r="J2200" s="1">
        <v>4</v>
      </c>
      <c r="K2200" s="1" t="s">
        <v>4</v>
      </c>
      <c r="L2200" s="1" t="s">
        <v>186</v>
      </c>
      <c r="M2200" s="1">
        <f>[1]!orders[[#This Row],[Ship Date]]-[1]!orders[[#This Row],[Order Date]]</f>
        <v>1</v>
      </c>
      <c r="N2200" s="1">
        <f>WEEKNUM([1]!orders[[#This Row],[Order Date]])</f>
        <v>12</v>
      </c>
      <c r="O2200" t="str" cm="1">
        <f t="array" ref="O2200">_xlfn.IFS([1]!orders[[#This Row],[Customer Gender]]="M","Male", [1]!orders[[#This Row],[Customer Gender]]="F","Female", [1]!orders[[#This Row],[Customer Gender]]="O","Other", TRUE,"Unknown")</f>
        <v>Male</v>
      </c>
    </row>
    <row r="2201" spans="1:15" x14ac:dyDescent="0.25">
      <c r="A2201" t="s">
        <v>2287</v>
      </c>
      <c r="B2201" t="s">
        <v>7</v>
      </c>
      <c r="C2201">
        <v>1</v>
      </c>
      <c r="D2201">
        <v>34.200000000000003</v>
      </c>
      <c r="E2201">
        <v>34.200000000000003</v>
      </c>
      <c r="F2201" s="3">
        <v>45738</v>
      </c>
      <c r="G2201" s="3">
        <v>45740</v>
      </c>
      <c r="H2201" t="s">
        <v>8</v>
      </c>
      <c r="I2201" t="s">
        <v>3</v>
      </c>
      <c r="J2201">
        <v>4</v>
      </c>
      <c r="K2201" t="s">
        <v>4</v>
      </c>
      <c r="L2201" t="s">
        <v>57</v>
      </c>
      <c r="M2201">
        <f>[1]!orders[[#This Row],[Ship Date]]-[1]!orders[[#This Row],[Order Date]]</f>
        <v>2</v>
      </c>
      <c r="N2201">
        <f>WEEKNUM([1]!orders[[#This Row],[Order Date]])</f>
        <v>12</v>
      </c>
      <c r="O2201" t="str" cm="1">
        <f t="array" ref="O2201">_xlfn.IFS([1]!orders[[#This Row],[Customer Gender]]="M","Male", [1]!orders[[#This Row],[Customer Gender]]="F","Female", [1]!orders[[#This Row],[Customer Gender]]="O","Other", TRUE,"Unknown")</f>
        <v>Male</v>
      </c>
    </row>
    <row r="2202" spans="1:15" x14ac:dyDescent="0.25">
      <c r="A2202" s="1" t="s">
        <v>2288</v>
      </c>
      <c r="B2202" s="1" t="s">
        <v>156</v>
      </c>
      <c r="C2202" s="1">
        <v>1</v>
      </c>
      <c r="D2202" s="1">
        <v>26.2</v>
      </c>
      <c r="E2202" s="1">
        <v>26.2</v>
      </c>
      <c r="F2202" s="2">
        <v>45738</v>
      </c>
      <c r="G2202" s="2">
        <v>45739</v>
      </c>
      <c r="H2202" s="1" t="s">
        <v>8</v>
      </c>
      <c r="I2202" s="1" t="s">
        <v>25</v>
      </c>
      <c r="J2202" s="1">
        <v>4</v>
      </c>
      <c r="K2202" s="1" t="s">
        <v>4</v>
      </c>
      <c r="L2202" s="1" t="s">
        <v>57</v>
      </c>
      <c r="M2202" s="1">
        <f>[1]!orders[[#This Row],[Ship Date]]-[1]!orders[[#This Row],[Order Date]]</f>
        <v>1</v>
      </c>
      <c r="N2202" s="1">
        <f>WEEKNUM([1]!orders[[#This Row],[Order Date]])</f>
        <v>12</v>
      </c>
      <c r="O2202" t="str" cm="1">
        <f t="array" ref="O2202">_xlfn.IFS([1]!orders[[#This Row],[Customer Gender]]="M","Male", [1]!orders[[#This Row],[Customer Gender]]="F","Female", [1]!orders[[#This Row],[Customer Gender]]="O","Other", TRUE,"Unknown")</f>
        <v>Male</v>
      </c>
    </row>
    <row r="2203" spans="1:15" x14ac:dyDescent="0.25">
      <c r="A2203" t="s">
        <v>2289</v>
      </c>
      <c r="B2203" t="s">
        <v>24</v>
      </c>
      <c r="C2203">
        <v>4</v>
      </c>
      <c r="D2203">
        <v>53.2</v>
      </c>
      <c r="E2203">
        <v>212.8</v>
      </c>
      <c r="F2203" s="3">
        <v>45738</v>
      </c>
      <c r="G2203" s="3">
        <v>45739</v>
      </c>
      <c r="H2203" t="s">
        <v>8</v>
      </c>
      <c r="I2203" t="s">
        <v>20</v>
      </c>
      <c r="J2203">
        <v>3</v>
      </c>
      <c r="K2203" t="s">
        <v>4</v>
      </c>
      <c r="L2203" t="s">
        <v>62</v>
      </c>
      <c r="M2203">
        <f>[1]!orders[[#This Row],[Ship Date]]-[1]!orders[[#This Row],[Order Date]]</f>
        <v>1</v>
      </c>
      <c r="N2203">
        <f>WEEKNUM([1]!orders[[#This Row],[Order Date]])</f>
        <v>12</v>
      </c>
      <c r="O2203" t="str" cm="1">
        <f t="array" ref="O2203">_xlfn.IFS([1]!orders[[#This Row],[Customer Gender]]="M","Male", [1]!orders[[#This Row],[Customer Gender]]="F","Female", [1]!orders[[#This Row],[Customer Gender]]="O","Other", TRUE,"Unknown")</f>
        <v>Male</v>
      </c>
    </row>
    <row r="2204" spans="1:15" x14ac:dyDescent="0.25">
      <c r="A2204" s="1" t="s">
        <v>2290</v>
      </c>
      <c r="B2204" s="1" t="s">
        <v>7</v>
      </c>
      <c r="C2204" s="1">
        <v>1</v>
      </c>
      <c r="D2204" s="1">
        <v>35.4</v>
      </c>
      <c r="E2204" s="1">
        <v>35.4</v>
      </c>
      <c r="F2204" s="2">
        <v>45738</v>
      </c>
      <c r="G2204" s="2">
        <v>45742</v>
      </c>
      <c r="H2204" s="1" t="s">
        <v>8</v>
      </c>
      <c r="I2204" s="1" t="s">
        <v>20</v>
      </c>
      <c r="J2204" s="1">
        <v>2</v>
      </c>
      <c r="K2204" s="1" t="s">
        <v>4</v>
      </c>
      <c r="L2204" s="1" t="s">
        <v>93</v>
      </c>
      <c r="M2204" s="1">
        <f>[1]!orders[[#This Row],[Ship Date]]-[1]!orders[[#This Row],[Order Date]]</f>
        <v>4</v>
      </c>
      <c r="N2204" s="1">
        <f>WEEKNUM([1]!orders[[#This Row],[Order Date]])</f>
        <v>12</v>
      </c>
      <c r="O2204" t="str" cm="1">
        <f t="array" ref="O2204">_xlfn.IFS([1]!orders[[#This Row],[Customer Gender]]="M","Male", [1]!orders[[#This Row],[Customer Gender]]="F","Female", [1]!orders[[#This Row],[Customer Gender]]="O","Other", TRUE,"Unknown")</f>
        <v>Male</v>
      </c>
    </row>
    <row r="2205" spans="1:15" x14ac:dyDescent="0.25">
      <c r="A2205" t="s">
        <v>2291</v>
      </c>
      <c r="B2205" t="s">
        <v>66</v>
      </c>
      <c r="C2205">
        <v>2</v>
      </c>
      <c r="D2205">
        <v>21.3</v>
      </c>
      <c r="E2205">
        <v>42.6</v>
      </c>
      <c r="F2205" s="3">
        <v>45738</v>
      </c>
      <c r="G2205" s="3">
        <v>45739</v>
      </c>
      <c r="H2205" t="s">
        <v>8</v>
      </c>
      <c r="I2205" t="s">
        <v>25</v>
      </c>
      <c r="J2205">
        <v>4</v>
      </c>
      <c r="K2205" t="s">
        <v>4</v>
      </c>
      <c r="L2205" t="s">
        <v>98</v>
      </c>
      <c r="M2205">
        <f>[1]!orders[[#This Row],[Ship Date]]-[1]!orders[[#This Row],[Order Date]]</f>
        <v>1</v>
      </c>
      <c r="N2205">
        <f>WEEKNUM([1]!orders[[#This Row],[Order Date]])</f>
        <v>12</v>
      </c>
      <c r="O2205" t="str" cm="1">
        <f t="array" ref="O2205">_xlfn.IFS([1]!orders[[#This Row],[Customer Gender]]="M","Male", [1]!orders[[#This Row],[Customer Gender]]="F","Female", [1]!orders[[#This Row],[Customer Gender]]="O","Other", TRUE,"Unknown")</f>
        <v>Male</v>
      </c>
    </row>
    <row r="2206" spans="1:15" x14ac:dyDescent="0.25">
      <c r="A2206" s="1" t="s">
        <v>2292</v>
      </c>
      <c r="B2206" s="1" t="s">
        <v>29</v>
      </c>
      <c r="C2206" s="1">
        <v>4</v>
      </c>
      <c r="D2206" s="1">
        <v>32.9</v>
      </c>
      <c r="E2206" s="1">
        <v>131.6</v>
      </c>
      <c r="F2206" s="2">
        <v>45738</v>
      </c>
      <c r="G2206" s="2">
        <v>45741</v>
      </c>
      <c r="H2206" s="1" t="s">
        <v>12</v>
      </c>
      <c r="I2206" s="1" t="s">
        <v>55</v>
      </c>
      <c r="J2206" s="1">
        <v>5</v>
      </c>
      <c r="K2206" s="1" t="s">
        <v>4</v>
      </c>
      <c r="L2206" s="1" t="s">
        <v>100</v>
      </c>
      <c r="M2206" s="1">
        <f>[1]!orders[[#This Row],[Ship Date]]-[1]!orders[[#This Row],[Order Date]]</f>
        <v>3</v>
      </c>
      <c r="N2206" s="1">
        <f>WEEKNUM([1]!orders[[#This Row],[Order Date]])</f>
        <v>12</v>
      </c>
      <c r="O2206" t="str" cm="1">
        <f t="array" ref="O2206">_xlfn.IFS([1]!orders[[#This Row],[Customer Gender]]="M","Male", [1]!orders[[#This Row],[Customer Gender]]="F","Female", [1]!orders[[#This Row],[Customer Gender]]="O","Other", TRUE,"Unknown")</f>
        <v>Female</v>
      </c>
    </row>
    <row r="2207" spans="1:15" x14ac:dyDescent="0.25">
      <c r="A2207" t="s">
        <v>2293</v>
      </c>
      <c r="B2207" t="s">
        <v>22</v>
      </c>
      <c r="C2207">
        <v>15</v>
      </c>
      <c r="D2207">
        <v>85.5</v>
      </c>
      <c r="E2207">
        <v>1282.5</v>
      </c>
      <c r="F2207" s="3">
        <v>45738</v>
      </c>
      <c r="G2207" s="3">
        <v>45740</v>
      </c>
      <c r="H2207" t="s">
        <v>12</v>
      </c>
      <c r="I2207" t="s">
        <v>36</v>
      </c>
      <c r="J2207">
        <v>3</v>
      </c>
      <c r="K2207" t="s">
        <v>4</v>
      </c>
      <c r="L2207" t="s">
        <v>100</v>
      </c>
      <c r="M2207">
        <f>[1]!orders[[#This Row],[Ship Date]]-[1]!orders[[#This Row],[Order Date]]</f>
        <v>2</v>
      </c>
      <c r="N2207">
        <f>WEEKNUM([1]!orders[[#This Row],[Order Date]])</f>
        <v>12</v>
      </c>
      <c r="O2207" t="str" cm="1">
        <f t="array" ref="O2207">_xlfn.IFS([1]!orders[[#This Row],[Customer Gender]]="M","Male", [1]!orders[[#This Row],[Customer Gender]]="F","Female", [1]!orders[[#This Row],[Customer Gender]]="O","Other", TRUE,"Unknown")</f>
        <v>Female</v>
      </c>
    </row>
    <row r="2208" spans="1:15" x14ac:dyDescent="0.25">
      <c r="A2208" s="1" t="s">
        <v>2294</v>
      </c>
      <c r="B2208" s="1" t="s">
        <v>17</v>
      </c>
      <c r="C2208" s="1">
        <v>1</v>
      </c>
      <c r="D2208" s="1">
        <v>26.8</v>
      </c>
      <c r="E2208" s="1">
        <v>26.8</v>
      </c>
      <c r="F2208" s="2">
        <v>45738</v>
      </c>
      <c r="G2208" s="2">
        <v>45739</v>
      </c>
      <c r="H2208" s="1" t="s">
        <v>12</v>
      </c>
      <c r="I2208" s="1" t="s">
        <v>3</v>
      </c>
      <c r="J2208" s="1">
        <v>3</v>
      </c>
      <c r="K2208" s="1" t="s">
        <v>4</v>
      </c>
      <c r="L2208" s="1" t="s">
        <v>13</v>
      </c>
      <c r="M2208" s="1">
        <f>[1]!orders[[#This Row],[Ship Date]]-[1]!orders[[#This Row],[Order Date]]</f>
        <v>1</v>
      </c>
      <c r="N2208" s="1">
        <f>WEEKNUM([1]!orders[[#This Row],[Order Date]])</f>
        <v>12</v>
      </c>
      <c r="O2208" t="str" cm="1">
        <f t="array" ref="O2208">_xlfn.IFS([1]!orders[[#This Row],[Customer Gender]]="M","Male", [1]!orders[[#This Row],[Customer Gender]]="F","Female", [1]!orders[[#This Row],[Customer Gender]]="O","Other", TRUE,"Unknown")</f>
        <v>Female</v>
      </c>
    </row>
    <row r="2209" spans="1:15" x14ac:dyDescent="0.25">
      <c r="A2209" t="s">
        <v>2295</v>
      </c>
      <c r="B2209" t="s">
        <v>31</v>
      </c>
      <c r="C2209">
        <v>26</v>
      </c>
      <c r="D2209">
        <v>31.7</v>
      </c>
      <c r="E2209">
        <v>824.19999999999993</v>
      </c>
      <c r="F2209" s="3">
        <v>45738</v>
      </c>
      <c r="G2209" s="3">
        <v>45738</v>
      </c>
      <c r="H2209" t="s">
        <v>12</v>
      </c>
      <c r="I2209" t="s">
        <v>36</v>
      </c>
      <c r="J2209">
        <v>4</v>
      </c>
      <c r="K2209" t="s">
        <v>4</v>
      </c>
      <c r="L2209" t="s">
        <v>13</v>
      </c>
      <c r="M2209">
        <f>[1]!orders[[#This Row],[Ship Date]]-[1]!orders[[#This Row],[Order Date]]</f>
        <v>0</v>
      </c>
      <c r="N2209">
        <f>WEEKNUM([1]!orders[[#This Row],[Order Date]])</f>
        <v>12</v>
      </c>
      <c r="O2209" t="str" cm="1">
        <f t="array" ref="O2209">_xlfn.IFS([1]!orders[[#This Row],[Customer Gender]]="M","Male", [1]!orders[[#This Row],[Customer Gender]]="F","Female", [1]!orders[[#This Row],[Customer Gender]]="O","Other", TRUE,"Unknown")</f>
        <v>Female</v>
      </c>
    </row>
    <row r="2210" spans="1:15" x14ac:dyDescent="0.25">
      <c r="A2210" s="1" t="s">
        <v>2296</v>
      </c>
      <c r="B2210" s="1" t="s">
        <v>7</v>
      </c>
      <c r="C2210" s="1">
        <v>2</v>
      </c>
      <c r="D2210" s="1">
        <v>78.3</v>
      </c>
      <c r="E2210" s="1">
        <v>156.6</v>
      </c>
      <c r="F2210" s="2">
        <v>45738</v>
      </c>
      <c r="G2210" s="2">
        <v>45740</v>
      </c>
      <c r="H2210" s="1" t="s">
        <v>12</v>
      </c>
      <c r="I2210" s="1" t="s">
        <v>20</v>
      </c>
      <c r="J2210" s="1">
        <v>3</v>
      </c>
      <c r="K2210" s="1" t="s">
        <v>4</v>
      </c>
      <c r="L2210" s="1" t="s">
        <v>18</v>
      </c>
      <c r="M2210" s="1">
        <f>[1]!orders[[#This Row],[Ship Date]]-[1]!orders[[#This Row],[Order Date]]</f>
        <v>2</v>
      </c>
      <c r="N2210" s="1">
        <f>WEEKNUM([1]!orders[[#This Row],[Order Date]])</f>
        <v>12</v>
      </c>
      <c r="O2210" t="str" cm="1">
        <f t="array" ref="O2210">_xlfn.IFS([1]!orders[[#This Row],[Customer Gender]]="M","Male", [1]!orders[[#This Row],[Customer Gender]]="F","Female", [1]!orders[[#This Row],[Customer Gender]]="O","Other", TRUE,"Unknown")</f>
        <v>Female</v>
      </c>
    </row>
    <row r="2211" spans="1:15" x14ac:dyDescent="0.25">
      <c r="A2211" t="s">
        <v>2297</v>
      </c>
      <c r="B2211" t="s">
        <v>24</v>
      </c>
      <c r="C2211">
        <v>1</v>
      </c>
      <c r="D2211">
        <v>43.9</v>
      </c>
      <c r="E2211">
        <v>43.9</v>
      </c>
      <c r="F2211" s="3">
        <v>45738</v>
      </c>
      <c r="G2211" s="3">
        <v>45739</v>
      </c>
      <c r="H2211" t="s">
        <v>8</v>
      </c>
      <c r="I2211" t="s">
        <v>3</v>
      </c>
      <c r="J2211">
        <v>4</v>
      </c>
      <c r="K2211" t="s">
        <v>4</v>
      </c>
      <c r="L2211" t="s">
        <v>18</v>
      </c>
      <c r="M2211">
        <f>[1]!orders[[#This Row],[Ship Date]]-[1]!orders[[#This Row],[Order Date]]</f>
        <v>1</v>
      </c>
      <c r="N2211">
        <f>WEEKNUM([1]!orders[[#This Row],[Order Date]])</f>
        <v>12</v>
      </c>
      <c r="O2211" t="str" cm="1">
        <f t="array" ref="O2211">_xlfn.IFS([1]!orders[[#This Row],[Customer Gender]]="M","Male", [1]!orders[[#This Row],[Customer Gender]]="F","Female", [1]!orders[[#This Row],[Customer Gender]]="O","Other", TRUE,"Unknown")</f>
        <v>Male</v>
      </c>
    </row>
    <row r="2212" spans="1:15" x14ac:dyDescent="0.25">
      <c r="A2212" s="1" t="s">
        <v>2298</v>
      </c>
      <c r="B2212" s="1" t="s">
        <v>131</v>
      </c>
      <c r="C2212" s="1">
        <v>3</v>
      </c>
      <c r="D2212" s="1">
        <v>84</v>
      </c>
      <c r="E2212" s="1">
        <v>252</v>
      </c>
      <c r="F2212" s="2">
        <v>45738</v>
      </c>
      <c r="G2212" s="2">
        <v>45740</v>
      </c>
      <c r="H2212" s="1" t="s">
        <v>2</v>
      </c>
      <c r="I2212" s="1" t="s">
        <v>36</v>
      </c>
      <c r="J2212" s="1">
        <v>5</v>
      </c>
      <c r="K2212" s="1" t="s">
        <v>4</v>
      </c>
      <c r="L2212" s="1" t="s">
        <v>18</v>
      </c>
      <c r="M2212" s="1">
        <f>[1]!orders[[#This Row],[Ship Date]]-[1]!orders[[#This Row],[Order Date]]</f>
        <v>2</v>
      </c>
      <c r="N2212" s="1">
        <f>WEEKNUM([1]!orders[[#This Row],[Order Date]])</f>
        <v>12</v>
      </c>
      <c r="O2212" t="str" cm="1">
        <f t="array" ref="O2212">_xlfn.IFS([1]!orders[[#This Row],[Customer Gender]]="M","Male", [1]!orders[[#This Row],[Customer Gender]]="F","Female", [1]!orders[[#This Row],[Customer Gender]]="O","Other", TRUE,"Unknown")</f>
        <v>Unknown</v>
      </c>
    </row>
    <row r="2213" spans="1:15" x14ac:dyDescent="0.25">
      <c r="A2213" t="s">
        <v>2299</v>
      </c>
      <c r="B2213" t="s">
        <v>1</v>
      </c>
      <c r="C2213">
        <v>3</v>
      </c>
      <c r="D2213">
        <v>11.4</v>
      </c>
      <c r="E2213">
        <v>34.200000000000003</v>
      </c>
      <c r="F2213" s="3">
        <v>45738</v>
      </c>
      <c r="G2213" s="3">
        <v>45739</v>
      </c>
      <c r="H2213" t="s">
        <v>8</v>
      </c>
      <c r="I2213" t="s">
        <v>55</v>
      </c>
      <c r="J2213">
        <v>4</v>
      </c>
      <c r="K2213" t="s">
        <v>4</v>
      </c>
      <c r="L2213" t="s">
        <v>18</v>
      </c>
      <c r="M2213">
        <f>[1]!orders[[#This Row],[Ship Date]]-[1]!orders[[#This Row],[Order Date]]</f>
        <v>1</v>
      </c>
      <c r="N2213">
        <f>WEEKNUM([1]!orders[[#This Row],[Order Date]])</f>
        <v>12</v>
      </c>
      <c r="O2213" t="str" cm="1">
        <f t="array" ref="O2213">_xlfn.IFS([1]!orders[[#This Row],[Customer Gender]]="M","Male", [1]!orders[[#This Row],[Customer Gender]]="F","Female", [1]!orders[[#This Row],[Customer Gender]]="O","Other", TRUE,"Unknown")</f>
        <v>Male</v>
      </c>
    </row>
    <row r="2214" spans="1:15" x14ac:dyDescent="0.25">
      <c r="A2214" s="1" t="s">
        <v>2300</v>
      </c>
      <c r="B2214" s="1" t="s">
        <v>54</v>
      </c>
      <c r="C2214" s="1">
        <v>8</v>
      </c>
      <c r="D2214" s="1">
        <v>47.5</v>
      </c>
      <c r="E2214" s="1">
        <v>380</v>
      </c>
      <c r="F2214" s="2">
        <v>45738</v>
      </c>
      <c r="G2214" s="2">
        <v>45746</v>
      </c>
      <c r="H2214" s="1" t="s">
        <v>12</v>
      </c>
      <c r="I2214" s="1" t="s">
        <v>3</v>
      </c>
      <c r="J2214" s="1">
        <v>4</v>
      </c>
      <c r="K2214" s="1" t="s">
        <v>4</v>
      </c>
      <c r="L2214" s="1" t="s">
        <v>18</v>
      </c>
      <c r="M2214" s="1">
        <f>[1]!orders[[#This Row],[Ship Date]]-[1]!orders[[#This Row],[Order Date]]</f>
        <v>8</v>
      </c>
      <c r="N2214" s="1">
        <f>WEEKNUM([1]!orders[[#This Row],[Order Date]])</f>
        <v>12</v>
      </c>
      <c r="O2214" t="str" cm="1">
        <f t="array" ref="O2214">_xlfn.IFS([1]!orders[[#This Row],[Customer Gender]]="M","Male", [1]!orders[[#This Row],[Customer Gender]]="F","Female", [1]!orders[[#This Row],[Customer Gender]]="O","Other", TRUE,"Unknown")</f>
        <v>Female</v>
      </c>
    </row>
    <row r="2215" spans="1:15" x14ac:dyDescent="0.25">
      <c r="A2215" t="s">
        <v>2301</v>
      </c>
      <c r="B2215" t="s">
        <v>31</v>
      </c>
      <c r="C2215">
        <v>11</v>
      </c>
      <c r="D2215">
        <v>50.5</v>
      </c>
      <c r="E2215">
        <v>555.5</v>
      </c>
      <c r="F2215" s="3">
        <v>45738</v>
      </c>
      <c r="G2215" s="3">
        <v>45740</v>
      </c>
      <c r="H2215" t="s">
        <v>8</v>
      </c>
      <c r="I2215" t="s">
        <v>25</v>
      </c>
      <c r="J2215">
        <v>4</v>
      </c>
      <c r="K2215" t="s">
        <v>4</v>
      </c>
      <c r="L2215" t="s">
        <v>18</v>
      </c>
      <c r="M2215">
        <f>[1]!orders[[#This Row],[Ship Date]]-[1]!orders[[#This Row],[Order Date]]</f>
        <v>2</v>
      </c>
      <c r="N2215">
        <f>WEEKNUM([1]!orders[[#This Row],[Order Date]])</f>
        <v>12</v>
      </c>
      <c r="O2215" t="str" cm="1">
        <f t="array" ref="O2215">_xlfn.IFS([1]!orders[[#This Row],[Customer Gender]]="M","Male", [1]!orders[[#This Row],[Customer Gender]]="F","Female", [1]!orders[[#This Row],[Customer Gender]]="O","Other", TRUE,"Unknown")</f>
        <v>Male</v>
      </c>
    </row>
    <row r="2216" spans="1:15" x14ac:dyDescent="0.25">
      <c r="A2216" s="1" t="s">
        <v>2302</v>
      </c>
      <c r="B2216" s="1" t="s">
        <v>108</v>
      </c>
      <c r="C2216" s="1">
        <v>1</v>
      </c>
      <c r="D2216" s="1">
        <v>36.299999999999997</v>
      </c>
      <c r="E2216" s="1">
        <v>36.299999999999997</v>
      </c>
      <c r="F2216" s="2">
        <v>45738</v>
      </c>
      <c r="G2216" s="2">
        <v>45741</v>
      </c>
      <c r="H2216" s="1" t="s">
        <v>74</v>
      </c>
      <c r="I2216" s="1" t="s">
        <v>3</v>
      </c>
      <c r="J2216" s="1">
        <v>3</v>
      </c>
      <c r="K2216" s="1" t="s">
        <v>4</v>
      </c>
      <c r="L2216" s="1" t="s">
        <v>47</v>
      </c>
      <c r="M2216" s="1">
        <f>[1]!orders[[#This Row],[Ship Date]]-[1]!orders[[#This Row],[Order Date]]</f>
        <v>3</v>
      </c>
      <c r="N2216" s="1">
        <f>WEEKNUM([1]!orders[[#This Row],[Order Date]])</f>
        <v>12</v>
      </c>
      <c r="O2216" t="str" cm="1">
        <f t="array" ref="O2216">_xlfn.IFS([1]!orders[[#This Row],[Customer Gender]]="M","Male", [1]!orders[[#This Row],[Customer Gender]]="F","Female", [1]!orders[[#This Row],[Customer Gender]]="O","Other", TRUE,"Unknown")</f>
        <v>Other</v>
      </c>
    </row>
    <row r="2217" spans="1:15" x14ac:dyDescent="0.25">
      <c r="A2217" t="s">
        <v>2303</v>
      </c>
      <c r="B2217" t="s">
        <v>29</v>
      </c>
      <c r="C2217">
        <v>2</v>
      </c>
      <c r="D2217">
        <v>35.4</v>
      </c>
      <c r="E2217">
        <v>70.8</v>
      </c>
      <c r="F2217" s="3">
        <v>45738</v>
      </c>
      <c r="G2217" s="3">
        <v>45739</v>
      </c>
      <c r="H2217" t="s">
        <v>12</v>
      </c>
      <c r="I2217" t="s">
        <v>3</v>
      </c>
      <c r="J2217">
        <v>4</v>
      </c>
      <c r="K2217" t="s">
        <v>4</v>
      </c>
      <c r="L2217" t="s">
        <v>88</v>
      </c>
      <c r="M2217">
        <f>[1]!orders[[#This Row],[Ship Date]]-[1]!orders[[#This Row],[Order Date]]</f>
        <v>1</v>
      </c>
      <c r="N2217">
        <f>WEEKNUM([1]!orders[[#This Row],[Order Date]])</f>
        <v>12</v>
      </c>
      <c r="O2217" t="str" cm="1">
        <f t="array" ref="O2217">_xlfn.IFS([1]!orders[[#This Row],[Customer Gender]]="M","Male", [1]!orders[[#This Row],[Customer Gender]]="F","Female", [1]!orders[[#This Row],[Customer Gender]]="O","Other", TRUE,"Unknown")</f>
        <v>Female</v>
      </c>
    </row>
    <row r="2218" spans="1:15" x14ac:dyDescent="0.25">
      <c r="A2218" s="1" t="s">
        <v>2304</v>
      </c>
      <c r="B2218" s="1" t="s">
        <v>7</v>
      </c>
      <c r="C2218" s="1">
        <v>3</v>
      </c>
      <c r="D2218" s="1">
        <v>45.9</v>
      </c>
      <c r="E2218" s="1">
        <v>137.69999999999999</v>
      </c>
      <c r="F2218" s="2">
        <v>45739</v>
      </c>
      <c r="G2218" s="2">
        <v>45740</v>
      </c>
      <c r="H2218" s="1" t="s">
        <v>8</v>
      </c>
      <c r="I2218" s="1" t="s">
        <v>36</v>
      </c>
      <c r="J2218" s="1">
        <v>4</v>
      </c>
      <c r="K2218" s="1" t="s">
        <v>4</v>
      </c>
      <c r="L2218" s="1" t="s">
        <v>57</v>
      </c>
      <c r="M2218" s="1">
        <f>[1]!orders[[#This Row],[Ship Date]]-[1]!orders[[#This Row],[Order Date]]</f>
        <v>1</v>
      </c>
      <c r="N2218" s="1">
        <f>WEEKNUM([1]!orders[[#This Row],[Order Date]])</f>
        <v>13</v>
      </c>
      <c r="O2218" t="str" cm="1">
        <f t="array" ref="O2218">_xlfn.IFS([1]!orders[[#This Row],[Customer Gender]]="M","Male", [1]!orders[[#This Row],[Customer Gender]]="F","Female", [1]!orders[[#This Row],[Customer Gender]]="O","Other", TRUE,"Unknown")</f>
        <v>Male</v>
      </c>
    </row>
    <row r="2219" spans="1:15" x14ac:dyDescent="0.25">
      <c r="A2219" t="s">
        <v>2305</v>
      </c>
      <c r="B2219" t="s">
        <v>24</v>
      </c>
      <c r="C2219">
        <v>10</v>
      </c>
      <c r="D2219">
        <v>41.2</v>
      </c>
      <c r="E2219">
        <v>412</v>
      </c>
      <c r="F2219" s="3">
        <v>45739</v>
      </c>
      <c r="G2219" s="3">
        <v>45743</v>
      </c>
      <c r="H2219" t="s">
        <v>8</v>
      </c>
      <c r="I2219" t="s">
        <v>3</v>
      </c>
      <c r="J2219">
        <v>4</v>
      </c>
      <c r="K2219" t="s">
        <v>4</v>
      </c>
      <c r="L2219" t="s">
        <v>62</v>
      </c>
      <c r="M2219">
        <f>[1]!orders[[#This Row],[Ship Date]]-[1]!orders[[#This Row],[Order Date]]</f>
        <v>4</v>
      </c>
      <c r="N2219">
        <f>WEEKNUM([1]!orders[[#This Row],[Order Date]])</f>
        <v>13</v>
      </c>
      <c r="O2219" t="str" cm="1">
        <f t="array" ref="O2219">_xlfn.IFS([1]!orders[[#This Row],[Customer Gender]]="M","Male", [1]!orders[[#This Row],[Customer Gender]]="F","Female", [1]!orders[[#This Row],[Customer Gender]]="O","Other", TRUE,"Unknown")</f>
        <v>Male</v>
      </c>
    </row>
    <row r="2220" spans="1:15" x14ac:dyDescent="0.25">
      <c r="A2220" s="1" t="s">
        <v>2306</v>
      </c>
      <c r="B2220" s="1" t="s">
        <v>120</v>
      </c>
      <c r="C2220" s="1">
        <v>2</v>
      </c>
      <c r="D2220" s="1">
        <v>45.1</v>
      </c>
      <c r="E2220" s="1">
        <v>90.2</v>
      </c>
      <c r="F2220" s="2">
        <v>45739</v>
      </c>
      <c r="G2220" s="2">
        <v>45740</v>
      </c>
      <c r="H2220" s="1" t="s">
        <v>8</v>
      </c>
      <c r="I2220" s="1" t="s">
        <v>20</v>
      </c>
      <c r="J2220" s="1">
        <v>3</v>
      </c>
      <c r="K2220" s="1" t="s">
        <v>4</v>
      </c>
      <c r="L2220" s="1" t="s">
        <v>100</v>
      </c>
      <c r="M2220" s="1">
        <f>[1]!orders[[#This Row],[Ship Date]]-[1]!orders[[#This Row],[Order Date]]</f>
        <v>1</v>
      </c>
      <c r="N2220" s="1">
        <f>WEEKNUM([1]!orders[[#This Row],[Order Date]])</f>
        <v>13</v>
      </c>
      <c r="O2220" t="str" cm="1">
        <f t="array" ref="O2220">_xlfn.IFS([1]!orders[[#This Row],[Customer Gender]]="M","Male", [1]!orders[[#This Row],[Customer Gender]]="F","Female", [1]!orders[[#This Row],[Customer Gender]]="O","Other", TRUE,"Unknown")</f>
        <v>Male</v>
      </c>
    </row>
    <row r="2221" spans="1:15" x14ac:dyDescent="0.25">
      <c r="A2221" t="s">
        <v>2307</v>
      </c>
      <c r="B2221" t="s">
        <v>24</v>
      </c>
      <c r="C2221">
        <v>10</v>
      </c>
      <c r="D2221">
        <v>63.6</v>
      </c>
      <c r="E2221">
        <v>636</v>
      </c>
      <c r="F2221" s="3">
        <v>45739</v>
      </c>
      <c r="G2221" s="3">
        <v>45739</v>
      </c>
      <c r="H2221" t="s">
        <v>8</v>
      </c>
      <c r="I2221" t="s">
        <v>25</v>
      </c>
      <c r="J2221">
        <v>4</v>
      </c>
      <c r="K2221" t="s">
        <v>4</v>
      </c>
      <c r="L2221" t="s">
        <v>9</v>
      </c>
      <c r="M2221">
        <f>[1]!orders[[#This Row],[Ship Date]]-[1]!orders[[#This Row],[Order Date]]</f>
        <v>0</v>
      </c>
      <c r="N2221">
        <f>WEEKNUM([1]!orders[[#This Row],[Order Date]])</f>
        <v>13</v>
      </c>
      <c r="O2221" t="str" cm="1">
        <f t="array" ref="O2221">_xlfn.IFS([1]!orders[[#This Row],[Customer Gender]]="M","Male", [1]!orders[[#This Row],[Customer Gender]]="F","Female", [1]!orders[[#This Row],[Customer Gender]]="O","Other", TRUE,"Unknown")</f>
        <v>Male</v>
      </c>
    </row>
    <row r="2222" spans="1:15" x14ac:dyDescent="0.25">
      <c r="A2222" s="1" t="s">
        <v>2308</v>
      </c>
      <c r="B2222" s="1" t="s">
        <v>29</v>
      </c>
      <c r="C2222" s="1">
        <v>1</v>
      </c>
      <c r="D2222" s="1">
        <v>70.5</v>
      </c>
      <c r="E2222" s="1">
        <v>70.5</v>
      </c>
      <c r="F2222" s="2">
        <v>45739</v>
      </c>
      <c r="G2222" s="2">
        <v>45740</v>
      </c>
      <c r="H2222" s="1" t="s">
        <v>8</v>
      </c>
      <c r="I2222" s="1" t="s">
        <v>3</v>
      </c>
      <c r="J2222" s="1">
        <v>4</v>
      </c>
      <c r="K2222" s="1" t="s">
        <v>4</v>
      </c>
      <c r="L2222" s="1" t="s">
        <v>18</v>
      </c>
      <c r="M2222" s="1">
        <f>[1]!orders[[#This Row],[Ship Date]]-[1]!orders[[#This Row],[Order Date]]</f>
        <v>1</v>
      </c>
      <c r="N2222" s="1">
        <f>WEEKNUM([1]!orders[[#This Row],[Order Date]])</f>
        <v>13</v>
      </c>
      <c r="O2222" t="str" cm="1">
        <f t="array" ref="O2222">_xlfn.IFS([1]!orders[[#This Row],[Customer Gender]]="M","Male", [1]!orders[[#This Row],[Customer Gender]]="F","Female", [1]!orders[[#This Row],[Customer Gender]]="O","Other", TRUE,"Unknown")</f>
        <v>Male</v>
      </c>
    </row>
    <row r="2223" spans="1:15" x14ac:dyDescent="0.25">
      <c r="A2223" t="s">
        <v>2309</v>
      </c>
      <c r="B2223" t="s">
        <v>24</v>
      </c>
      <c r="C2223">
        <v>1</v>
      </c>
      <c r="D2223">
        <v>41.3</v>
      </c>
      <c r="E2223">
        <v>41.3</v>
      </c>
      <c r="F2223" s="3">
        <v>45739</v>
      </c>
      <c r="G2223" s="3">
        <v>45739</v>
      </c>
      <c r="H2223" t="s">
        <v>8</v>
      </c>
      <c r="I2223" t="s">
        <v>55</v>
      </c>
      <c r="J2223">
        <v>4</v>
      </c>
      <c r="K2223" t="s">
        <v>4</v>
      </c>
      <c r="L2223" t="s">
        <v>18</v>
      </c>
      <c r="M2223">
        <f>[1]!orders[[#This Row],[Ship Date]]-[1]!orders[[#This Row],[Order Date]]</f>
        <v>0</v>
      </c>
      <c r="N2223">
        <f>WEEKNUM([1]!orders[[#This Row],[Order Date]])</f>
        <v>13</v>
      </c>
      <c r="O2223" t="str" cm="1">
        <f t="array" ref="O2223">_xlfn.IFS([1]!orders[[#This Row],[Customer Gender]]="M","Male", [1]!orders[[#This Row],[Customer Gender]]="F","Female", [1]!orders[[#This Row],[Customer Gender]]="O","Other", TRUE,"Unknown")</f>
        <v>Male</v>
      </c>
    </row>
    <row r="2224" spans="1:15" x14ac:dyDescent="0.25">
      <c r="A2224" s="1" t="s">
        <v>2310</v>
      </c>
      <c r="B2224" s="1" t="s">
        <v>17</v>
      </c>
      <c r="C2224" s="1">
        <v>1</v>
      </c>
      <c r="D2224" s="1">
        <v>35.299999999999997</v>
      </c>
      <c r="E2224" s="1">
        <v>35.299999999999997</v>
      </c>
      <c r="F2224" s="2">
        <v>45739</v>
      </c>
      <c r="G2224" s="2">
        <v>45742</v>
      </c>
      <c r="H2224" s="1" t="s">
        <v>12</v>
      </c>
      <c r="I2224" s="1" t="s">
        <v>55</v>
      </c>
      <c r="J2224" s="1">
        <v>5</v>
      </c>
      <c r="K2224" s="1" t="s">
        <v>4</v>
      </c>
      <c r="L2224" s="1" t="s">
        <v>18</v>
      </c>
      <c r="M2224" s="1">
        <f>[1]!orders[[#This Row],[Ship Date]]-[1]!orders[[#This Row],[Order Date]]</f>
        <v>3</v>
      </c>
      <c r="N2224" s="1">
        <f>WEEKNUM([1]!orders[[#This Row],[Order Date]])</f>
        <v>13</v>
      </c>
      <c r="O2224" t="str" cm="1">
        <f t="array" ref="O2224">_xlfn.IFS([1]!orders[[#This Row],[Customer Gender]]="M","Male", [1]!orders[[#This Row],[Customer Gender]]="F","Female", [1]!orders[[#This Row],[Customer Gender]]="O","Other", TRUE,"Unknown")</f>
        <v>Female</v>
      </c>
    </row>
    <row r="2225" spans="1:15" x14ac:dyDescent="0.25">
      <c r="A2225" t="s">
        <v>2311</v>
      </c>
      <c r="B2225" t="s">
        <v>29</v>
      </c>
      <c r="C2225">
        <v>5</v>
      </c>
      <c r="D2225">
        <v>34.700000000000003</v>
      </c>
      <c r="E2225">
        <v>173.5</v>
      </c>
      <c r="F2225" s="3">
        <v>45739</v>
      </c>
      <c r="G2225" s="3">
        <v>45740</v>
      </c>
      <c r="H2225" t="s">
        <v>12</v>
      </c>
      <c r="I2225" t="s">
        <v>3</v>
      </c>
      <c r="J2225">
        <v>5</v>
      </c>
      <c r="K2225" t="s">
        <v>4</v>
      </c>
      <c r="L2225" t="s">
        <v>18</v>
      </c>
      <c r="M2225">
        <f>[1]!orders[[#This Row],[Ship Date]]-[1]!orders[[#This Row],[Order Date]]</f>
        <v>1</v>
      </c>
      <c r="N2225">
        <f>WEEKNUM([1]!orders[[#This Row],[Order Date]])</f>
        <v>13</v>
      </c>
      <c r="O2225" t="str" cm="1">
        <f t="array" ref="O2225">_xlfn.IFS([1]!orders[[#This Row],[Customer Gender]]="M","Male", [1]!orders[[#This Row],[Customer Gender]]="F","Female", [1]!orders[[#This Row],[Customer Gender]]="O","Other", TRUE,"Unknown")</f>
        <v>Female</v>
      </c>
    </row>
    <row r="2226" spans="1:15" x14ac:dyDescent="0.25">
      <c r="A2226" s="1" t="s">
        <v>2312</v>
      </c>
      <c r="B2226" s="1" t="s">
        <v>29</v>
      </c>
      <c r="C2226" s="1">
        <v>3</v>
      </c>
      <c r="D2226" s="1">
        <v>26.1</v>
      </c>
      <c r="E2226" s="1">
        <v>78.300000000000011</v>
      </c>
      <c r="F2226" s="2">
        <v>45739</v>
      </c>
      <c r="G2226" s="2">
        <v>45740</v>
      </c>
      <c r="H2226" s="1" t="s">
        <v>12</v>
      </c>
      <c r="I2226" s="1" t="s">
        <v>3</v>
      </c>
      <c r="J2226" s="1">
        <v>4</v>
      </c>
      <c r="K2226" s="1" t="s">
        <v>4</v>
      </c>
      <c r="L2226" s="1" t="s">
        <v>18</v>
      </c>
      <c r="M2226" s="1">
        <f>[1]!orders[[#This Row],[Ship Date]]-[1]!orders[[#This Row],[Order Date]]</f>
        <v>1</v>
      </c>
      <c r="N2226" s="1">
        <f>WEEKNUM([1]!orders[[#This Row],[Order Date]])</f>
        <v>13</v>
      </c>
      <c r="O2226" t="str" cm="1">
        <f t="array" ref="O2226">_xlfn.IFS([1]!orders[[#This Row],[Customer Gender]]="M","Male", [1]!orders[[#This Row],[Customer Gender]]="F","Female", [1]!orders[[#This Row],[Customer Gender]]="O","Other", TRUE,"Unknown")</f>
        <v>Female</v>
      </c>
    </row>
    <row r="2227" spans="1:15" x14ac:dyDescent="0.25">
      <c r="A2227" t="s">
        <v>2313</v>
      </c>
      <c r="B2227" t="s">
        <v>31</v>
      </c>
      <c r="C2227">
        <v>5</v>
      </c>
      <c r="D2227">
        <v>22.6</v>
      </c>
      <c r="E2227">
        <v>113</v>
      </c>
      <c r="F2227" s="3">
        <v>45739</v>
      </c>
      <c r="G2227" s="3">
        <v>45739</v>
      </c>
      <c r="H2227" t="s">
        <v>12</v>
      </c>
      <c r="I2227" t="s">
        <v>20</v>
      </c>
      <c r="J2227">
        <v>5</v>
      </c>
      <c r="K2227" t="s">
        <v>4</v>
      </c>
      <c r="L2227" t="s">
        <v>18</v>
      </c>
      <c r="M2227">
        <f>[1]!orders[[#This Row],[Ship Date]]-[1]!orders[[#This Row],[Order Date]]</f>
        <v>0</v>
      </c>
      <c r="N2227">
        <f>WEEKNUM([1]!orders[[#This Row],[Order Date]])</f>
        <v>13</v>
      </c>
      <c r="O2227" t="str" cm="1">
        <f t="array" ref="O2227">_xlfn.IFS([1]!orders[[#This Row],[Customer Gender]]="M","Male", [1]!orders[[#This Row],[Customer Gender]]="F","Female", [1]!orders[[#This Row],[Customer Gender]]="O","Other", TRUE,"Unknown")</f>
        <v>Female</v>
      </c>
    </row>
    <row r="2228" spans="1:15" x14ac:dyDescent="0.25">
      <c r="A2228" s="1" t="s">
        <v>2314</v>
      </c>
      <c r="B2228" s="1" t="s">
        <v>11</v>
      </c>
      <c r="C2228" s="1">
        <v>2</v>
      </c>
      <c r="D2228" s="1">
        <v>154.4</v>
      </c>
      <c r="E2228" s="1">
        <v>308.8</v>
      </c>
      <c r="F2228" s="2">
        <v>45739</v>
      </c>
      <c r="G2228" s="2">
        <v>45742</v>
      </c>
      <c r="H2228" s="1" t="s">
        <v>8</v>
      </c>
      <c r="I2228" s="1" t="s">
        <v>20</v>
      </c>
      <c r="J2228" s="1">
        <v>3</v>
      </c>
      <c r="K2228" s="1" t="s">
        <v>4</v>
      </c>
      <c r="L2228" s="1" t="s">
        <v>18</v>
      </c>
      <c r="M2228" s="1">
        <f>[1]!orders[[#This Row],[Ship Date]]-[1]!orders[[#This Row],[Order Date]]</f>
        <v>3</v>
      </c>
      <c r="N2228" s="1">
        <f>WEEKNUM([1]!orders[[#This Row],[Order Date]])</f>
        <v>13</v>
      </c>
      <c r="O2228" t="str" cm="1">
        <f t="array" ref="O2228">_xlfn.IFS([1]!orders[[#This Row],[Customer Gender]]="M","Male", [1]!orders[[#This Row],[Customer Gender]]="F","Female", [1]!orders[[#This Row],[Customer Gender]]="O","Other", TRUE,"Unknown")</f>
        <v>Male</v>
      </c>
    </row>
    <row r="2229" spans="1:15" x14ac:dyDescent="0.25">
      <c r="A2229" t="s">
        <v>2315</v>
      </c>
      <c r="B2229" t="s">
        <v>29</v>
      </c>
      <c r="C2229">
        <v>2</v>
      </c>
      <c r="D2229">
        <v>18.399999999999999</v>
      </c>
      <c r="E2229">
        <v>36.799999999999997</v>
      </c>
      <c r="F2229" s="3">
        <v>45739</v>
      </c>
      <c r="G2229" s="3">
        <v>45740</v>
      </c>
      <c r="H2229" t="s">
        <v>8</v>
      </c>
      <c r="I2229" t="s">
        <v>3</v>
      </c>
      <c r="J2229">
        <v>4</v>
      </c>
      <c r="K2229" t="s">
        <v>4</v>
      </c>
      <c r="L2229" t="s">
        <v>18</v>
      </c>
      <c r="M2229">
        <f>[1]!orders[[#This Row],[Ship Date]]-[1]!orders[[#This Row],[Order Date]]</f>
        <v>1</v>
      </c>
      <c r="N2229">
        <f>WEEKNUM([1]!orders[[#This Row],[Order Date]])</f>
        <v>13</v>
      </c>
      <c r="O2229" t="str" cm="1">
        <f t="array" ref="O2229">_xlfn.IFS([1]!orders[[#This Row],[Customer Gender]]="M","Male", [1]!orders[[#This Row],[Customer Gender]]="F","Female", [1]!orders[[#This Row],[Customer Gender]]="O","Other", TRUE,"Unknown")</f>
        <v>Male</v>
      </c>
    </row>
    <row r="2230" spans="1:15" x14ac:dyDescent="0.25">
      <c r="A2230" s="1" t="s">
        <v>2316</v>
      </c>
      <c r="B2230" s="1" t="s">
        <v>66</v>
      </c>
      <c r="C2230" s="1">
        <v>1</v>
      </c>
      <c r="D2230" s="1">
        <v>25</v>
      </c>
      <c r="E2230" s="1">
        <v>25</v>
      </c>
      <c r="F2230" s="2">
        <v>45739</v>
      </c>
      <c r="G2230" s="2">
        <v>45742</v>
      </c>
      <c r="H2230" s="1" t="s">
        <v>12</v>
      </c>
      <c r="I2230" s="1" t="s">
        <v>3</v>
      </c>
      <c r="J2230" s="1">
        <v>4</v>
      </c>
      <c r="K2230" s="1" t="s">
        <v>4</v>
      </c>
      <c r="L2230" s="1" t="s">
        <v>18</v>
      </c>
      <c r="M2230" s="1">
        <f>[1]!orders[[#This Row],[Ship Date]]-[1]!orders[[#This Row],[Order Date]]</f>
        <v>3</v>
      </c>
      <c r="N2230" s="1">
        <f>WEEKNUM([1]!orders[[#This Row],[Order Date]])</f>
        <v>13</v>
      </c>
      <c r="O2230" t="str" cm="1">
        <f t="array" ref="O2230">_xlfn.IFS([1]!orders[[#This Row],[Customer Gender]]="M","Male", [1]!orders[[#This Row],[Customer Gender]]="F","Female", [1]!orders[[#This Row],[Customer Gender]]="O","Other", TRUE,"Unknown")</f>
        <v>Female</v>
      </c>
    </row>
    <row r="2231" spans="1:15" x14ac:dyDescent="0.25">
      <c r="A2231" t="s">
        <v>2317</v>
      </c>
      <c r="B2231" t="s">
        <v>11</v>
      </c>
      <c r="C2231">
        <v>6</v>
      </c>
      <c r="D2231">
        <v>105.6</v>
      </c>
      <c r="E2231">
        <v>633.59999999999991</v>
      </c>
      <c r="F2231" s="3">
        <v>45739</v>
      </c>
      <c r="G2231" s="3">
        <v>45739</v>
      </c>
      <c r="H2231" t="s">
        <v>12</v>
      </c>
      <c r="I2231" t="s">
        <v>3</v>
      </c>
      <c r="J2231">
        <v>4</v>
      </c>
      <c r="K2231" t="s">
        <v>4</v>
      </c>
      <c r="L2231" t="s">
        <v>18</v>
      </c>
      <c r="M2231">
        <f>[1]!orders[[#This Row],[Ship Date]]-[1]!orders[[#This Row],[Order Date]]</f>
        <v>0</v>
      </c>
      <c r="N2231">
        <f>WEEKNUM([1]!orders[[#This Row],[Order Date]])</f>
        <v>13</v>
      </c>
      <c r="O2231" t="str" cm="1">
        <f t="array" ref="O2231">_xlfn.IFS([1]!orders[[#This Row],[Customer Gender]]="M","Male", [1]!orders[[#This Row],[Customer Gender]]="F","Female", [1]!orders[[#This Row],[Customer Gender]]="O","Other", TRUE,"Unknown")</f>
        <v>Female</v>
      </c>
    </row>
    <row r="2232" spans="1:15" x14ac:dyDescent="0.25">
      <c r="A2232" s="1" t="s">
        <v>2318</v>
      </c>
      <c r="B2232" s="1" t="s">
        <v>131</v>
      </c>
      <c r="C2232" s="1">
        <v>8</v>
      </c>
      <c r="D2232" s="1">
        <v>59.6</v>
      </c>
      <c r="E2232" s="1">
        <v>476.8</v>
      </c>
      <c r="F2232" s="2">
        <v>45739</v>
      </c>
      <c r="G2232" s="2">
        <v>45739</v>
      </c>
      <c r="H2232" s="1" t="s">
        <v>12</v>
      </c>
      <c r="I2232" s="1" t="s">
        <v>3</v>
      </c>
      <c r="J2232" s="1">
        <v>5</v>
      </c>
      <c r="K2232" s="1" t="s">
        <v>4</v>
      </c>
      <c r="L2232" s="1" t="s">
        <v>143</v>
      </c>
      <c r="M2232" s="1">
        <f>[1]!orders[[#This Row],[Ship Date]]-[1]!orders[[#This Row],[Order Date]]</f>
        <v>0</v>
      </c>
      <c r="N2232" s="1">
        <f>WEEKNUM([1]!orders[[#This Row],[Order Date]])</f>
        <v>13</v>
      </c>
      <c r="O2232" t="str" cm="1">
        <f t="array" ref="O2232">_xlfn.IFS([1]!orders[[#This Row],[Customer Gender]]="M","Male", [1]!orders[[#This Row],[Customer Gender]]="F","Female", [1]!orders[[#This Row],[Customer Gender]]="O","Other", TRUE,"Unknown")</f>
        <v>Female</v>
      </c>
    </row>
    <row r="2233" spans="1:15" x14ac:dyDescent="0.25">
      <c r="A2233" t="s">
        <v>2319</v>
      </c>
      <c r="B2233" t="s">
        <v>108</v>
      </c>
      <c r="C2233">
        <v>3</v>
      </c>
      <c r="D2233">
        <v>75.400000000000006</v>
      </c>
      <c r="E2233">
        <v>226.20000000000002</v>
      </c>
      <c r="F2233" s="3">
        <v>45739</v>
      </c>
      <c r="G2233" s="3">
        <v>45744</v>
      </c>
      <c r="H2233" t="s">
        <v>8</v>
      </c>
      <c r="I2233" t="s">
        <v>3</v>
      </c>
      <c r="J2233">
        <v>3</v>
      </c>
      <c r="K2233" t="s">
        <v>4</v>
      </c>
      <c r="L2233" t="s">
        <v>44</v>
      </c>
      <c r="M2233">
        <f>[1]!orders[[#This Row],[Ship Date]]-[1]!orders[[#This Row],[Order Date]]</f>
        <v>5</v>
      </c>
      <c r="N2233">
        <f>WEEKNUM([1]!orders[[#This Row],[Order Date]])</f>
        <v>13</v>
      </c>
      <c r="O2233" t="str" cm="1">
        <f t="array" ref="O2233">_xlfn.IFS([1]!orders[[#This Row],[Customer Gender]]="M","Male", [1]!orders[[#This Row],[Customer Gender]]="F","Female", [1]!orders[[#This Row],[Customer Gender]]="O","Other", TRUE,"Unknown")</f>
        <v>Male</v>
      </c>
    </row>
    <row r="2234" spans="1:15" x14ac:dyDescent="0.25">
      <c r="A2234" s="1" t="s">
        <v>2320</v>
      </c>
      <c r="B2234" s="1" t="s">
        <v>27</v>
      </c>
      <c r="C2234" s="1">
        <v>1</v>
      </c>
      <c r="D2234" s="1">
        <v>104.4</v>
      </c>
      <c r="E2234" s="1">
        <v>104.4</v>
      </c>
      <c r="F2234" s="2">
        <v>45739</v>
      </c>
      <c r="G2234" s="2">
        <v>45740</v>
      </c>
      <c r="H2234" s="1" t="s">
        <v>12</v>
      </c>
      <c r="I2234" s="1" t="s">
        <v>3</v>
      </c>
      <c r="J2234" s="1">
        <v>4</v>
      </c>
      <c r="K2234" s="1" t="s">
        <v>4</v>
      </c>
      <c r="L2234" s="1" t="s">
        <v>47</v>
      </c>
      <c r="M2234" s="1">
        <f>[1]!orders[[#This Row],[Ship Date]]-[1]!orders[[#This Row],[Order Date]]</f>
        <v>1</v>
      </c>
      <c r="N2234" s="1">
        <f>WEEKNUM([1]!orders[[#This Row],[Order Date]])</f>
        <v>13</v>
      </c>
      <c r="O2234" t="str" cm="1">
        <f t="array" ref="O2234">_xlfn.IFS([1]!orders[[#This Row],[Customer Gender]]="M","Male", [1]!orders[[#This Row],[Customer Gender]]="F","Female", [1]!orders[[#This Row],[Customer Gender]]="O","Other", TRUE,"Unknown")</f>
        <v>Female</v>
      </c>
    </row>
    <row r="2235" spans="1:15" x14ac:dyDescent="0.25">
      <c r="A2235" t="s">
        <v>2321</v>
      </c>
      <c r="B2235" t="s">
        <v>11</v>
      </c>
      <c r="C2235">
        <v>10</v>
      </c>
      <c r="D2235">
        <v>208.2</v>
      </c>
      <c r="E2235">
        <v>2082</v>
      </c>
      <c r="F2235" s="3">
        <v>45739</v>
      </c>
      <c r="G2235" s="3">
        <v>45740</v>
      </c>
      <c r="H2235" t="s">
        <v>8</v>
      </c>
      <c r="I2235" t="s">
        <v>3</v>
      </c>
      <c r="J2235">
        <v>5</v>
      </c>
      <c r="K2235" t="s">
        <v>4</v>
      </c>
      <c r="L2235" t="s">
        <v>47</v>
      </c>
      <c r="M2235">
        <f>[1]!orders[[#This Row],[Ship Date]]-[1]!orders[[#This Row],[Order Date]]</f>
        <v>1</v>
      </c>
      <c r="N2235">
        <f>WEEKNUM([1]!orders[[#This Row],[Order Date]])</f>
        <v>13</v>
      </c>
      <c r="O2235" t="str" cm="1">
        <f t="array" ref="O2235">_xlfn.IFS([1]!orders[[#This Row],[Customer Gender]]="M","Male", [1]!orders[[#This Row],[Customer Gender]]="F","Female", [1]!orders[[#This Row],[Customer Gender]]="O","Other", TRUE,"Unknown")</f>
        <v>Male</v>
      </c>
    </row>
    <row r="2236" spans="1:15" x14ac:dyDescent="0.25">
      <c r="A2236" s="1" t="s">
        <v>2322</v>
      </c>
      <c r="B2236" s="1" t="s">
        <v>24</v>
      </c>
      <c r="C2236" s="1">
        <v>2</v>
      </c>
      <c r="D2236" s="1">
        <v>45</v>
      </c>
      <c r="E2236" s="1">
        <v>90</v>
      </c>
      <c r="F2236" s="2">
        <v>45739</v>
      </c>
      <c r="G2236" s="2">
        <v>45742</v>
      </c>
      <c r="H2236" s="1" t="s">
        <v>12</v>
      </c>
      <c r="I2236" s="1" t="s">
        <v>3</v>
      </c>
      <c r="J2236" s="1">
        <v>4</v>
      </c>
      <c r="K2236" s="1" t="s">
        <v>4</v>
      </c>
      <c r="L2236" s="1" t="s">
        <v>59</v>
      </c>
      <c r="M2236" s="1">
        <f>[1]!orders[[#This Row],[Ship Date]]-[1]!orders[[#This Row],[Order Date]]</f>
        <v>3</v>
      </c>
      <c r="N2236" s="1">
        <f>WEEKNUM([1]!orders[[#This Row],[Order Date]])</f>
        <v>13</v>
      </c>
      <c r="O2236" t="str" cm="1">
        <f t="array" ref="O2236">_xlfn.IFS([1]!orders[[#This Row],[Customer Gender]]="M","Male", [1]!orders[[#This Row],[Customer Gender]]="F","Female", [1]!orders[[#This Row],[Customer Gender]]="O","Other", TRUE,"Unknown")</f>
        <v>Female</v>
      </c>
    </row>
    <row r="2237" spans="1:15" x14ac:dyDescent="0.25">
      <c r="A2237" t="s">
        <v>2323</v>
      </c>
      <c r="B2237" t="s">
        <v>108</v>
      </c>
      <c r="C2237">
        <v>2</v>
      </c>
      <c r="D2237">
        <v>20.3</v>
      </c>
      <c r="E2237">
        <v>40.6</v>
      </c>
      <c r="F2237" s="3">
        <v>45740</v>
      </c>
      <c r="G2237" s="3">
        <v>45742</v>
      </c>
      <c r="H2237" t="s">
        <v>2</v>
      </c>
      <c r="I2237" t="s">
        <v>20</v>
      </c>
      <c r="J2237">
        <v>4</v>
      </c>
      <c r="K2237" t="s">
        <v>4</v>
      </c>
      <c r="L2237" t="s">
        <v>62</v>
      </c>
      <c r="M2237">
        <f>[1]!orders[[#This Row],[Ship Date]]-[1]!orders[[#This Row],[Order Date]]</f>
        <v>2</v>
      </c>
      <c r="N2237">
        <f>WEEKNUM([1]!orders[[#This Row],[Order Date]])</f>
        <v>13</v>
      </c>
      <c r="O2237" t="str" cm="1">
        <f t="array" ref="O2237">_xlfn.IFS([1]!orders[[#This Row],[Customer Gender]]="M","Male", [1]!orders[[#This Row],[Customer Gender]]="F","Female", [1]!orders[[#This Row],[Customer Gender]]="O","Other", TRUE,"Unknown")</f>
        <v>Unknown</v>
      </c>
    </row>
    <row r="2238" spans="1:15" x14ac:dyDescent="0.25">
      <c r="A2238" s="1" t="s">
        <v>2324</v>
      </c>
      <c r="B2238" s="1" t="s">
        <v>11</v>
      </c>
      <c r="C2238" s="1">
        <v>3</v>
      </c>
      <c r="D2238" s="1">
        <v>94.4</v>
      </c>
      <c r="E2238" s="1">
        <v>283.20000000000005</v>
      </c>
      <c r="F2238" s="2">
        <v>45740</v>
      </c>
      <c r="G2238" s="2">
        <v>45741</v>
      </c>
      <c r="H2238" s="1" t="s">
        <v>12</v>
      </c>
      <c r="I2238" s="1" t="s">
        <v>3</v>
      </c>
      <c r="J2238" s="1">
        <v>5</v>
      </c>
      <c r="K2238" s="1" t="s">
        <v>4</v>
      </c>
      <c r="L2238" s="1" t="s">
        <v>62</v>
      </c>
      <c r="M2238" s="1">
        <f>[1]!orders[[#This Row],[Ship Date]]-[1]!orders[[#This Row],[Order Date]]</f>
        <v>1</v>
      </c>
      <c r="N2238" s="1">
        <f>WEEKNUM([1]!orders[[#This Row],[Order Date]])</f>
        <v>13</v>
      </c>
      <c r="O2238" t="str" cm="1">
        <f t="array" ref="O2238">_xlfn.IFS([1]!orders[[#This Row],[Customer Gender]]="M","Male", [1]!orders[[#This Row],[Customer Gender]]="F","Female", [1]!orders[[#This Row],[Customer Gender]]="O","Other", TRUE,"Unknown")</f>
        <v>Female</v>
      </c>
    </row>
    <row r="2239" spans="1:15" x14ac:dyDescent="0.25">
      <c r="A2239" t="s">
        <v>2325</v>
      </c>
      <c r="B2239" t="s">
        <v>31</v>
      </c>
      <c r="C2239">
        <v>1</v>
      </c>
      <c r="D2239">
        <v>49</v>
      </c>
      <c r="E2239">
        <v>49</v>
      </c>
      <c r="F2239" s="3">
        <v>45740</v>
      </c>
      <c r="G2239" s="3">
        <v>45742</v>
      </c>
      <c r="H2239" t="s">
        <v>12</v>
      </c>
      <c r="I2239" t="s">
        <v>3</v>
      </c>
      <c r="J2239">
        <v>5</v>
      </c>
      <c r="K2239" t="s">
        <v>4</v>
      </c>
      <c r="L2239" t="s">
        <v>98</v>
      </c>
      <c r="M2239">
        <f>[1]!orders[[#This Row],[Ship Date]]-[1]!orders[[#This Row],[Order Date]]</f>
        <v>2</v>
      </c>
      <c r="N2239">
        <f>WEEKNUM([1]!orders[[#This Row],[Order Date]])</f>
        <v>13</v>
      </c>
      <c r="O2239" t="str" cm="1">
        <f t="array" ref="O2239">_xlfn.IFS([1]!orders[[#This Row],[Customer Gender]]="M","Male", [1]!orders[[#This Row],[Customer Gender]]="F","Female", [1]!orders[[#This Row],[Customer Gender]]="O","Other", TRUE,"Unknown")</f>
        <v>Female</v>
      </c>
    </row>
    <row r="2240" spans="1:15" x14ac:dyDescent="0.25">
      <c r="A2240" s="1" t="s">
        <v>2326</v>
      </c>
      <c r="B2240" s="1" t="s">
        <v>17</v>
      </c>
      <c r="C2240" s="1">
        <v>2</v>
      </c>
      <c r="D2240" s="1">
        <v>27.2</v>
      </c>
      <c r="E2240" s="1">
        <v>54.4</v>
      </c>
      <c r="F2240" s="2">
        <v>45740</v>
      </c>
      <c r="G2240" s="2">
        <v>45742</v>
      </c>
      <c r="H2240" s="1" t="s">
        <v>8</v>
      </c>
      <c r="I2240" s="1" t="s">
        <v>3</v>
      </c>
      <c r="J2240" s="1">
        <v>5</v>
      </c>
      <c r="K2240" s="1" t="s">
        <v>4</v>
      </c>
      <c r="L2240" s="1" t="s">
        <v>9</v>
      </c>
      <c r="M2240" s="1">
        <f>[1]!orders[[#This Row],[Ship Date]]-[1]!orders[[#This Row],[Order Date]]</f>
        <v>2</v>
      </c>
      <c r="N2240" s="1">
        <f>WEEKNUM([1]!orders[[#This Row],[Order Date]])</f>
        <v>13</v>
      </c>
      <c r="O2240" t="str" cm="1">
        <f t="array" ref="O2240">_xlfn.IFS([1]!orders[[#This Row],[Customer Gender]]="M","Male", [1]!orders[[#This Row],[Customer Gender]]="F","Female", [1]!orders[[#This Row],[Customer Gender]]="O","Other", TRUE,"Unknown")</f>
        <v>Male</v>
      </c>
    </row>
    <row r="2241" spans="1:15" x14ac:dyDescent="0.25">
      <c r="A2241" t="s">
        <v>2327</v>
      </c>
      <c r="B2241" t="s">
        <v>11</v>
      </c>
      <c r="C2241">
        <v>6</v>
      </c>
      <c r="D2241">
        <v>72.599999999999994</v>
      </c>
      <c r="E2241">
        <v>435.59999999999997</v>
      </c>
      <c r="F2241" s="3">
        <v>45740</v>
      </c>
      <c r="G2241" s="3">
        <v>45741</v>
      </c>
      <c r="H2241" t="s">
        <v>12</v>
      </c>
      <c r="I2241" t="s">
        <v>3</v>
      </c>
      <c r="J2241">
        <v>5</v>
      </c>
      <c r="K2241" t="s">
        <v>4</v>
      </c>
      <c r="L2241" t="s">
        <v>13</v>
      </c>
      <c r="M2241">
        <f>[1]!orders[[#This Row],[Ship Date]]-[1]!orders[[#This Row],[Order Date]]</f>
        <v>1</v>
      </c>
      <c r="N2241">
        <f>WEEKNUM([1]!orders[[#This Row],[Order Date]])</f>
        <v>13</v>
      </c>
      <c r="O2241" t="str" cm="1">
        <f t="array" ref="O2241">_xlfn.IFS([1]!orders[[#This Row],[Customer Gender]]="M","Male", [1]!orders[[#This Row],[Customer Gender]]="F","Female", [1]!orders[[#This Row],[Customer Gender]]="O","Other", TRUE,"Unknown")</f>
        <v>Female</v>
      </c>
    </row>
    <row r="2242" spans="1:15" x14ac:dyDescent="0.25">
      <c r="A2242" s="1" t="s">
        <v>2328</v>
      </c>
      <c r="B2242" s="1" t="s">
        <v>108</v>
      </c>
      <c r="C2242" s="1">
        <v>4</v>
      </c>
      <c r="D2242" s="1">
        <v>62.4</v>
      </c>
      <c r="E2242" s="1">
        <v>249.6</v>
      </c>
      <c r="F2242" s="2">
        <v>45740</v>
      </c>
      <c r="G2242" s="2">
        <v>45741</v>
      </c>
      <c r="H2242" s="1" t="s">
        <v>12</v>
      </c>
      <c r="I2242" s="1" t="s">
        <v>3</v>
      </c>
      <c r="J2242" s="1">
        <v>4</v>
      </c>
      <c r="K2242" s="1" t="s">
        <v>4</v>
      </c>
      <c r="L2242" s="1" t="s">
        <v>18</v>
      </c>
      <c r="M2242" s="1">
        <f>[1]!orders[[#This Row],[Ship Date]]-[1]!orders[[#This Row],[Order Date]]</f>
        <v>1</v>
      </c>
      <c r="N2242" s="1">
        <f>WEEKNUM([1]!orders[[#This Row],[Order Date]])</f>
        <v>13</v>
      </c>
      <c r="O2242" t="str" cm="1">
        <f t="array" ref="O2242">_xlfn.IFS([1]!orders[[#This Row],[Customer Gender]]="M","Male", [1]!orders[[#This Row],[Customer Gender]]="F","Female", [1]!orders[[#This Row],[Customer Gender]]="O","Other", TRUE,"Unknown")</f>
        <v>Female</v>
      </c>
    </row>
    <row r="2243" spans="1:15" x14ac:dyDescent="0.25">
      <c r="A2243" t="s">
        <v>2329</v>
      </c>
      <c r="B2243" t="s">
        <v>29</v>
      </c>
      <c r="C2243">
        <v>3</v>
      </c>
      <c r="D2243">
        <v>19.100000000000001</v>
      </c>
      <c r="E2243">
        <v>57.300000000000004</v>
      </c>
      <c r="F2243" s="3">
        <v>45740</v>
      </c>
      <c r="G2243" s="3">
        <v>45742</v>
      </c>
      <c r="H2243" t="s">
        <v>8</v>
      </c>
      <c r="I2243" t="s">
        <v>3</v>
      </c>
      <c r="J2243">
        <v>3</v>
      </c>
      <c r="K2243" t="s">
        <v>4</v>
      </c>
      <c r="L2243" t="s">
        <v>18</v>
      </c>
      <c r="M2243">
        <f>[1]!orders[[#This Row],[Ship Date]]-[1]!orders[[#This Row],[Order Date]]</f>
        <v>2</v>
      </c>
      <c r="N2243">
        <f>WEEKNUM([1]!orders[[#This Row],[Order Date]])</f>
        <v>13</v>
      </c>
      <c r="O2243" t="str" cm="1">
        <f t="array" ref="O2243">_xlfn.IFS([1]!orders[[#This Row],[Customer Gender]]="M","Male", [1]!orders[[#This Row],[Customer Gender]]="F","Female", [1]!orders[[#This Row],[Customer Gender]]="O","Other", TRUE,"Unknown")</f>
        <v>Male</v>
      </c>
    </row>
    <row r="2244" spans="1:15" x14ac:dyDescent="0.25">
      <c r="A2244" s="1" t="s">
        <v>2330</v>
      </c>
      <c r="B2244" s="1" t="s">
        <v>39</v>
      </c>
      <c r="C2244" s="1">
        <v>1</v>
      </c>
      <c r="D2244" s="1">
        <v>29.6</v>
      </c>
      <c r="E2244" s="1">
        <v>29.6</v>
      </c>
      <c r="F2244" s="2">
        <v>45740</v>
      </c>
      <c r="G2244" s="2">
        <v>45744</v>
      </c>
      <c r="H2244" s="1" t="s">
        <v>8</v>
      </c>
      <c r="I2244" s="1" t="s">
        <v>3</v>
      </c>
      <c r="J2244" s="1">
        <v>2</v>
      </c>
      <c r="K2244" s="1" t="s">
        <v>4</v>
      </c>
      <c r="L2244" s="1" t="s">
        <v>18</v>
      </c>
      <c r="M2244" s="1">
        <f>[1]!orders[[#This Row],[Ship Date]]-[1]!orders[[#This Row],[Order Date]]</f>
        <v>4</v>
      </c>
      <c r="N2244" s="1">
        <f>WEEKNUM([1]!orders[[#This Row],[Order Date]])</f>
        <v>13</v>
      </c>
      <c r="O2244" t="str" cm="1">
        <f t="array" ref="O2244">_xlfn.IFS([1]!orders[[#This Row],[Customer Gender]]="M","Male", [1]!orders[[#This Row],[Customer Gender]]="F","Female", [1]!orders[[#This Row],[Customer Gender]]="O","Other", TRUE,"Unknown")</f>
        <v>Male</v>
      </c>
    </row>
    <row r="2245" spans="1:15" x14ac:dyDescent="0.25">
      <c r="A2245" t="s">
        <v>2331</v>
      </c>
      <c r="B2245" t="s">
        <v>29</v>
      </c>
      <c r="C2245">
        <v>2</v>
      </c>
      <c r="D2245">
        <v>18.899999999999999</v>
      </c>
      <c r="E2245">
        <v>37.799999999999997</v>
      </c>
      <c r="F2245" s="3">
        <v>45740</v>
      </c>
      <c r="G2245" s="3">
        <v>45742</v>
      </c>
      <c r="H2245" t="s">
        <v>12</v>
      </c>
      <c r="I2245" t="s">
        <v>55</v>
      </c>
      <c r="J2245">
        <v>5</v>
      </c>
      <c r="K2245" t="s">
        <v>4</v>
      </c>
      <c r="L2245" t="s">
        <v>18</v>
      </c>
      <c r="M2245">
        <f>[1]!orders[[#This Row],[Ship Date]]-[1]!orders[[#This Row],[Order Date]]</f>
        <v>2</v>
      </c>
      <c r="N2245">
        <f>WEEKNUM([1]!orders[[#This Row],[Order Date]])</f>
        <v>13</v>
      </c>
      <c r="O2245" t="str" cm="1">
        <f t="array" ref="O2245">_xlfn.IFS([1]!orders[[#This Row],[Customer Gender]]="M","Male", [1]!orders[[#This Row],[Customer Gender]]="F","Female", [1]!orders[[#This Row],[Customer Gender]]="O","Other", TRUE,"Unknown")</f>
        <v>Female</v>
      </c>
    </row>
    <row r="2246" spans="1:15" x14ac:dyDescent="0.25">
      <c r="A2246" s="1" t="s">
        <v>2332</v>
      </c>
      <c r="B2246" s="1" t="s">
        <v>39</v>
      </c>
      <c r="C2246" s="1">
        <v>5</v>
      </c>
      <c r="D2246" s="1">
        <v>41.4</v>
      </c>
      <c r="E2246" s="1">
        <v>207</v>
      </c>
      <c r="F2246" s="2">
        <v>45740</v>
      </c>
      <c r="G2246" s="2">
        <v>45741</v>
      </c>
      <c r="H2246" s="1" t="s">
        <v>8</v>
      </c>
      <c r="I2246" s="1" t="s">
        <v>36</v>
      </c>
      <c r="J2246" s="1">
        <v>4</v>
      </c>
      <c r="K2246" s="1" t="s">
        <v>4</v>
      </c>
      <c r="L2246" s="1" t="s">
        <v>18</v>
      </c>
      <c r="M2246" s="1">
        <f>[1]!orders[[#This Row],[Ship Date]]-[1]!orders[[#This Row],[Order Date]]</f>
        <v>1</v>
      </c>
      <c r="N2246" s="1">
        <f>WEEKNUM([1]!orders[[#This Row],[Order Date]])</f>
        <v>13</v>
      </c>
      <c r="O2246" t="str" cm="1">
        <f t="array" ref="O2246">_xlfn.IFS([1]!orders[[#This Row],[Customer Gender]]="M","Male", [1]!orders[[#This Row],[Customer Gender]]="F","Female", [1]!orders[[#This Row],[Customer Gender]]="O","Other", TRUE,"Unknown")</f>
        <v>Male</v>
      </c>
    </row>
    <row r="2247" spans="1:15" x14ac:dyDescent="0.25">
      <c r="A2247" t="s">
        <v>2333</v>
      </c>
      <c r="B2247" t="s">
        <v>11</v>
      </c>
      <c r="C2247">
        <v>1</v>
      </c>
      <c r="D2247">
        <v>118.4</v>
      </c>
      <c r="E2247">
        <v>118.4</v>
      </c>
      <c r="F2247" s="3">
        <v>45740</v>
      </c>
      <c r="G2247" s="3">
        <v>45741</v>
      </c>
      <c r="H2247" t="s">
        <v>12</v>
      </c>
      <c r="I2247" t="s">
        <v>3</v>
      </c>
      <c r="J2247">
        <v>5</v>
      </c>
      <c r="K2247" t="s">
        <v>4</v>
      </c>
      <c r="L2247" t="s">
        <v>18</v>
      </c>
      <c r="M2247">
        <f>[1]!orders[[#This Row],[Ship Date]]-[1]!orders[[#This Row],[Order Date]]</f>
        <v>1</v>
      </c>
      <c r="N2247">
        <f>WEEKNUM([1]!orders[[#This Row],[Order Date]])</f>
        <v>13</v>
      </c>
      <c r="O2247" t="str" cm="1">
        <f t="array" ref="O2247">_xlfn.IFS([1]!orders[[#This Row],[Customer Gender]]="M","Male", [1]!orders[[#This Row],[Customer Gender]]="F","Female", [1]!orders[[#This Row],[Customer Gender]]="O","Other", TRUE,"Unknown")</f>
        <v>Female</v>
      </c>
    </row>
    <row r="2248" spans="1:15" x14ac:dyDescent="0.25">
      <c r="A2248" s="1" t="s">
        <v>2334</v>
      </c>
      <c r="B2248" s="1" t="s">
        <v>11</v>
      </c>
      <c r="C2248" s="1">
        <v>2</v>
      </c>
      <c r="D2248" s="1">
        <v>125.3</v>
      </c>
      <c r="E2248" s="1">
        <v>250.6</v>
      </c>
      <c r="F2248" s="2">
        <v>45740</v>
      </c>
      <c r="G2248" s="2">
        <v>45743</v>
      </c>
      <c r="H2248" s="1" t="s">
        <v>12</v>
      </c>
      <c r="I2248" s="1" t="s">
        <v>3</v>
      </c>
      <c r="J2248" s="1">
        <v>5</v>
      </c>
      <c r="K2248" s="1" t="s">
        <v>4</v>
      </c>
      <c r="L2248" s="1" t="s">
        <v>18</v>
      </c>
      <c r="M2248" s="1">
        <f>[1]!orders[[#This Row],[Ship Date]]-[1]!orders[[#This Row],[Order Date]]</f>
        <v>3</v>
      </c>
      <c r="N2248" s="1">
        <f>WEEKNUM([1]!orders[[#This Row],[Order Date]])</f>
        <v>13</v>
      </c>
      <c r="O2248" t="str" cm="1">
        <f t="array" ref="O2248">_xlfn.IFS([1]!orders[[#This Row],[Customer Gender]]="M","Male", [1]!orders[[#This Row],[Customer Gender]]="F","Female", [1]!orders[[#This Row],[Customer Gender]]="O","Other", TRUE,"Unknown")</f>
        <v>Female</v>
      </c>
    </row>
    <row r="2249" spans="1:15" x14ac:dyDescent="0.25">
      <c r="A2249" t="s">
        <v>2335</v>
      </c>
      <c r="B2249" t="s">
        <v>15</v>
      </c>
      <c r="C2249">
        <v>2</v>
      </c>
      <c r="D2249">
        <v>85.8</v>
      </c>
      <c r="E2249">
        <v>171.6</v>
      </c>
      <c r="F2249" s="3">
        <v>45740</v>
      </c>
      <c r="G2249" s="3">
        <v>45741</v>
      </c>
      <c r="H2249" t="s">
        <v>12</v>
      </c>
      <c r="I2249" t="s">
        <v>20</v>
      </c>
      <c r="J2249">
        <v>2</v>
      </c>
      <c r="K2249" t="s">
        <v>4</v>
      </c>
      <c r="L2249" t="s">
        <v>18</v>
      </c>
      <c r="M2249">
        <f>[1]!orders[[#This Row],[Ship Date]]-[1]!orders[[#This Row],[Order Date]]</f>
        <v>1</v>
      </c>
      <c r="N2249">
        <f>WEEKNUM([1]!orders[[#This Row],[Order Date]])</f>
        <v>13</v>
      </c>
      <c r="O2249" t="str" cm="1">
        <f t="array" ref="O2249">_xlfn.IFS([1]!orders[[#This Row],[Customer Gender]]="M","Male", [1]!orders[[#This Row],[Customer Gender]]="F","Female", [1]!orders[[#This Row],[Customer Gender]]="O","Other", TRUE,"Unknown")</f>
        <v>Female</v>
      </c>
    </row>
    <row r="2250" spans="1:15" x14ac:dyDescent="0.25">
      <c r="A2250" s="1" t="s">
        <v>2336</v>
      </c>
      <c r="B2250" s="1" t="s">
        <v>24</v>
      </c>
      <c r="C2250" s="1">
        <v>1</v>
      </c>
      <c r="D2250" s="1">
        <v>44.2</v>
      </c>
      <c r="E2250" s="1">
        <v>44.2</v>
      </c>
      <c r="F2250" s="2">
        <v>45740</v>
      </c>
      <c r="G2250" s="2">
        <v>45743</v>
      </c>
      <c r="H2250" s="1" t="s">
        <v>8</v>
      </c>
      <c r="I2250" s="1" t="s">
        <v>20</v>
      </c>
      <c r="J2250" s="1">
        <v>4</v>
      </c>
      <c r="K2250" s="1" t="s">
        <v>4</v>
      </c>
      <c r="L2250" s="1" t="s">
        <v>18</v>
      </c>
      <c r="M2250" s="1">
        <f>[1]!orders[[#This Row],[Ship Date]]-[1]!orders[[#This Row],[Order Date]]</f>
        <v>3</v>
      </c>
      <c r="N2250" s="1">
        <f>WEEKNUM([1]!orders[[#This Row],[Order Date]])</f>
        <v>13</v>
      </c>
      <c r="O2250" t="str" cm="1">
        <f t="array" ref="O2250">_xlfn.IFS([1]!orders[[#This Row],[Customer Gender]]="M","Male", [1]!orders[[#This Row],[Customer Gender]]="F","Female", [1]!orders[[#This Row],[Customer Gender]]="O","Other", TRUE,"Unknown")</f>
        <v>Male</v>
      </c>
    </row>
    <row r="2251" spans="1:15" x14ac:dyDescent="0.25">
      <c r="A2251" t="s">
        <v>2337</v>
      </c>
      <c r="B2251" t="s">
        <v>22</v>
      </c>
      <c r="C2251">
        <v>4</v>
      </c>
      <c r="D2251">
        <v>74.099999999999994</v>
      </c>
      <c r="E2251">
        <v>296.39999999999998</v>
      </c>
      <c r="F2251" s="3">
        <v>45740</v>
      </c>
      <c r="G2251" s="3">
        <v>45742</v>
      </c>
      <c r="H2251" t="s">
        <v>12</v>
      </c>
      <c r="I2251" t="s">
        <v>3</v>
      </c>
      <c r="J2251">
        <v>4</v>
      </c>
      <c r="K2251" t="s">
        <v>4</v>
      </c>
      <c r="L2251" t="s">
        <v>18</v>
      </c>
      <c r="M2251">
        <f>[1]!orders[[#This Row],[Ship Date]]-[1]!orders[[#This Row],[Order Date]]</f>
        <v>2</v>
      </c>
      <c r="N2251">
        <f>WEEKNUM([1]!orders[[#This Row],[Order Date]])</f>
        <v>13</v>
      </c>
      <c r="O2251" t="str" cm="1">
        <f t="array" ref="O2251">_xlfn.IFS([1]!orders[[#This Row],[Customer Gender]]="M","Male", [1]!orders[[#This Row],[Customer Gender]]="F","Female", [1]!orders[[#This Row],[Customer Gender]]="O","Other", TRUE,"Unknown")</f>
        <v>Female</v>
      </c>
    </row>
    <row r="2252" spans="1:15" x14ac:dyDescent="0.25">
      <c r="A2252" s="1" t="s">
        <v>2338</v>
      </c>
      <c r="B2252" s="1" t="s">
        <v>29</v>
      </c>
      <c r="C2252" s="1">
        <v>1</v>
      </c>
      <c r="D2252" s="1">
        <v>33.799999999999997</v>
      </c>
      <c r="E2252" s="1">
        <v>33.799999999999997</v>
      </c>
      <c r="F2252" s="2">
        <v>45740</v>
      </c>
      <c r="G2252" s="2">
        <v>45741</v>
      </c>
      <c r="H2252" s="1" t="s">
        <v>12</v>
      </c>
      <c r="I2252" s="1" t="s">
        <v>25</v>
      </c>
      <c r="J2252" s="1">
        <v>5</v>
      </c>
      <c r="K2252" s="1" t="s">
        <v>4</v>
      </c>
      <c r="L2252" s="1" t="s">
        <v>171</v>
      </c>
      <c r="M2252" s="1">
        <f>[1]!orders[[#This Row],[Ship Date]]-[1]!orders[[#This Row],[Order Date]]</f>
        <v>1</v>
      </c>
      <c r="N2252" s="1">
        <f>WEEKNUM([1]!orders[[#This Row],[Order Date]])</f>
        <v>13</v>
      </c>
      <c r="O2252" t="str" cm="1">
        <f t="array" ref="O2252">_xlfn.IFS([1]!orders[[#This Row],[Customer Gender]]="M","Male", [1]!orders[[#This Row],[Customer Gender]]="F","Female", [1]!orders[[#This Row],[Customer Gender]]="O","Other", TRUE,"Unknown")</f>
        <v>Female</v>
      </c>
    </row>
    <row r="2253" spans="1:15" x14ac:dyDescent="0.25">
      <c r="A2253" t="s">
        <v>2339</v>
      </c>
      <c r="B2253" t="s">
        <v>7</v>
      </c>
      <c r="C2253">
        <v>2</v>
      </c>
      <c r="D2253">
        <v>39.1</v>
      </c>
      <c r="E2253">
        <v>78.2</v>
      </c>
      <c r="F2253" s="3">
        <v>45740</v>
      </c>
      <c r="G2253" s="3">
        <v>45741</v>
      </c>
      <c r="H2253" t="s">
        <v>8</v>
      </c>
      <c r="I2253" t="s">
        <v>3</v>
      </c>
      <c r="J2253">
        <v>3</v>
      </c>
      <c r="K2253" t="s">
        <v>4</v>
      </c>
      <c r="L2253" t="s">
        <v>171</v>
      </c>
      <c r="M2253">
        <f>[1]!orders[[#This Row],[Ship Date]]-[1]!orders[[#This Row],[Order Date]]</f>
        <v>1</v>
      </c>
      <c r="N2253">
        <f>WEEKNUM([1]!orders[[#This Row],[Order Date]])</f>
        <v>13</v>
      </c>
      <c r="O2253" t="str" cm="1">
        <f t="array" ref="O2253">_xlfn.IFS([1]!orders[[#This Row],[Customer Gender]]="M","Male", [1]!orders[[#This Row],[Customer Gender]]="F","Female", [1]!orders[[#This Row],[Customer Gender]]="O","Other", TRUE,"Unknown")</f>
        <v>Male</v>
      </c>
    </row>
    <row r="2254" spans="1:15" x14ac:dyDescent="0.25">
      <c r="A2254" s="1" t="s">
        <v>2340</v>
      </c>
      <c r="B2254" s="1" t="s">
        <v>1</v>
      </c>
      <c r="C2254" s="1">
        <v>1</v>
      </c>
      <c r="D2254" s="1">
        <v>37.200000000000003</v>
      </c>
      <c r="E2254" s="1">
        <v>37.200000000000003</v>
      </c>
      <c r="F2254" s="2">
        <v>45740</v>
      </c>
      <c r="G2254" s="2">
        <v>45741</v>
      </c>
      <c r="H2254" s="1" t="s">
        <v>8</v>
      </c>
      <c r="I2254" s="1" t="s">
        <v>3</v>
      </c>
      <c r="J2254" s="1">
        <v>3</v>
      </c>
      <c r="K2254" s="1" t="s">
        <v>4</v>
      </c>
      <c r="L2254" s="1" t="s">
        <v>83</v>
      </c>
      <c r="M2254" s="1">
        <f>[1]!orders[[#This Row],[Ship Date]]-[1]!orders[[#This Row],[Order Date]]</f>
        <v>1</v>
      </c>
      <c r="N2254" s="1">
        <f>WEEKNUM([1]!orders[[#This Row],[Order Date]])</f>
        <v>13</v>
      </c>
      <c r="O2254" t="str" cm="1">
        <f t="array" ref="O2254">_xlfn.IFS([1]!orders[[#This Row],[Customer Gender]]="M","Male", [1]!orders[[#This Row],[Customer Gender]]="F","Female", [1]!orders[[#This Row],[Customer Gender]]="O","Other", TRUE,"Unknown")</f>
        <v>Male</v>
      </c>
    </row>
    <row r="2255" spans="1:15" x14ac:dyDescent="0.25">
      <c r="A2255" t="s">
        <v>2341</v>
      </c>
      <c r="B2255" t="s">
        <v>108</v>
      </c>
      <c r="C2255">
        <v>3</v>
      </c>
      <c r="D2255">
        <v>33.9</v>
      </c>
      <c r="E2255">
        <v>101.69999999999999</v>
      </c>
      <c r="F2255" s="3">
        <v>45740</v>
      </c>
      <c r="G2255" s="3">
        <v>45742</v>
      </c>
      <c r="H2255" t="s">
        <v>8</v>
      </c>
      <c r="I2255" t="s">
        <v>25</v>
      </c>
      <c r="J2255">
        <v>4</v>
      </c>
      <c r="K2255" t="s">
        <v>4</v>
      </c>
      <c r="L2255" t="s">
        <v>40</v>
      </c>
      <c r="M2255">
        <f>[1]!orders[[#This Row],[Ship Date]]-[1]!orders[[#This Row],[Order Date]]</f>
        <v>2</v>
      </c>
      <c r="N2255">
        <f>WEEKNUM([1]!orders[[#This Row],[Order Date]])</f>
        <v>13</v>
      </c>
      <c r="O2255" t="str" cm="1">
        <f t="array" ref="O2255">_xlfn.IFS([1]!orders[[#This Row],[Customer Gender]]="M","Male", [1]!orders[[#This Row],[Customer Gender]]="F","Female", [1]!orders[[#This Row],[Customer Gender]]="O","Other", TRUE,"Unknown")</f>
        <v>Male</v>
      </c>
    </row>
    <row r="2256" spans="1:15" x14ac:dyDescent="0.25">
      <c r="A2256" s="1" t="s">
        <v>2342</v>
      </c>
      <c r="B2256" s="1" t="s">
        <v>27</v>
      </c>
      <c r="C2256" s="1">
        <v>15</v>
      </c>
      <c r="D2256" s="1">
        <v>73.3</v>
      </c>
      <c r="E2256" s="1">
        <v>1099.5</v>
      </c>
      <c r="F2256" s="2">
        <v>45740</v>
      </c>
      <c r="G2256" s="2">
        <v>45743</v>
      </c>
      <c r="H2256" s="1" t="s">
        <v>12</v>
      </c>
      <c r="I2256" s="1" t="s">
        <v>25</v>
      </c>
      <c r="J2256" s="1">
        <v>3</v>
      </c>
      <c r="K2256" s="1" t="s">
        <v>4</v>
      </c>
      <c r="L2256" s="1" t="s">
        <v>47</v>
      </c>
      <c r="M2256" s="1">
        <f>[1]!orders[[#This Row],[Ship Date]]-[1]!orders[[#This Row],[Order Date]]</f>
        <v>3</v>
      </c>
      <c r="N2256" s="1">
        <f>WEEKNUM([1]!orders[[#This Row],[Order Date]])</f>
        <v>13</v>
      </c>
      <c r="O2256" t="str" cm="1">
        <f t="array" ref="O2256">_xlfn.IFS([1]!orders[[#This Row],[Customer Gender]]="M","Male", [1]!orders[[#This Row],[Customer Gender]]="F","Female", [1]!orders[[#This Row],[Customer Gender]]="O","Other", TRUE,"Unknown")</f>
        <v>Female</v>
      </c>
    </row>
    <row r="2257" spans="1:15" x14ac:dyDescent="0.25">
      <c r="A2257" t="s">
        <v>2343</v>
      </c>
      <c r="B2257" t="s">
        <v>29</v>
      </c>
      <c r="C2257">
        <v>4</v>
      </c>
      <c r="D2257">
        <v>35</v>
      </c>
      <c r="E2257">
        <v>140</v>
      </c>
      <c r="F2257" s="3">
        <v>45740</v>
      </c>
      <c r="G2257" s="3">
        <v>45742</v>
      </c>
      <c r="H2257" t="s">
        <v>12</v>
      </c>
      <c r="I2257" t="s">
        <v>20</v>
      </c>
      <c r="J2257">
        <v>4</v>
      </c>
      <c r="K2257" t="s">
        <v>4</v>
      </c>
      <c r="L2257" t="s">
        <v>47</v>
      </c>
      <c r="M2257">
        <f>[1]!orders[[#This Row],[Ship Date]]-[1]!orders[[#This Row],[Order Date]]</f>
        <v>2</v>
      </c>
      <c r="N2257">
        <f>WEEKNUM([1]!orders[[#This Row],[Order Date]])</f>
        <v>13</v>
      </c>
      <c r="O2257" t="str" cm="1">
        <f t="array" ref="O2257">_xlfn.IFS([1]!orders[[#This Row],[Customer Gender]]="M","Male", [1]!orders[[#This Row],[Customer Gender]]="F","Female", [1]!orders[[#This Row],[Customer Gender]]="O","Other", TRUE,"Unknown")</f>
        <v>Female</v>
      </c>
    </row>
    <row r="2258" spans="1:15" x14ac:dyDescent="0.25">
      <c r="A2258" s="1" t="s">
        <v>2344</v>
      </c>
      <c r="B2258" s="1" t="s">
        <v>1</v>
      </c>
      <c r="C2258" s="1">
        <v>3</v>
      </c>
      <c r="D2258" s="1">
        <v>22.2</v>
      </c>
      <c r="E2258" s="1">
        <v>66.599999999999994</v>
      </c>
      <c r="F2258" s="2">
        <v>45740</v>
      </c>
      <c r="G2258" s="2">
        <v>45741</v>
      </c>
      <c r="H2258" s="1" t="s">
        <v>8</v>
      </c>
      <c r="I2258" s="1" t="s">
        <v>20</v>
      </c>
      <c r="J2258" s="1">
        <v>4</v>
      </c>
      <c r="K2258" s="1" t="s">
        <v>4</v>
      </c>
      <c r="L2258" s="1" t="s">
        <v>88</v>
      </c>
      <c r="M2258" s="1">
        <f>[1]!orders[[#This Row],[Ship Date]]-[1]!orders[[#This Row],[Order Date]]</f>
        <v>1</v>
      </c>
      <c r="N2258" s="1">
        <f>WEEKNUM([1]!orders[[#This Row],[Order Date]])</f>
        <v>13</v>
      </c>
      <c r="O2258" t="str" cm="1">
        <f t="array" ref="O2258">_xlfn.IFS([1]!orders[[#This Row],[Customer Gender]]="M","Male", [1]!orders[[#This Row],[Customer Gender]]="F","Female", [1]!orders[[#This Row],[Customer Gender]]="O","Other", TRUE,"Unknown")</f>
        <v>Male</v>
      </c>
    </row>
    <row r="2259" spans="1:15" x14ac:dyDescent="0.25">
      <c r="A2259" t="s">
        <v>2345</v>
      </c>
      <c r="B2259" t="s">
        <v>39</v>
      </c>
      <c r="C2259">
        <v>1</v>
      </c>
      <c r="D2259">
        <v>32.4</v>
      </c>
      <c r="E2259">
        <v>32.4</v>
      </c>
      <c r="F2259" s="3">
        <v>45740</v>
      </c>
      <c r="G2259" s="3">
        <v>45741</v>
      </c>
      <c r="H2259" t="s">
        <v>12</v>
      </c>
      <c r="I2259" t="s">
        <v>3</v>
      </c>
      <c r="J2259">
        <v>4</v>
      </c>
      <c r="K2259" t="s">
        <v>4</v>
      </c>
      <c r="L2259" t="s">
        <v>62</v>
      </c>
      <c r="M2259">
        <f>[1]!orders[[#This Row],[Ship Date]]-[1]!orders[[#This Row],[Order Date]]</f>
        <v>1</v>
      </c>
      <c r="N2259">
        <f>WEEKNUM([1]!orders[[#This Row],[Order Date]])</f>
        <v>13</v>
      </c>
      <c r="O2259" t="str" cm="1">
        <f t="array" ref="O2259">_xlfn.IFS([1]!orders[[#This Row],[Customer Gender]]="M","Male", [1]!orders[[#This Row],[Customer Gender]]="F","Female", [1]!orders[[#This Row],[Customer Gender]]="O","Other", TRUE,"Unknown")</f>
        <v>Female</v>
      </c>
    </row>
    <row r="2260" spans="1:15" x14ac:dyDescent="0.25">
      <c r="A2260" s="1" t="s">
        <v>2346</v>
      </c>
      <c r="B2260" s="1" t="s">
        <v>22</v>
      </c>
      <c r="C2260" s="1">
        <v>3</v>
      </c>
      <c r="D2260" s="1">
        <v>88.4</v>
      </c>
      <c r="E2260" s="1">
        <v>265.20000000000005</v>
      </c>
      <c r="F2260" s="2">
        <v>45741</v>
      </c>
      <c r="G2260" s="2">
        <v>45743</v>
      </c>
      <c r="H2260" s="1" t="s">
        <v>12</v>
      </c>
      <c r="I2260" s="1" t="s">
        <v>20</v>
      </c>
      <c r="J2260" s="1">
        <v>3</v>
      </c>
      <c r="K2260" s="1" t="s">
        <v>4</v>
      </c>
      <c r="L2260" s="1" t="s">
        <v>62</v>
      </c>
      <c r="M2260" s="1">
        <f>[1]!orders[[#This Row],[Ship Date]]-[1]!orders[[#This Row],[Order Date]]</f>
        <v>2</v>
      </c>
      <c r="N2260" s="1">
        <f>WEEKNUM([1]!orders[[#This Row],[Order Date]])</f>
        <v>13</v>
      </c>
      <c r="O2260" t="str" cm="1">
        <f t="array" ref="O2260">_xlfn.IFS([1]!orders[[#This Row],[Customer Gender]]="M","Male", [1]!orders[[#This Row],[Customer Gender]]="F","Female", [1]!orders[[#This Row],[Customer Gender]]="O","Other", TRUE,"Unknown")</f>
        <v>Female</v>
      </c>
    </row>
    <row r="2261" spans="1:15" x14ac:dyDescent="0.25">
      <c r="A2261" t="s">
        <v>2347</v>
      </c>
      <c r="B2261" t="s">
        <v>22</v>
      </c>
      <c r="C2261">
        <v>16</v>
      </c>
      <c r="D2261">
        <v>30.5</v>
      </c>
      <c r="E2261">
        <v>488</v>
      </c>
      <c r="F2261" s="3">
        <v>45741</v>
      </c>
      <c r="G2261" s="3">
        <v>45742</v>
      </c>
      <c r="H2261" t="s">
        <v>12</v>
      </c>
      <c r="I2261" t="s">
        <v>25</v>
      </c>
      <c r="J2261">
        <v>4</v>
      </c>
      <c r="K2261" t="s">
        <v>4</v>
      </c>
      <c r="L2261" t="s">
        <v>62</v>
      </c>
      <c r="M2261">
        <f>[1]!orders[[#This Row],[Ship Date]]-[1]!orders[[#This Row],[Order Date]]</f>
        <v>1</v>
      </c>
      <c r="N2261">
        <f>WEEKNUM([1]!orders[[#This Row],[Order Date]])</f>
        <v>13</v>
      </c>
      <c r="O2261" t="str" cm="1">
        <f t="array" ref="O2261">_xlfn.IFS([1]!orders[[#This Row],[Customer Gender]]="M","Male", [1]!orders[[#This Row],[Customer Gender]]="F","Female", [1]!orders[[#This Row],[Customer Gender]]="O","Other", TRUE,"Unknown")</f>
        <v>Female</v>
      </c>
    </row>
    <row r="2262" spans="1:15" x14ac:dyDescent="0.25">
      <c r="A2262" s="1" t="s">
        <v>2348</v>
      </c>
      <c r="B2262" s="1" t="s">
        <v>7</v>
      </c>
      <c r="C2262" s="1">
        <v>6</v>
      </c>
      <c r="D2262" s="1">
        <v>38.1</v>
      </c>
      <c r="E2262" s="1">
        <v>228.60000000000002</v>
      </c>
      <c r="F2262" s="2">
        <v>45741</v>
      </c>
      <c r="G2262" s="2">
        <v>45743</v>
      </c>
      <c r="H2262" s="1" t="s">
        <v>12</v>
      </c>
      <c r="I2262" s="1" t="s">
        <v>3</v>
      </c>
      <c r="J2262" s="1">
        <v>3</v>
      </c>
      <c r="K2262" s="1" t="s">
        <v>4</v>
      </c>
      <c r="L2262" s="1" t="s">
        <v>62</v>
      </c>
      <c r="M2262" s="1">
        <f>[1]!orders[[#This Row],[Ship Date]]-[1]!orders[[#This Row],[Order Date]]</f>
        <v>2</v>
      </c>
      <c r="N2262" s="1">
        <f>WEEKNUM([1]!orders[[#This Row],[Order Date]])</f>
        <v>13</v>
      </c>
      <c r="O2262" t="str" cm="1">
        <f t="array" ref="O2262">_xlfn.IFS([1]!orders[[#This Row],[Customer Gender]]="M","Male", [1]!orders[[#This Row],[Customer Gender]]="F","Female", [1]!orders[[#This Row],[Customer Gender]]="O","Other", TRUE,"Unknown")</f>
        <v>Female</v>
      </c>
    </row>
    <row r="2263" spans="1:15" x14ac:dyDescent="0.25">
      <c r="A2263" t="s">
        <v>2349</v>
      </c>
      <c r="B2263" t="s">
        <v>39</v>
      </c>
      <c r="C2263">
        <v>5</v>
      </c>
      <c r="D2263">
        <v>37.6</v>
      </c>
      <c r="E2263">
        <v>188</v>
      </c>
      <c r="F2263" s="3">
        <v>45741</v>
      </c>
      <c r="G2263" s="3">
        <v>45745</v>
      </c>
      <c r="H2263" t="s">
        <v>8</v>
      </c>
      <c r="I2263" t="s">
        <v>3</v>
      </c>
      <c r="J2263">
        <v>4</v>
      </c>
      <c r="K2263" t="s">
        <v>4</v>
      </c>
      <c r="L2263" t="s">
        <v>62</v>
      </c>
      <c r="M2263">
        <f>[1]!orders[[#This Row],[Ship Date]]-[1]!orders[[#This Row],[Order Date]]</f>
        <v>4</v>
      </c>
      <c r="N2263">
        <f>WEEKNUM([1]!orders[[#This Row],[Order Date]])</f>
        <v>13</v>
      </c>
      <c r="O2263" t="str" cm="1">
        <f t="array" ref="O2263">_xlfn.IFS([1]!orders[[#This Row],[Customer Gender]]="M","Male", [1]!orders[[#This Row],[Customer Gender]]="F","Female", [1]!orders[[#This Row],[Customer Gender]]="O","Other", TRUE,"Unknown")</f>
        <v>Male</v>
      </c>
    </row>
    <row r="2264" spans="1:15" x14ac:dyDescent="0.25">
      <c r="A2264" s="1" t="s">
        <v>2350</v>
      </c>
      <c r="B2264" s="1" t="s">
        <v>108</v>
      </c>
      <c r="C2264" s="1">
        <v>2</v>
      </c>
      <c r="D2264" s="1">
        <v>31.4</v>
      </c>
      <c r="E2264" s="1">
        <v>62.8</v>
      </c>
      <c r="F2264" s="2">
        <v>45741</v>
      </c>
      <c r="G2264" s="2">
        <v>45742</v>
      </c>
      <c r="H2264" s="1" t="s">
        <v>8</v>
      </c>
      <c r="I2264" s="1" t="s">
        <v>3</v>
      </c>
      <c r="J2264" s="1">
        <v>5</v>
      </c>
      <c r="K2264" s="1" t="s">
        <v>4</v>
      </c>
      <c r="L2264" s="1" t="s">
        <v>62</v>
      </c>
      <c r="M2264" s="1">
        <f>[1]!orders[[#This Row],[Ship Date]]-[1]!orders[[#This Row],[Order Date]]</f>
        <v>1</v>
      </c>
      <c r="N2264" s="1">
        <f>WEEKNUM([1]!orders[[#This Row],[Order Date]])</f>
        <v>13</v>
      </c>
      <c r="O2264" t="str" cm="1">
        <f t="array" ref="O2264">_xlfn.IFS([1]!orders[[#This Row],[Customer Gender]]="M","Male", [1]!orders[[#This Row],[Customer Gender]]="F","Female", [1]!orders[[#This Row],[Customer Gender]]="O","Other", TRUE,"Unknown")</f>
        <v>Male</v>
      </c>
    </row>
    <row r="2265" spans="1:15" x14ac:dyDescent="0.25">
      <c r="A2265" t="s">
        <v>2351</v>
      </c>
      <c r="B2265" t="s">
        <v>24</v>
      </c>
      <c r="C2265">
        <v>2</v>
      </c>
      <c r="D2265">
        <v>61.5</v>
      </c>
      <c r="E2265">
        <v>123</v>
      </c>
      <c r="F2265" s="3">
        <v>45741</v>
      </c>
      <c r="G2265" s="3">
        <v>45742</v>
      </c>
      <c r="H2265" t="s">
        <v>8</v>
      </c>
      <c r="I2265" t="s">
        <v>36</v>
      </c>
      <c r="J2265">
        <v>4</v>
      </c>
      <c r="K2265" t="s">
        <v>4</v>
      </c>
      <c r="L2265" t="s">
        <v>277</v>
      </c>
      <c r="M2265">
        <f>[1]!orders[[#This Row],[Ship Date]]-[1]!orders[[#This Row],[Order Date]]</f>
        <v>1</v>
      </c>
      <c r="N2265">
        <f>WEEKNUM([1]!orders[[#This Row],[Order Date]])</f>
        <v>13</v>
      </c>
      <c r="O2265" t="str" cm="1">
        <f t="array" ref="O2265">_xlfn.IFS([1]!orders[[#This Row],[Customer Gender]]="M","Male", [1]!orders[[#This Row],[Customer Gender]]="F","Female", [1]!orders[[#This Row],[Customer Gender]]="O","Other", TRUE,"Unknown")</f>
        <v>Male</v>
      </c>
    </row>
    <row r="2266" spans="1:15" x14ac:dyDescent="0.25">
      <c r="A2266" s="1" t="s">
        <v>2352</v>
      </c>
      <c r="B2266" s="1" t="s">
        <v>24</v>
      </c>
      <c r="C2266" s="1">
        <v>1</v>
      </c>
      <c r="D2266" s="1">
        <v>72.599999999999994</v>
      </c>
      <c r="E2266" s="1">
        <v>72.599999999999994</v>
      </c>
      <c r="F2266" s="2">
        <v>45741</v>
      </c>
      <c r="G2266" s="2">
        <v>45742</v>
      </c>
      <c r="H2266" s="1" t="s">
        <v>8</v>
      </c>
      <c r="I2266" s="1" t="s">
        <v>3</v>
      </c>
      <c r="J2266" s="1">
        <v>3</v>
      </c>
      <c r="K2266" s="1" t="s">
        <v>4</v>
      </c>
      <c r="L2266" s="1" t="s">
        <v>100</v>
      </c>
      <c r="M2266" s="1">
        <f>[1]!orders[[#This Row],[Ship Date]]-[1]!orders[[#This Row],[Order Date]]</f>
        <v>1</v>
      </c>
      <c r="N2266" s="1">
        <f>WEEKNUM([1]!orders[[#This Row],[Order Date]])</f>
        <v>13</v>
      </c>
      <c r="O2266" t="str" cm="1">
        <f t="array" ref="O2266">_xlfn.IFS([1]!orders[[#This Row],[Customer Gender]]="M","Male", [1]!orders[[#This Row],[Customer Gender]]="F","Female", [1]!orders[[#This Row],[Customer Gender]]="O","Other", TRUE,"Unknown")</f>
        <v>Male</v>
      </c>
    </row>
    <row r="2267" spans="1:15" x14ac:dyDescent="0.25">
      <c r="A2267" t="s">
        <v>2353</v>
      </c>
      <c r="B2267" t="s">
        <v>31</v>
      </c>
      <c r="C2267">
        <v>3</v>
      </c>
      <c r="D2267">
        <v>26.9</v>
      </c>
      <c r="E2267">
        <v>80.699999999999989</v>
      </c>
      <c r="F2267" s="3">
        <v>45741</v>
      </c>
      <c r="G2267" s="3">
        <v>45746</v>
      </c>
      <c r="H2267" t="s">
        <v>74</v>
      </c>
      <c r="I2267" t="s">
        <v>55</v>
      </c>
      <c r="J2267">
        <v>3</v>
      </c>
      <c r="K2267" t="s">
        <v>4</v>
      </c>
      <c r="L2267" t="s">
        <v>626</v>
      </c>
      <c r="M2267">
        <f>[1]!orders[[#This Row],[Ship Date]]-[1]!orders[[#This Row],[Order Date]]</f>
        <v>5</v>
      </c>
      <c r="N2267">
        <f>WEEKNUM([1]!orders[[#This Row],[Order Date]])</f>
        <v>13</v>
      </c>
      <c r="O2267" t="str" cm="1">
        <f t="array" ref="O2267">_xlfn.IFS([1]!orders[[#This Row],[Customer Gender]]="M","Male", [1]!orders[[#This Row],[Customer Gender]]="F","Female", [1]!orders[[#This Row],[Customer Gender]]="O","Other", TRUE,"Unknown")</f>
        <v>Other</v>
      </c>
    </row>
    <row r="2268" spans="1:15" x14ac:dyDescent="0.25">
      <c r="A2268" s="1" t="s">
        <v>2354</v>
      </c>
      <c r="B2268" s="1" t="s">
        <v>120</v>
      </c>
      <c r="C2268" s="1">
        <v>12</v>
      </c>
      <c r="D2268" s="1">
        <v>29.4</v>
      </c>
      <c r="E2268" s="1">
        <v>352.79999999999995</v>
      </c>
      <c r="F2268" s="2">
        <v>45741</v>
      </c>
      <c r="G2268" s="2">
        <v>45742</v>
      </c>
      <c r="H2268" s="1" t="s">
        <v>12</v>
      </c>
      <c r="I2268" s="1" t="s">
        <v>20</v>
      </c>
      <c r="J2268" s="1">
        <v>4</v>
      </c>
      <c r="K2268" s="1" t="s">
        <v>4</v>
      </c>
      <c r="L2268" s="1" t="s">
        <v>952</v>
      </c>
      <c r="M2268" s="1">
        <f>[1]!orders[[#This Row],[Ship Date]]-[1]!orders[[#This Row],[Order Date]]</f>
        <v>1</v>
      </c>
      <c r="N2268" s="1">
        <f>WEEKNUM([1]!orders[[#This Row],[Order Date]])</f>
        <v>13</v>
      </c>
      <c r="O2268" t="str" cm="1">
        <f t="array" ref="O2268">_xlfn.IFS([1]!orders[[#This Row],[Customer Gender]]="M","Male", [1]!orders[[#This Row],[Customer Gender]]="F","Female", [1]!orders[[#This Row],[Customer Gender]]="O","Other", TRUE,"Unknown")</f>
        <v>Female</v>
      </c>
    </row>
    <row r="2269" spans="1:15" x14ac:dyDescent="0.25">
      <c r="A2269" t="s">
        <v>2355</v>
      </c>
      <c r="B2269" t="s">
        <v>120</v>
      </c>
      <c r="C2269">
        <v>2</v>
      </c>
      <c r="D2269">
        <v>42.1</v>
      </c>
      <c r="E2269">
        <v>84.2</v>
      </c>
      <c r="F2269" s="3">
        <v>45741</v>
      </c>
      <c r="G2269" s="3">
        <v>45742</v>
      </c>
      <c r="H2269" t="s">
        <v>12</v>
      </c>
      <c r="I2269" t="s">
        <v>36</v>
      </c>
      <c r="J2269">
        <v>3</v>
      </c>
      <c r="K2269" t="s">
        <v>4</v>
      </c>
      <c r="L2269" t="s">
        <v>9</v>
      </c>
      <c r="M2269">
        <f>[1]!orders[[#This Row],[Ship Date]]-[1]!orders[[#This Row],[Order Date]]</f>
        <v>1</v>
      </c>
      <c r="N2269">
        <f>WEEKNUM([1]!orders[[#This Row],[Order Date]])</f>
        <v>13</v>
      </c>
      <c r="O2269" t="str" cm="1">
        <f t="array" ref="O2269">_xlfn.IFS([1]!orders[[#This Row],[Customer Gender]]="M","Male", [1]!orders[[#This Row],[Customer Gender]]="F","Female", [1]!orders[[#This Row],[Customer Gender]]="O","Other", TRUE,"Unknown")</f>
        <v>Female</v>
      </c>
    </row>
    <row r="2270" spans="1:15" x14ac:dyDescent="0.25">
      <c r="A2270" s="1" t="s">
        <v>2356</v>
      </c>
      <c r="B2270" s="1" t="s">
        <v>22</v>
      </c>
      <c r="C2270" s="1">
        <v>1</v>
      </c>
      <c r="D2270" s="1">
        <v>40.5</v>
      </c>
      <c r="E2270" s="1">
        <v>40.5</v>
      </c>
      <c r="F2270" s="2">
        <v>45741</v>
      </c>
      <c r="G2270" s="2">
        <v>45742</v>
      </c>
      <c r="H2270" s="1" t="s">
        <v>12</v>
      </c>
      <c r="I2270" s="1" t="s">
        <v>25</v>
      </c>
      <c r="J2270" s="1">
        <v>3</v>
      </c>
      <c r="K2270" s="1" t="s">
        <v>4</v>
      </c>
      <c r="L2270" s="1" t="s">
        <v>9</v>
      </c>
      <c r="M2270" s="1">
        <f>[1]!orders[[#This Row],[Ship Date]]-[1]!orders[[#This Row],[Order Date]]</f>
        <v>1</v>
      </c>
      <c r="N2270" s="1">
        <f>WEEKNUM([1]!orders[[#This Row],[Order Date]])</f>
        <v>13</v>
      </c>
      <c r="O2270" t="str" cm="1">
        <f t="array" ref="O2270">_xlfn.IFS([1]!orders[[#This Row],[Customer Gender]]="M","Male", [1]!orders[[#This Row],[Customer Gender]]="F","Female", [1]!orders[[#This Row],[Customer Gender]]="O","Other", TRUE,"Unknown")</f>
        <v>Female</v>
      </c>
    </row>
    <row r="2271" spans="1:15" x14ac:dyDescent="0.25">
      <c r="A2271" t="s">
        <v>2357</v>
      </c>
      <c r="B2271" t="s">
        <v>11</v>
      </c>
      <c r="C2271">
        <v>4</v>
      </c>
      <c r="D2271">
        <v>182.3</v>
      </c>
      <c r="E2271">
        <v>729.2</v>
      </c>
      <c r="F2271" s="3">
        <v>45741</v>
      </c>
      <c r="G2271" s="3">
        <v>45742</v>
      </c>
      <c r="H2271" t="s">
        <v>12</v>
      </c>
      <c r="I2271" t="s">
        <v>20</v>
      </c>
      <c r="J2271">
        <v>4</v>
      </c>
      <c r="K2271" t="s">
        <v>4</v>
      </c>
      <c r="L2271" t="s">
        <v>9</v>
      </c>
      <c r="M2271">
        <f>[1]!orders[[#This Row],[Ship Date]]-[1]!orders[[#This Row],[Order Date]]</f>
        <v>1</v>
      </c>
      <c r="N2271">
        <f>WEEKNUM([1]!orders[[#This Row],[Order Date]])</f>
        <v>13</v>
      </c>
      <c r="O2271" t="str" cm="1">
        <f t="array" ref="O2271">_xlfn.IFS([1]!orders[[#This Row],[Customer Gender]]="M","Male", [1]!orders[[#This Row],[Customer Gender]]="F","Female", [1]!orders[[#This Row],[Customer Gender]]="O","Other", TRUE,"Unknown")</f>
        <v>Female</v>
      </c>
    </row>
    <row r="2272" spans="1:15" x14ac:dyDescent="0.25">
      <c r="A2272" s="1" t="s">
        <v>2358</v>
      </c>
      <c r="B2272" s="1" t="s">
        <v>11</v>
      </c>
      <c r="C2272" s="1">
        <v>5</v>
      </c>
      <c r="D2272" s="1">
        <v>157</v>
      </c>
      <c r="E2272" s="1">
        <v>785</v>
      </c>
      <c r="F2272" s="2">
        <v>45741</v>
      </c>
      <c r="G2272" s="2">
        <v>45744</v>
      </c>
      <c r="H2272" s="1" t="s">
        <v>12</v>
      </c>
      <c r="I2272" s="1" t="s">
        <v>20</v>
      </c>
      <c r="J2272" s="1">
        <v>5</v>
      </c>
      <c r="K2272" s="1" t="s">
        <v>4</v>
      </c>
      <c r="L2272" s="1" t="s">
        <v>13</v>
      </c>
      <c r="M2272" s="1">
        <f>[1]!orders[[#This Row],[Ship Date]]-[1]!orders[[#This Row],[Order Date]]</f>
        <v>3</v>
      </c>
      <c r="N2272" s="1">
        <f>WEEKNUM([1]!orders[[#This Row],[Order Date]])</f>
        <v>13</v>
      </c>
      <c r="O2272" t="str" cm="1">
        <f t="array" ref="O2272">_xlfn.IFS([1]!orders[[#This Row],[Customer Gender]]="M","Male", [1]!orders[[#This Row],[Customer Gender]]="F","Female", [1]!orders[[#This Row],[Customer Gender]]="O","Other", TRUE,"Unknown")</f>
        <v>Female</v>
      </c>
    </row>
    <row r="2273" spans="1:15" x14ac:dyDescent="0.25">
      <c r="A2273" t="s">
        <v>2359</v>
      </c>
      <c r="B2273" t="s">
        <v>120</v>
      </c>
      <c r="C2273">
        <v>5</v>
      </c>
      <c r="D2273">
        <v>45.2</v>
      </c>
      <c r="E2273">
        <v>226</v>
      </c>
      <c r="F2273" s="3">
        <v>45741</v>
      </c>
      <c r="G2273" s="3">
        <v>45744</v>
      </c>
      <c r="H2273" t="s">
        <v>12</v>
      </c>
      <c r="I2273" t="s">
        <v>20</v>
      </c>
      <c r="J2273">
        <v>4</v>
      </c>
      <c r="K2273" t="s">
        <v>4</v>
      </c>
      <c r="L2273" t="s">
        <v>132</v>
      </c>
      <c r="M2273">
        <f>[1]!orders[[#This Row],[Ship Date]]-[1]!orders[[#This Row],[Order Date]]</f>
        <v>3</v>
      </c>
      <c r="N2273">
        <f>WEEKNUM([1]!orders[[#This Row],[Order Date]])</f>
        <v>13</v>
      </c>
      <c r="O2273" t="str" cm="1">
        <f t="array" ref="O2273">_xlfn.IFS([1]!orders[[#This Row],[Customer Gender]]="M","Male", [1]!orders[[#This Row],[Customer Gender]]="F","Female", [1]!orders[[#This Row],[Customer Gender]]="O","Other", TRUE,"Unknown")</f>
        <v>Female</v>
      </c>
    </row>
    <row r="2274" spans="1:15" x14ac:dyDescent="0.25">
      <c r="A2274" s="1" t="s">
        <v>2360</v>
      </c>
      <c r="B2274" s="1" t="s">
        <v>108</v>
      </c>
      <c r="C2274" s="1">
        <v>4</v>
      </c>
      <c r="D2274" s="1">
        <v>27.4</v>
      </c>
      <c r="E2274" s="1">
        <v>109.6</v>
      </c>
      <c r="F2274" s="2">
        <v>45741</v>
      </c>
      <c r="G2274" s="2">
        <v>45743</v>
      </c>
      <c r="H2274" s="1" t="s">
        <v>12</v>
      </c>
      <c r="I2274" s="1" t="s">
        <v>3</v>
      </c>
      <c r="J2274" s="1">
        <v>4</v>
      </c>
      <c r="K2274" s="1" t="s">
        <v>4</v>
      </c>
      <c r="L2274" s="1" t="s">
        <v>18</v>
      </c>
      <c r="M2274" s="1">
        <f>[1]!orders[[#This Row],[Ship Date]]-[1]!orders[[#This Row],[Order Date]]</f>
        <v>2</v>
      </c>
      <c r="N2274" s="1">
        <f>WEEKNUM([1]!orders[[#This Row],[Order Date]])</f>
        <v>13</v>
      </c>
      <c r="O2274" t="str" cm="1">
        <f t="array" ref="O2274">_xlfn.IFS([1]!orders[[#This Row],[Customer Gender]]="M","Male", [1]!orders[[#This Row],[Customer Gender]]="F","Female", [1]!orders[[#This Row],[Customer Gender]]="O","Other", TRUE,"Unknown")</f>
        <v>Female</v>
      </c>
    </row>
    <row r="2275" spans="1:15" x14ac:dyDescent="0.25">
      <c r="A2275" t="s">
        <v>2361</v>
      </c>
      <c r="B2275" t="s">
        <v>22</v>
      </c>
      <c r="C2275">
        <v>5</v>
      </c>
      <c r="D2275">
        <v>34.1</v>
      </c>
      <c r="E2275">
        <v>170.5</v>
      </c>
      <c r="F2275" s="3">
        <v>45741</v>
      </c>
      <c r="G2275" s="3">
        <v>45743</v>
      </c>
      <c r="H2275" t="s">
        <v>8</v>
      </c>
      <c r="I2275" t="s">
        <v>3</v>
      </c>
      <c r="J2275">
        <v>5</v>
      </c>
      <c r="K2275" t="s">
        <v>4</v>
      </c>
      <c r="L2275" t="s">
        <v>18</v>
      </c>
      <c r="M2275">
        <f>[1]!orders[[#This Row],[Ship Date]]-[1]!orders[[#This Row],[Order Date]]</f>
        <v>2</v>
      </c>
      <c r="N2275">
        <f>WEEKNUM([1]!orders[[#This Row],[Order Date]])</f>
        <v>13</v>
      </c>
      <c r="O2275" t="str" cm="1">
        <f t="array" ref="O2275">_xlfn.IFS([1]!orders[[#This Row],[Customer Gender]]="M","Male", [1]!orders[[#This Row],[Customer Gender]]="F","Female", [1]!orders[[#This Row],[Customer Gender]]="O","Other", TRUE,"Unknown")</f>
        <v>Male</v>
      </c>
    </row>
    <row r="2276" spans="1:15" x14ac:dyDescent="0.25">
      <c r="A2276" s="1" t="s">
        <v>2362</v>
      </c>
      <c r="B2276" s="1" t="s">
        <v>1</v>
      </c>
      <c r="C2276" s="1">
        <v>2</v>
      </c>
      <c r="D2276" s="1">
        <v>26</v>
      </c>
      <c r="E2276" s="1">
        <v>52</v>
      </c>
      <c r="F2276" s="2">
        <v>45741</v>
      </c>
      <c r="G2276" s="2">
        <v>45743</v>
      </c>
      <c r="H2276" s="1" t="s">
        <v>8</v>
      </c>
      <c r="I2276" s="1" t="s">
        <v>25</v>
      </c>
      <c r="J2276" s="1">
        <v>3</v>
      </c>
      <c r="K2276" s="1" t="s">
        <v>4</v>
      </c>
      <c r="L2276" s="1" t="s">
        <v>18</v>
      </c>
      <c r="M2276" s="1">
        <f>[1]!orders[[#This Row],[Ship Date]]-[1]!orders[[#This Row],[Order Date]]</f>
        <v>2</v>
      </c>
      <c r="N2276" s="1">
        <f>WEEKNUM([1]!orders[[#This Row],[Order Date]])</f>
        <v>13</v>
      </c>
      <c r="O2276" t="str" cm="1">
        <f t="array" ref="O2276">_xlfn.IFS([1]!orders[[#This Row],[Customer Gender]]="M","Male", [1]!orders[[#This Row],[Customer Gender]]="F","Female", [1]!orders[[#This Row],[Customer Gender]]="O","Other", TRUE,"Unknown")</f>
        <v>Male</v>
      </c>
    </row>
    <row r="2277" spans="1:15" x14ac:dyDescent="0.25">
      <c r="A2277" t="s">
        <v>2363</v>
      </c>
      <c r="B2277" t="s">
        <v>29</v>
      </c>
      <c r="C2277">
        <v>7</v>
      </c>
      <c r="D2277">
        <v>19.399999999999999</v>
      </c>
      <c r="E2277">
        <v>135.79999999999998</v>
      </c>
      <c r="F2277" s="3">
        <v>45741</v>
      </c>
      <c r="G2277" s="3">
        <v>45743</v>
      </c>
      <c r="H2277" t="s">
        <v>2</v>
      </c>
      <c r="I2277" t="s">
        <v>20</v>
      </c>
      <c r="J2277">
        <v>3</v>
      </c>
      <c r="K2277" t="s">
        <v>4</v>
      </c>
      <c r="L2277" t="s">
        <v>18</v>
      </c>
      <c r="M2277">
        <f>[1]!orders[[#This Row],[Ship Date]]-[1]!orders[[#This Row],[Order Date]]</f>
        <v>2</v>
      </c>
      <c r="N2277">
        <f>WEEKNUM([1]!orders[[#This Row],[Order Date]])</f>
        <v>13</v>
      </c>
      <c r="O2277" t="str" cm="1">
        <f t="array" ref="O2277">_xlfn.IFS([1]!orders[[#This Row],[Customer Gender]]="M","Male", [1]!orders[[#This Row],[Customer Gender]]="F","Female", [1]!orders[[#This Row],[Customer Gender]]="O","Other", TRUE,"Unknown")</f>
        <v>Unknown</v>
      </c>
    </row>
    <row r="2278" spans="1:15" x14ac:dyDescent="0.25">
      <c r="A2278" s="1" t="s">
        <v>2364</v>
      </c>
      <c r="B2278" s="1" t="s">
        <v>113</v>
      </c>
      <c r="C2278" s="1">
        <v>3</v>
      </c>
      <c r="D2278" s="1">
        <v>30.3</v>
      </c>
      <c r="E2278" s="1">
        <v>90.9</v>
      </c>
      <c r="F2278" s="2">
        <v>45741</v>
      </c>
      <c r="G2278" s="2">
        <v>45744</v>
      </c>
      <c r="H2278" s="1" t="s">
        <v>12</v>
      </c>
      <c r="I2278" s="1" t="s">
        <v>20</v>
      </c>
      <c r="J2278" s="1">
        <v>5</v>
      </c>
      <c r="K2278" s="1" t="s">
        <v>4</v>
      </c>
      <c r="L2278" s="1" t="s">
        <v>18</v>
      </c>
      <c r="M2278" s="1">
        <f>[1]!orders[[#This Row],[Ship Date]]-[1]!orders[[#This Row],[Order Date]]</f>
        <v>3</v>
      </c>
      <c r="N2278" s="1">
        <f>WEEKNUM([1]!orders[[#This Row],[Order Date]])</f>
        <v>13</v>
      </c>
      <c r="O2278" t="str" cm="1">
        <f t="array" ref="O2278">_xlfn.IFS([1]!orders[[#This Row],[Customer Gender]]="M","Male", [1]!orders[[#This Row],[Customer Gender]]="F","Female", [1]!orders[[#This Row],[Customer Gender]]="O","Other", TRUE,"Unknown")</f>
        <v>Female</v>
      </c>
    </row>
    <row r="2279" spans="1:15" x14ac:dyDescent="0.25">
      <c r="A2279" t="s">
        <v>2365</v>
      </c>
      <c r="B2279" t="s">
        <v>11</v>
      </c>
      <c r="C2279">
        <v>3</v>
      </c>
      <c r="D2279">
        <v>101.4</v>
      </c>
      <c r="E2279">
        <v>304.20000000000005</v>
      </c>
      <c r="F2279" s="3">
        <v>45741</v>
      </c>
      <c r="G2279" s="3">
        <v>45742</v>
      </c>
      <c r="H2279" t="s">
        <v>8</v>
      </c>
      <c r="I2279" t="s">
        <v>3</v>
      </c>
      <c r="J2279">
        <v>4</v>
      </c>
      <c r="K2279" t="s">
        <v>4</v>
      </c>
      <c r="L2279" t="s">
        <v>18</v>
      </c>
      <c r="M2279">
        <f>[1]!orders[[#This Row],[Ship Date]]-[1]!orders[[#This Row],[Order Date]]</f>
        <v>1</v>
      </c>
      <c r="N2279">
        <f>WEEKNUM([1]!orders[[#This Row],[Order Date]])</f>
        <v>13</v>
      </c>
      <c r="O2279" t="str" cm="1">
        <f t="array" ref="O2279">_xlfn.IFS([1]!orders[[#This Row],[Customer Gender]]="M","Male", [1]!orders[[#This Row],[Customer Gender]]="F","Female", [1]!orders[[#This Row],[Customer Gender]]="O","Other", TRUE,"Unknown")</f>
        <v>Male</v>
      </c>
    </row>
    <row r="2280" spans="1:15" x14ac:dyDescent="0.25">
      <c r="A2280" s="1" t="s">
        <v>2366</v>
      </c>
      <c r="B2280" s="1" t="s">
        <v>15</v>
      </c>
      <c r="C2280" s="1">
        <v>5</v>
      </c>
      <c r="D2280" s="1">
        <v>55.5</v>
      </c>
      <c r="E2280" s="1">
        <v>277.5</v>
      </c>
      <c r="F2280" s="2">
        <v>45741</v>
      </c>
      <c r="G2280" s="2">
        <v>45744</v>
      </c>
      <c r="H2280" s="1" t="s">
        <v>8</v>
      </c>
      <c r="I2280" s="1" t="s">
        <v>20</v>
      </c>
      <c r="J2280" s="1">
        <v>4</v>
      </c>
      <c r="K2280" s="1" t="s">
        <v>4</v>
      </c>
      <c r="L2280" s="1" t="s">
        <v>171</v>
      </c>
      <c r="M2280" s="1">
        <f>[1]!orders[[#This Row],[Ship Date]]-[1]!orders[[#This Row],[Order Date]]</f>
        <v>3</v>
      </c>
      <c r="N2280" s="1">
        <f>WEEKNUM([1]!orders[[#This Row],[Order Date]])</f>
        <v>13</v>
      </c>
      <c r="O2280" t="str" cm="1">
        <f t="array" ref="O2280">_xlfn.IFS([1]!orders[[#This Row],[Customer Gender]]="M","Male", [1]!orders[[#This Row],[Customer Gender]]="F","Female", [1]!orders[[#This Row],[Customer Gender]]="O","Other", TRUE,"Unknown")</f>
        <v>Male</v>
      </c>
    </row>
    <row r="2281" spans="1:15" x14ac:dyDescent="0.25">
      <c r="A2281" t="s">
        <v>2367</v>
      </c>
      <c r="B2281" t="s">
        <v>29</v>
      </c>
      <c r="C2281">
        <v>1</v>
      </c>
      <c r="D2281">
        <v>23.1</v>
      </c>
      <c r="E2281">
        <v>23.1</v>
      </c>
      <c r="F2281" s="3">
        <v>45741</v>
      </c>
      <c r="G2281" s="3">
        <v>45742</v>
      </c>
      <c r="H2281" t="s">
        <v>8</v>
      </c>
      <c r="I2281" t="s">
        <v>3</v>
      </c>
      <c r="J2281">
        <v>4</v>
      </c>
      <c r="K2281" t="s">
        <v>4</v>
      </c>
      <c r="L2281" t="s">
        <v>173</v>
      </c>
      <c r="M2281">
        <f>[1]!orders[[#This Row],[Ship Date]]-[1]!orders[[#This Row],[Order Date]]</f>
        <v>1</v>
      </c>
      <c r="N2281">
        <f>WEEKNUM([1]!orders[[#This Row],[Order Date]])</f>
        <v>13</v>
      </c>
      <c r="O2281" t="str" cm="1">
        <f t="array" ref="O2281">_xlfn.IFS([1]!orders[[#This Row],[Customer Gender]]="M","Male", [1]!orders[[#This Row],[Customer Gender]]="F","Female", [1]!orders[[#This Row],[Customer Gender]]="O","Other", TRUE,"Unknown")</f>
        <v>Male</v>
      </c>
    </row>
    <row r="2282" spans="1:15" x14ac:dyDescent="0.25">
      <c r="A2282" s="1" t="s">
        <v>2368</v>
      </c>
      <c r="B2282" s="1" t="s">
        <v>131</v>
      </c>
      <c r="C2282" s="1">
        <v>2</v>
      </c>
      <c r="D2282" s="1">
        <v>38.9</v>
      </c>
      <c r="E2282" s="1">
        <v>77.8</v>
      </c>
      <c r="F2282" s="2">
        <v>45741</v>
      </c>
      <c r="G2282" s="2">
        <v>45742</v>
      </c>
      <c r="H2282" s="1" t="s">
        <v>8</v>
      </c>
      <c r="I2282" s="1" t="s">
        <v>25</v>
      </c>
      <c r="J2282" s="1">
        <v>4</v>
      </c>
      <c r="K2282" s="1" t="s">
        <v>4</v>
      </c>
      <c r="L2282" s="1" t="s">
        <v>173</v>
      </c>
      <c r="M2282" s="1">
        <f>[1]!orders[[#This Row],[Ship Date]]-[1]!orders[[#This Row],[Order Date]]</f>
        <v>1</v>
      </c>
      <c r="N2282" s="1">
        <f>WEEKNUM([1]!orders[[#This Row],[Order Date]])</f>
        <v>13</v>
      </c>
      <c r="O2282" t="str" cm="1">
        <f t="array" ref="O2282">_xlfn.IFS([1]!orders[[#This Row],[Customer Gender]]="M","Male", [1]!orders[[#This Row],[Customer Gender]]="F","Female", [1]!orders[[#This Row],[Customer Gender]]="O","Other", TRUE,"Unknown")</f>
        <v>Male</v>
      </c>
    </row>
    <row r="2283" spans="1:15" x14ac:dyDescent="0.25">
      <c r="A2283" t="s">
        <v>2369</v>
      </c>
      <c r="B2283" t="s">
        <v>24</v>
      </c>
      <c r="C2283">
        <v>9</v>
      </c>
      <c r="D2283">
        <v>116.3</v>
      </c>
      <c r="E2283">
        <v>1046.7</v>
      </c>
      <c r="F2283" s="3">
        <v>45741</v>
      </c>
      <c r="G2283" s="3">
        <v>45745</v>
      </c>
      <c r="H2283" t="s">
        <v>12</v>
      </c>
      <c r="I2283" t="s">
        <v>3</v>
      </c>
      <c r="J2283">
        <v>4</v>
      </c>
      <c r="K2283" t="s">
        <v>4</v>
      </c>
      <c r="L2283" t="s">
        <v>37</v>
      </c>
      <c r="M2283">
        <f>[1]!orders[[#This Row],[Ship Date]]-[1]!orders[[#This Row],[Order Date]]</f>
        <v>4</v>
      </c>
      <c r="N2283">
        <f>WEEKNUM([1]!orders[[#This Row],[Order Date]])</f>
        <v>13</v>
      </c>
      <c r="O2283" t="str" cm="1">
        <f t="array" ref="O2283">_xlfn.IFS([1]!orders[[#This Row],[Customer Gender]]="M","Male", [1]!orders[[#This Row],[Customer Gender]]="F","Female", [1]!orders[[#This Row],[Customer Gender]]="O","Other", TRUE,"Unknown")</f>
        <v>Female</v>
      </c>
    </row>
    <row r="2284" spans="1:15" x14ac:dyDescent="0.25">
      <c r="A2284" s="1" t="s">
        <v>2370</v>
      </c>
      <c r="B2284" s="1" t="s">
        <v>113</v>
      </c>
      <c r="C2284" s="1">
        <v>9</v>
      </c>
      <c r="D2284" s="1">
        <v>64.099999999999994</v>
      </c>
      <c r="E2284" s="1">
        <v>576.9</v>
      </c>
      <c r="F2284" s="2">
        <v>45741</v>
      </c>
      <c r="G2284" s="2">
        <v>45741</v>
      </c>
      <c r="H2284" s="1" t="s">
        <v>12</v>
      </c>
      <c r="I2284" s="1" t="s">
        <v>3</v>
      </c>
      <c r="J2284" s="1">
        <v>5</v>
      </c>
      <c r="K2284" s="1" t="s">
        <v>4</v>
      </c>
      <c r="L2284" s="1" t="s">
        <v>40</v>
      </c>
      <c r="M2284" s="1">
        <f>[1]!orders[[#This Row],[Ship Date]]-[1]!orders[[#This Row],[Order Date]]</f>
        <v>0</v>
      </c>
      <c r="N2284" s="1">
        <f>WEEKNUM([1]!orders[[#This Row],[Order Date]])</f>
        <v>13</v>
      </c>
      <c r="O2284" t="str" cm="1">
        <f t="array" ref="O2284">_xlfn.IFS([1]!orders[[#This Row],[Customer Gender]]="M","Male", [1]!orders[[#This Row],[Customer Gender]]="F","Female", [1]!orders[[#This Row],[Customer Gender]]="O","Other", TRUE,"Unknown")</f>
        <v>Female</v>
      </c>
    </row>
    <row r="2285" spans="1:15" x14ac:dyDescent="0.25">
      <c r="A2285" t="s">
        <v>2371</v>
      </c>
      <c r="B2285" t="s">
        <v>11</v>
      </c>
      <c r="C2285">
        <v>6</v>
      </c>
      <c r="D2285">
        <v>109.2</v>
      </c>
      <c r="E2285">
        <v>655.20000000000005</v>
      </c>
      <c r="F2285" s="3">
        <v>45741</v>
      </c>
      <c r="G2285" s="3">
        <v>45743</v>
      </c>
      <c r="H2285" t="s">
        <v>8</v>
      </c>
      <c r="I2285" t="s">
        <v>3</v>
      </c>
      <c r="J2285">
        <v>3</v>
      </c>
      <c r="K2285" t="s">
        <v>4</v>
      </c>
      <c r="L2285" t="s">
        <v>47</v>
      </c>
      <c r="M2285">
        <f>[1]!orders[[#This Row],[Ship Date]]-[1]!orders[[#This Row],[Order Date]]</f>
        <v>2</v>
      </c>
      <c r="N2285">
        <f>WEEKNUM([1]!orders[[#This Row],[Order Date]])</f>
        <v>13</v>
      </c>
      <c r="O2285" t="str" cm="1">
        <f t="array" ref="O2285">_xlfn.IFS([1]!orders[[#This Row],[Customer Gender]]="M","Male", [1]!orders[[#This Row],[Customer Gender]]="F","Female", [1]!orders[[#This Row],[Customer Gender]]="O","Other", TRUE,"Unknown")</f>
        <v>Male</v>
      </c>
    </row>
    <row r="2286" spans="1:15" x14ac:dyDescent="0.25">
      <c r="A2286" s="1" t="s">
        <v>2372</v>
      </c>
      <c r="B2286" s="1" t="s">
        <v>39</v>
      </c>
      <c r="C2286" s="1">
        <v>5</v>
      </c>
      <c r="D2286" s="1">
        <v>23.2</v>
      </c>
      <c r="E2286" s="1">
        <v>116</v>
      </c>
      <c r="F2286" s="2">
        <v>45742</v>
      </c>
      <c r="G2286" s="2">
        <v>45743</v>
      </c>
      <c r="H2286" s="1" t="s">
        <v>8</v>
      </c>
      <c r="I2286" s="1" t="s">
        <v>3</v>
      </c>
      <c r="J2286" s="1">
        <v>3</v>
      </c>
      <c r="K2286" s="1" t="s">
        <v>4</v>
      </c>
      <c r="L2286" s="1" t="s">
        <v>47</v>
      </c>
      <c r="M2286" s="1">
        <f>[1]!orders[[#This Row],[Ship Date]]-[1]!orders[[#This Row],[Order Date]]</f>
        <v>1</v>
      </c>
      <c r="N2286" s="1">
        <f>WEEKNUM([1]!orders[[#This Row],[Order Date]])</f>
        <v>13</v>
      </c>
      <c r="O2286" t="str" cm="1">
        <f t="array" ref="O2286">_xlfn.IFS([1]!orders[[#This Row],[Customer Gender]]="M","Male", [1]!orders[[#This Row],[Customer Gender]]="F","Female", [1]!orders[[#This Row],[Customer Gender]]="O","Other", TRUE,"Unknown")</f>
        <v>Male</v>
      </c>
    </row>
    <row r="2287" spans="1:15" x14ac:dyDescent="0.25">
      <c r="A2287" t="s">
        <v>2373</v>
      </c>
      <c r="B2287" t="s">
        <v>131</v>
      </c>
      <c r="C2287">
        <v>6</v>
      </c>
      <c r="D2287">
        <v>81.2</v>
      </c>
      <c r="E2287">
        <v>487.20000000000005</v>
      </c>
      <c r="F2287" s="3">
        <v>45742</v>
      </c>
      <c r="G2287" s="3">
        <v>45744</v>
      </c>
      <c r="H2287" t="s">
        <v>8</v>
      </c>
      <c r="I2287" t="s">
        <v>25</v>
      </c>
      <c r="J2287">
        <v>5</v>
      </c>
      <c r="K2287" t="s">
        <v>4</v>
      </c>
      <c r="L2287" t="s">
        <v>47</v>
      </c>
      <c r="M2287">
        <f>[1]!orders[[#This Row],[Ship Date]]-[1]!orders[[#This Row],[Order Date]]</f>
        <v>2</v>
      </c>
      <c r="N2287">
        <f>WEEKNUM([1]!orders[[#This Row],[Order Date]])</f>
        <v>13</v>
      </c>
      <c r="O2287" t="str" cm="1">
        <f t="array" ref="O2287">_xlfn.IFS([1]!orders[[#This Row],[Customer Gender]]="M","Male", [1]!orders[[#This Row],[Customer Gender]]="F","Female", [1]!orders[[#This Row],[Customer Gender]]="O","Other", TRUE,"Unknown")</f>
        <v>Male</v>
      </c>
    </row>
    <row r="2288" spans="1:15" x14ac:dyDescent="0.25">
      <c r="A2288" s="1" t="s">
        <v>2374</v>
      </c>
      <c r="B2288" s="1" t="s">
        <v>7</v>
      </c>
      <c r="C2288" s="1">
        <v>14</v>
      </c>
      <c r="D2288" s="1">
        <v>35.700000000000003</v>
      </c>
      <c r="E2288" s="1">
        <v>499.80000000000007</v>
      </c>
      <c r="F2288" s="2">
        <v>45742</v>
      </c>
      <c r="G2288" s="2">
        <v>45743</v>
      </c>
      <c r="H2288" s="1" t="s">
        <v>8</v>
      </c>
      <c r="I2288" s="1" t="s">
        <v>36</v>
      </c>
      <c r="J2288" s="1">
        <v>4</v>
      </c>
      <c r="K2288" s="1" t="s">
        <v>4</v>
      </c>
      <c r="L2288" s="1" t="s">
        <v>47</v>
      </c>
      <c r="M2288" s="1">
        <f>[1]!orders[[#This Row],[Ship Date]]-[1]!orders[[#This Row],[Order Date]]</f>
        <v>1</v>
      </c>
      <c r="N2288" s="1">
        <f>WEEKNUM([1]!orders[[#This Row],[Order Date]])</f>
        <v>13</v>
      </c>
      <c r="O2288" t="str" cm="1">
        <f t="array" ref="O2288">_xlfn.IFS([1]!orders[[#This Row],[Customer Gender]]="M","Male", [1]!orders[[#This Row],[Customer Gender]]="F","Female", [1]!orders[[#This Row],[Customer Gender]]="O","Other", TRUE,"Unknown")</f>
        <v>Male</v>
      </c>
    </row>
    <row r="2289" spans="1:15" x14ac:dyDescent="0.25">
      <c r="A2289" t="s">
        <v>2375</v>
      </c>
      <c r="B2289" t="s">
        <v>27</v>
      </c>
      <c r="C2289">
        <v>2</v>
      </c>
      <c r="D2289">
        <v>44.5</v>
      </c>
      <c r="E2289">
        <v>89</v>
      </c>
      <c r="F2289" s="3">
        <v>45742</v>
      </c>
      <c r="G2289" s="3">
        <v>45745</v>
      </c>
      <c r="H2289" t="s">
        <v>8</v>
      </c>
      <c r="I2289" t="s">
        <v>55</v>
      </c>
      <c r="J2289">
        <v>4</v>
      </c>
      <c r="K2289" t="s">
        <v>4</v>
      </c>
      <c r="L2289" t="s">
        <v>57</v>
      </c>
      <c r="M2289">
        <f>[1]!orders[[#This Row],[Ship Date]]-[1]!orders[[#This Row],[Order Date]]</f>
        <v>3</v>
      </c>
      <c r="N2289">
        <f>WEEKNUM([1]!orders[[#This Row],[Order Date]])</f>
        <v>13</v>
      </c>
      <c r="O2289" t="str" cm="1">
        <f t="array" ref="O2289">_xlfn.IFS([1]!orders[[#This Row],[Customer Gender]]="M","Male", [1]!orders[[#This Row],[Customer Gender]]="F","Female", [1]!orders[[#This Row],[Customer Gender]]="O","Other", TRUE,"Unknown")</f>
        <v>Male</v>
      </c>
    </row>
    <row r="2290" spans="1:15" x14ac:dyDescent="0.25">
      <c r="A2290" s="1" t="s">
        <v>2376</v>
      </c>
      <c r="B2290" s="1" t="s">
        <v>7</v>
      </c>
      <c r="C2290" s="1">
        <v>5</v>
      </c>
      <c r="D2290" s="1">
        <v>32</v>
      </c>
      <c r="E2290" s="1">
        <v>160</v>
      </c>
      <c r="F2290" s="2">
        <v>45742</v>
      </c>
      <c r="G2290" s="2">
        <v>45744</v>
      </c>
      <c r="H2290" s="1" t="s">
        <v>74</v>
      </c>
      <c r="I2290" s="1" t="s">
        <v>20</v>
      </c>
      <c r="J2290" s="1">
        <v>3</v>
      </c>
      <c r="K2290" s="1" t="s">
        <v>4</v>
      </c>
      <c r="L2290" s="1" t="s">
        <v>57</v>
      </c>
      <c r="M2290" s="1">
        <f>[1]!orders[[#This Row],[Ship Date]]-[1]!orders[[#This Row],[Order Date]]</f>
        <v>2</v>
      </c>
      <c r="N2290" s="1">
        <f>WEEKNUM([1]!orders[[#This Row],[Order Date]])</f>
        <v>13</v>
      </c>
      <c r="O2290" t="str" cm="1">
        <f t="array" ref="O2290">_xlfn.IFS([1]!orders[[#This Row],[Customer Gender]]="M","Male", [1]!orders[[#This Row],[Customer Gender]]="F","Female", [1]!orders[[#This Row],[Customer Gender]]="O","Other", TRUE,"Unknown")</f>
        <v>Other</v>
      </c>
    </row>
    <row r="2291" spans="1:15" x14ac:dyDescent="0.25">
      <c r="A2291" t="s">
        <v>2377</v>
      </c>
      <c r="B2291" t="s">
        <v>29</v>
      </c>
      <c r="C2291">
        <v>1</v>
      </c>
      <c r="D2291">
        <v>25.7</v>
      </c>
      <c r="E2291">
        <v>25.7</v>
      </c>
      <c r="F2291" s="3">
        <v>45742</v>
      </c>
      <c r="G2291" s="3">
        <v>45743</v>
      </c>
      <c r="H2291" t="s">
        <v>8</v>
      </c>
      <c r="I2291" t="s">
        <v>3</v>
      </c>
      <c r="J2291">
        <v>4</v>
      </c>
      <c r="K2291" t="s">
        <v>4</v>
      </c>
      <c r="L2291" t="s">
        <v>59</v>
      </c>
      <c r="M2291">
        <f>[1]!orders[[#This Row],[Ship Date]]-[1]!orders[[#This Row],[Order Date]]</f>
        <v>1</v>
      </c>
      <c r="N2291">
        <f>WEEKNUM([1]!orders[[#This Row],[Order Date]])</f>
        <v>13</v>
      </c>
      <c r="O2291" t="str" cm="1">
        <f t="array" ref="O2291">_xlfn.IFS([1]!orders[[#This Row],[Customer Gender]]="M","Male", [1]!orders[[#This Row],[Customer Gender]]="F","Female", [1]!orders[[#This Row],[Customer Gender]]="O","Other", TRUE,"Unknown")</f>
        <v>Male</v>
      </c>
    </row>
    <row r="2292" spans="1:15" x14ac:dyDescent="0.25">
      <c r="A2292" s="1" t="s">
        <v>2378</v>
      </c>
      <c r="B2292" s="1" t="s">
        <v>113</v>
      </c>
      <c r="C2292" s="1">
        <v>3</v>
      </c>
      <c r="D2292" s="1">
        <v>65.599999999999994</v>
      </c>
      <c r="E2292" s="1">
        <v>196.79999999999998</v>
      </c>
      <c r="F2292" s="2">
        <v>45742</v>
      </c>
      <c r="G2292" s="2">
        <v>45748</v>
      </c>
      <c r="H2292" s="1" t="s">
        <v>8</v>
      </c>
      <c r="I2292" s="1" t="s">
        <v>3</v>
      </c>
      <c r="J2292" s="1">
        <v>4</v>
      </c>
      <c r="K2292" s="1" t="s">
        <v>4</v>
      </c>
      <c r="L2292" s="1" t="s">
        <v>62</v>
      </c>
      <c r="M2292" s="1">
        <f>[1]!orders[[#This Row],[Ship Date]]-[1]!orders[[#This Row],[Order Date]]</f>
        <v>6</v>
      </c>
      <c r="N2292" s="1">
        <f>WEEKNUM([1]!orders[[#This Row],[Order Date]])</f>
        <v>13</v>
      </c>
      <c r="O2292" t="str" cm="1">
        <f t="array" ref="O2292">_xlfn.IFS([1]!orders[[#This Row],[Customer Gender]]="M","Male", [1]!orders[[#This Row],[Customer Gender]]="F","Female", [1]!orders[[#This Row],[Customer Gender]]="O","Other", TRUE,"Unknown")</f>
        <v>Male</v>
      </c>
    </row>
    <row r="2293" spans="1:15" x14ac:dyDescent="0.25">
      <c r="A2293" t="s">
        <v>2379</v>
      </c>
      <c r="B2293" t="s">
        <v>7</v>
      </c>
      <c r="C2293">
        <v>4</v>
      </c>
      <c r="D2293">
        <v>52.1</v>
      </c>
      <c r="E2293">
        <v>208.4</v>
      </c>
      <c r="F2293" s="3">
        <v>45742</v>
      </c>
      <c r="G2293" s="3">
        <v>45743</v>
      </c>
      <c r="H2293" t="s">
        <v>12</v>
      </c>
      <c r="I2293" t="s">
        <v>3</v>
      </c>
      <c r="J2293">
        <v>5</v>
      </c>
      <c r="K2293" t="s">
        <v>4</v>
      </c>
      <c r="L2293" t="s">
        <v>62</v>
      </c>
      <c r="M2293">
        <f>[1]!orders[[#This Row],[Ship Date]]-[1]!orders[[#This Row],[Order Date]]</f>
        <v>1</v>
      </c>
      <c r="N2293">
        <f>WEEKNUM([1]!orders[[#This Row],[Order Date]])</f>
        <v>13</v>
      </c>
      <c r="O2293" t="str" cm="1">
        <f t="array" ref="O2293">_xlfn.IFS([1]!orders[[#This Row],[Customer Gender]]="M","Male", [1]!orders[[#This Row],[Customer Gender]]="F","Female", [1]!orders[[#This Row],[Customer Gender]]="O","Other", TRUE,"Unknown")</f>
        <v>Female</v>
      </c>
    </row>
    <row r="2294" spans="1:15" x14ac:dyDescent="0.25">
      <c r="A2294" s="1" t="s">
        <v>2380</v>
      </c>
      <c r="B2294" s="1" t="s">
        <v>29</v>
      </c>
      <c r="C2294" s="1">
        <v>1</v>
      </c>
      <c r="D2294" s="1">
        <v>31</v>
      </c>
      <c r="E2294" s="1">
        <v>31</v>
      </c>
      <c r="F2294" s="2">
        <v>45742</v>
      </c>
      <c r="G2294" s="2">
        <v>45743</v>
      </c>
      <c r="H2294" s="1" t="s">
        <v>8</v>
      </c>
      <c r="I2294" s="1" t="s">
        <v>3</v>
      </c>
      <c r="J2294" s="1">
        <v>3</v>
      </c>
      <c r="K2294" s="1" t="s">
        <v>4</v>
      </c>
      <c r="L2294" s="1" t="s">
        <v>95</v>
      </c>
      <c r="M2294" s="1">
        <f>[1]!orders[[#This Row],[Ship Date]]-[1]!orders[[#This Row],[Order Date]]</f>
        <v>1</v>
      </c>
      <c r="N2294" s="1">
        <f>WEEKNUM([1]!orders[[#This Row],[Order Date]])</f>
        <v>13</v>
      </c>
      <c r="O2294" t="str" cm="1">
        <f t="array" ref="O2294">_xlfn.IFS([1]!orders[[#This Row],[Customer Gender]]="M","Male", [1]!orders[[#This Row],[Customer Gender]]="F","Female", [1]!orders[[#This Row],[Customer Gender]]="O","Other", TRUE,"Unknown")</f>
        <v>Male</v>
      </c>
    </row>
    <row r="2295" spans="1:15" x14ac:dyDescent="0.25">
      <c r="A2295" t="s">
        <v>2381</v>
      </c>
      <c r="B2295" t="s">
        <v>29</v>
      </c>
      <c r="C2295">
        <v>1</v>
      </c>
      <c r="D2295">
        <v>32</v>
      </c>
      <c r="E2295">
        <v>32</v>
      </c>
      <c r="F2295" s="3">
        <v>45742</v>
      </c>
      <c r="G2295" s="3">
        <v>45744</v>
      </c>
      <c r="H2295" t="s">
        <v>74</v>
      </c>
      <c r="I2295" t="s">
        <v>36</v>
      </c>
      <c r="J2295">
        <v>3</v>
      </c>
      <c r="K2295" t="s">
        <v>4</v>
      </c>
      <c r="L2295" t="s">
        <v>277</v>
      </c>
      <c r="M2295">
        <f>[1]!orders[[#This Row],[Ship Date]]-[1]!orders[[#This Row],[Order Date]]</f>
        <v>2</v>
      </c>
      <c r="N2295">
        <f>WEEKNUM([1]!orders[[#This Row],[Order Date]])</f>
        <v>13</v>
      </c>
      <c r="O2295" t="str" cm="1">
        <f t="array" ref="O2295">_xlfn.IFS([1]!orders[[#This Row],[Customer Gender]]="M","Male", [1]!orders[[#This Row],[Customer Gender]]="F","Female", [1]!orders[[#This Row],[Customer Gender]]="O","Other", TRUE,"Unknown")</f>
        <v>Other</v>
      </c>
    </row>
    <row r="2296" spans="1:15" x14ac:dyDescent="0.25">
      <c r="A2296" s="1" t="s">
        <v>2382</v>
      </c>
      <c r="B2296" s="1" t="s">
        <v>113</v>
      </c>
      <c r="C2296" s="1">
        <v>4</v>
      </c>
      <c r="D2296" s="1">
        <v>58.3</v>
      </c>
      <c r="E2296" s="1">
        <v>233.2</v>
      </c>
      <c r="F2296" s="2">
        <v>45742</v>
      </c>
      <c r="G2296" s="2">
        <v>45746</v>
      </c>
      <c r="H2296" s="1" t="s">
        <v>8</v>
      </c>
      <c r="I2296" s="1" t="s">
        <v>20</v>
      </c>
      <c r="J2296" s="1">
        <v>2</v>
      </c>
      <c r="K2296" s="1" t="s">
        <v>4</v>
      </c>
      <c r="L2296" s="1" t="s">
        <v>98</v>
      </c>
      <c r="M2296" s="1">
        <f>[1]!orders[[#This Row],[Ship Date]]-[1]!orders[[#This Row],[Order Date]]</f>
        <v>4</v>
      </c>
      <c r="N2296" s="1">
        <f>WEEKNUM([1]!orders[[#This Row],[Order Date]])</f>
        <v>13</v>
      </c>
      <c r="O2296" t="str" cm="1">
        <f t="array" ref="O2296">_xlfn.IFS([1]!orders[[#This Row],[Customer Gender]]="M","Male", [1]!orders[[#This Row],[Customer Gender]]="F","Female", [1]!orders[[#This Row],[Customer Gender]]="O","Other", TRUE,"Unknown")</f>
        <v>Male</v>
      </c>
    </row>
    <row r="2297" spans="1:15" x14ac:dyDescent="0.25">
      <c r="A2297" t="s">
        <v>2383</v>
      </c>
      <c r="B2297" t="s">
        <v>29</v>
      </c>
      <c r="C2297">
        <v>3</v>
      </c>
      <c r="D2297">
        <v>31</v>
      </c>
      <c r="E2297">
        <v>93</v>
      </c>
      <c r="F2297" s="3">
        <v>45742</v>
      </c>
      <c r="G2297" s="3">
        <v>45744</v>
      </c>
      <c r="H2297" t="s">
        <v>12</v>
      </c>
      <c r="I2297" t="s">
        <v>25</v>
      </c>
      <c r="J2297">
        <v>2</v>
      </c>
      <c r="K2297" t="s">
        <v>4</v>
      </c>
      <c r="L2297" t="s">
        <v>67</v>
      </c>
      <c r="M2297">
        <f>[1]!orders[[#This Row],[Ship Date]]-[1]!orders[[#This Row],[Order Date]]</f>
        <v>2</v>
      </c>
      <c r="N2297">
        <f>WEEKNUM([1]!orders[[#This Row],[Order Date]])</f>
        <v>13</v>
      </c>
      <c r="O2297" t="str" cm="1">
        <f t="array" ref="O2297">_xlfn.IFS([1]!orders[[#This Row],[Customer Gender]]="M","Male", [1]!orders[[#This Row],[Customer Gender]]="F","Female", [1]!orders[[#This Row],[Customer Gender]]="O","Other", TRUE,"Unknown")</f>
        <v>Female</v>
      </c>
    </row>
    <row r="2298" spans="1:15" x14ac:dyDescent="0.25">
      <c r="A2298" s="1" t="s">
        <v>2384</v>
      </c>
      <c r="B2298" s="1" t="s">
        <v>15</v>
      </c>
      <c r="C2298" s="1">
        <v>1</v>
      </c>
      <c r="D2298" s="1">
        <v>40.299999999999997</v>
      </c>
      <c r="E2298" s="1">
        <v>40.299999999999997</v>
      </c>
      <c r="F2298" s="2">
        <v>45742</v>
      </c>
      <c r="G2298" s="2">
        <v>45743</v>
      </c>
      <c r="H2298" s="1" t="s">
        <v>8</v>
      </c>
      <c r="I2298" s="1" t="s">
        <v>20</v>
      </c>
      <c r="J2298" s="1">
        <v>5</v>
      </c>
      <c r="K2298" s="1" t="s">
        <v>4</v>
      </c>
      <c r="L2298" s="1" t="s">
        <v>1368</v>
      </c>
      <c r="M2298" s="1">
        <f>[1]!orders[[#This Row],[Ship Date]]-[1]!orders[[#This Row],[Order Date]]</f>
        <v>1</v>
      </c>
      <c r="N2298" s="1">
        <f>WEEKNUM([1]!orders[[#This Row],[Order Date]])</f>
        <v>13</v>
      </c>
      <c r="O2298" t="str" cm="1">
        <f t="array" ref="O2298">_xlfn.IFS([1]!orders[[#This Row],[Customer Gender]]="M","Male", [1]!orders[[#This Row],[Customer Gender]]="F","Female", [1]!orders[[#This Row],[Customer Gender]]="O","Other", TRUE,"Unknown")</f>
        <v>Male</v>
      </c>
    </row>
    <row r="2299" spans="1:15" x14ac:dyDescent="0.25">
      <c r="A2299" t="s">
        <v>2385</v>
      </c>
      <c r="B2299" t="s">
        <v>24</v>
      </c>
      <c r="C2299">
        <v>3</v>
      </c>
      <c r="D2299">
        <v>47.3</v>
      </c>
      <c r="E2299">
        <v>141.89999999999998</v>
      </c>
      <c r="F2299" s="3">
        <v>45742</v>
      </c>
      <c r="G2299" s="3">
        <v>45744</v>
      </c>
      <c r="H2299" t="s">
        <v>8</v>
      </c>
      <c r="I2299" t="s">
        <v>55</v>
      </c>
      <c r="J2299">
        <v>5</v>
      </c>
      <c r="K2299" t="s">
        <v>4</v>
      </c>
      <c r="L2299" t="s">
        <v>13</v>
      </c>
      <c r="M2299">
        <f>[1]!orders[[#This Row],[Ship Date]]-[1]!orders[[#This Row],[Order Date]]</f>
        <v>2</v>
      </c>
      <c r="N2299">
        <f>WEEKNUM([1]!orders[[#This Row],[Order Date]])</f>
        <v>13</v>
      </c>
      <c r="O2299" t="str" cm="1">
        <f t="array" ref="O2299">_xlfn.IFS([1]!orders[[#This Row],[Customer Gender]]="M","Male", [1]!orders[[#This Row],[Customer Gender]]="F","Female", [1]!orders[[#This Row],[Customer Gender]]="O","Other", TRUE,"Unknown")</f>
        <v>Male</v>
      </c>
    </row>
    <row r="2300" spans="1:15" x14ac:dyDescent="0.25">
      <c r="A2300" s="1" t="s">
        <v>2386</v>
      </c>
      <c r="B2300" s="1" t="s">
        <v>11</v>
      </c>
      <c r="C2300" s="1">
        <v>1</v>
      </c>
      <c r="D2300" s="1">
        <v>82.8</v>
      </c>
      <c r="E2300" s="1">
        <v>82.8</v>
      </c>
      <c r="F2300" s="2">
        <v>45742</v>
      </c>
      <c r="G2300" s="2">
        <v>45743</v>
      </c>
      <c r="H2300" s="1" t="s">
        <v>8</v>
      </c>
      <c r="I2300" s="1" t="s">
        <v>3</v>
      </c>
      <c r="J2300" s="1">
        <v>4</v>
      </c>
      <c r="K2300" s="1" t="s">
        <v>4</v>
      </c>
      <c r="L2300" s="1" t="s">
        <v>13</v>
      </c>
      <c r="M2300" s="1">
        <f>[1]!orders[[#This Row],[Ship Date]]-[1]!orders[[#This Row],[Order Date]]</f>
        <v>1</v>
      </c>
      <c r="N2300" s="1">
        <f>WEEKNUM([1]!orders[[#This Row],[Order Date]])</f>
        <v>13</v>
      </c>
      <c r="O2300" t="str" cm="1">
        <f t="array" ref="O2300">_xlfn.IFS([1]!orders[[#This Row],[Customer Gender]]="M","Male", [1]!orders[[#This Row],[Customer Gender]]="F","Female", [1]!orders[[#This Row],[Customer Gender]]="O","Other", TRUE,"Unknown")</f>
        <v>Male</v>
      </c>
    </row>
    <row r="2301" spans="1:15" x14ac:dyDescent="0.25">
      <c r="A2301" t="s">
        <v>2387</v>
      </c>
      <c r="B2301" t="s">
        <v>29</v>
      </c>
      <c r="C2301">
        <v>1</v>
      </c>
      <c r="D2301">
        <v>18.5</v>
      </c>
      <c r="E2301">
        <v>18.5</v>
      </c>
      <c r="F2301" s="3">
        <v>45742</v>
      </c>
      <c r="G2301" s="3">
        <v>45756</v>
      </c>
      <c r="H2301" t="s">
        <v>12</v>
      </c>
      <c r="I2301" t="s">
        <v>3</v>
      </c>
      <c r="J2301">
        <v>4</v>
      </c>
      <c r="K2301" t="s">
        <v>4</v>
      </c>
      <c r="L2301" t="s">
        <v>572</v>
      </c>
      <c r="M2301">
        <f>[1]!orders[[#This Row],[Ship Date]]-[1]!orders[[#This Row],[Order Date]]</f>
        <v>14</v>
      </c>
      <c r="N2301">
        <f>WEEKNUM([1]!orders[[#This Row],[Order Date]])</f>
        <v>13</v>
      </c>
      <c r="O2301" t="str" cm="1">
        <f t="array" ref="O2301">_xlfn.IFS([1]!orders[[#This Row],[Customer Gender]]="M","Male", [1]!orders[[#This Row],[Customer Gender]]="F","Female", [1]!orders[[#This Row],[Customer Gender]]="O","Other", TRUE,"Unknown")</f>
        <v>Female</v>
      </c>
    </row>
    <row r="2302" spans="1:15" x14ac:dyDescent="0.25">
      <c r="A2302" s="1" t="s">
        <v>2388</v>
      </c>
      <c r="B2302" s="1" t="s">
        <v>15</v>
      </c>
      <c r="C2302" s="1">
        <v>2</v>
      </c>
      <c r="D2302" s="1">
        <v>60.4</v>
      </c>
      <c r="E2302" s="1">
        <v>120.8</v>
      </c>
      <c r="F2302" s="2">
        <v>45742</v>
      </c>
      <c r="G2302" s="2">
        <v>45743</v>
      </c>
      <c r="H2302" s="1" t="s">
        <v>8</v>
      </c>
      <c r="I2302" s="1" t="s">
        <v>25</v>
      </c>
      <c r="J2302" s="1">
        <v>4</v>
      </c>
      <c r="K2302" s="1" t="s">
        <v>4</v>
      </c>
      <c r="L2302" s="1" t="s">
        <v>132</v>
      </c>
      <c r="M2302" s="1">
        <f>[1]!orders[[#This Row],[Ship Date]]-[1]!orders[[#This Row],[Order Date]]</f>
        <v>1</v>
      </c>
      <c r="N2302" s="1">
        <f>WEEKNUM([1]!orders[[#This Row],[Order Date]])</f>
        <v>13</v>
      </c>
      <c r="O2302" t="str" cm="1">
        <f t="array" ref="O2302">_xlfn.IFS([1]!orders[[#This Row],[Customer Gender]]="M","Male", [1]!orders[[#This Row],[Customer Gender]]="F","Female", [1]!orders[[#This Row],[Customer Gender]]="O","Other", TRUE,"Unknown")</f>
        <v>Male</v>
      </c>
    </row>
    <row r="2303" spans="1:15" x14ac:dyDescent="0.25">
      <c r="A2303" t="s">
        <v>2389</v>
      </c>
      <c r="B2303" t="s">
        <v>24</v>
      </c>
      <c r="C2303">
        <v>5</v>
      </c>
      <c r="D2303">
        <v>80.2</v>
      </c>
      <c r="E2303">
        <v>401</v>
      </c>
      <c r="F2303" s="3">
        <v>45742</v>
      </c>
      <c r="G2303" s="3">
        <v>45749</v>
      </c>
      <c r="H2303" t="s">
        <v>8</v>
      </c>
      <c r="I2303" t="s">
        <v>20</v>
      </c>
      <c r="J2303">
        <v>3</v>
      </c>
      <c r="K2303" t="s">
        <v>4</v>
      </c>
      <c r="L2303" t="s">
        <v>934</v>
      </c>
      <c r="M2303">
        <f>[1]!orders[[#This Row],[Ship Date]]-[1]!orders[[#This Row],[Order Date]]</f>
        <v>7</v>
      </c>
      <c r="N2303">
        <f>WEEKNUM([1]!orders[[#This Row],[Order Date]])</f>
        <v>13</v>
      </c>
      <c r="O2303" t="str" cm="1">
        <f t="array" ref="O2303">_xlfn.IFS([1]!orders[[#This Row],[Customer Gender]]="M","Male", [1]!orders[[#This Row],[Customer Gender]]="F","Female", [1]!orders[[#This Row],[Customer Gender]]="O","Other", TRUE,"Unknown")</f>
        <v>Male</v>
      </c>
    </row>
    <row r="2304" spans="1:15" x14ac:dyDescent="0.25">
      <c r="A2304" s="1" t="s">
        <v>2390</v>
      </c>
      <c r="B2304" s="1" t="s">
        <v>17</v>
      </c>
      <c r="C2304" s="1">
        <v>1</v>
      </c>
      <c r="D2304" s="1">
        <v>41.5</v>
      </c>
      <c r="E2304" s="1">
        <v>41.5</v>
      </c>
      <c r="F2304" s="2">
        <v>45742</v>
      </c>
      <c r="G2304" s="2">
        <v>45744</v>
      </c>
      <c r="H2304" s="1" t="s">
        <v>8</v>
      </c>
      <c r="I2304" s="1" t="s">
        <v>25</v>
      </c>
      <c r="J2304" s="1">
        <v>4</v>
      </c>
      <c r="K2304" s="1" t="s">
        <v>4</v>
      </c>
      <c r="L2304" s="1" t="s">
        <v>18</v>
      </c>
      <c r="M2304" s="1">
        <f>[1]!orders[[#This Row],[Ship Date]]-[1]!orders[[#This Row],[Order Date]]</f>
        <v>2</v>
      </c>
      <c r="N2304" s="1">
        <f>WEEKNUM([1]!orders[[#This Row],[Order Date]])</f>
        <v>13</v>
      </c>
      <c r="O2304" t="str" cm="1">
        <f t="array" ref="O2304">_xlfn.IFS([1]!orders[[#This Row],[Customer Gender]]="M","Male", [1]!orders[[#This Row],[Customer Gender]]="F","Female", [1]!orders[[#This Row],[Customer Gender]]="O","Other", TRUE,"Unknown")</f>
        <v>Male</v>
      </c>
    </row>
    <row r="2305" spans="1:15" x14ac:dyDescent="0.25">
      <c r="A2305" t="s">
        <v>2391</v>
      </c>
      <c r="B2305" t="s">
        <v>11</v>
      </c>
      <c r="C2305">
        <v>2</v>
      </c>
      <c r="D2305">
        <v>83.9</v>
      </c>
      <c r="E2305">
        <v>167.8</v>
      </c>
      <c r="F2305" s="3">
        <v>45742</v>
      </c>
      <c r="G2305" s="3">
        <v>45745</v>
      </c>
      <c r="H2305" t="s">
        <v>12</v>
      </c>
      <c r="I2305" t="s">
        <v>3</v>
      </c>
      <c r="J2305">
        <v>4</v>
      </c>
      <c r="K2305" t="s">
        <v>4</v>
      </c>
      <c r="L2305" t="s">
        <v>18</v>
      </c>
      <c r="M2305">
        <f>[1]!orders[[#This Row],[Ship Date]]-[1]!orders[[#This Row],[Order Date]]</f>
        <v>3</v>
      </c>
      <c r="N2305">
        <f>WEEKNUM([1]!orders[[#This Row],[Order Date]])</f>
        <v>13</v>
      </c>
      <c r="O2305" t="str" cm="1">
        <f t="array" ref="O2305">_xlfn.IFS([1]!orders[[#This Row],[Customer Gender]]="M","Male", [1]!orders[[#This Row],[Customer Gender]]="F","Female", [1]!orders[[#This Row],[Customer Gender]]="O","Other", TRUE,"Unknown")</f>
        <v>Female</v>
      </c>
    </row>
    <row r="2306" spans="1:15" x14ac:dyDescent="0.25">
      <c r="A2306" s="1" t="s">
        <v>2392</v>
      </c>
      <c r="B2306" s="1" t="s">
        <v>29</v>
      </c>
      <c r="C2306" s="1">
        <v>2</v>
      </c>
      <c r="D2306" s="1">
        <v>16.7</v>
      </c>
      <c r="E2306" s="1">
        <v>33.4</v>
      </c>
      <c r="F2306" s="2">
        <v>45742</v>
      </c>
      <c r="G2306" s="2">
        <v>45746</v>
      </c>
      <c r="H2306" s="1" t="s">
        <v>12</v>
      </c>
      <c r="I2306" s="1" t="s">
        <v>3</v>
      </c>
      <c r="J2306" s="1">
        <v>3</v>
      </c>
      <c r="K2306" s="1" t="s">
        <v>4</v>
      </c>
      <c r="L2306" s="1" t="s">
        <v>18</v>
      </c>
      <c r="M2306" s="1">
        <f>[1]!orders[[#This Row],[Ship Date]]-[1]!orders[[#This Row],[Order Date]]</f>
        <v>4</v>
      </c>
      <c r="N2306" s="1">
        <f>WEEKNUM([1]!orders[[#This Row],[Order Date]])</f>
        <v>13</v>
      </c>
      <c r="O2306" t="str" cm="1">
        <f t="array" ref="O2306">_xlfn.IFS([1]!orders[[#This Row],[Customer Gender]]="M","Male", [1]!orders[[#This Row],[Customer Gender]]="F","Female", [1]!orders[[#This Row],[Customer Gender]]="O","Other", TRUE,"Unknown")</f>
        <v>Female</v>
      </c>
    </row>
    <row r="2307" spans="1:15" x14ac:dyDescent="0.25">
      <c r="A2307" t="s">
        <v>2393</v>
      </c>
      <c r="B2307" t="s">
        <v>31</v>
      </c>
      <c r="C2307">
        <v>2</v>
      </c>
      <c r="D2307">
        <v>72.900000000000006</v>
      </c>
      <c r="E2307">
        <v>145.80000000000001</v>
      </c>
      <c r="F2307" s="3">
        <v>45742</v>
      </c>
      <c r="G2307" s="3">
        <v>45743</v>
      </c>
      <c r="H2307" t="s">
        <v>8</v>
      </c>
      <c r="I2307" t="s">
        <v>25</v>
      </c>
      <c r="J2307">
        <v>3</v>
      </c>
      <c r="K2307" t="s">
        <v>4</v>
      </c>
      <c r="L2307" t="s">
        <v>18</v>
      </c>
      <c r="M2307">
        <f>[1]!orders[[#This Row],[Ship Date]]-[1]!orders[[#This Row],[Order Date]]</f>
        <v>1</v>
      </c>
      <c r="N2307">
        <f>WEEKNUM([1]!orders[[#This Row],[Order Date]])</f>
        <v>13</v>
      </c>
      <c r="O2307" t="str" cm="1">
        <f t="array" ref="O2307">_xlfn.IFS([1]!orders[[#This Row],[Customer Gender]]="M","Male", [1]!orders[[#This Row],[Customer Gender]]="F","Female", [1]!orders[[#This Row],[Customer Gender]]="O","Other", TRUE,"Unknown")</f>
        <v>Male</v>
      </c>
    </row>
    <row r="2308" spans="1:15" x14ac:dyDescent="0.25">
      <c r="A2308" s="1" t="s">
        <v>2394</v>
      </c>
      <c r="B2308" s="1" t="s">
        <v>22</v>
      </c>
      <c r="C2308" s="1">
        <v>2</v>
      </c>
      <c r="D2308" s="1">
        <v>50.2</v>
      </c>
      <c r="E2308" s="1">
        <v>100.4</v>
      </c>
      <c r="F2308" s="2">
        <v>45742</v>
      </c>
      <c r="G2308" s="2">
        <v>45744</v>
      </c>
      <c r="H2308" s="1" t="s">
        <v>12</v>
      </c>
      <c r="I2308" s="1" t="s">
        <v>20</v>
      </c>
      <c r="J2308" s="1">
        <v>5</v>
      </c>
      <c r="K2308" s="1" t="s">
        <v>4</v>
      </c>
      <c r="L2308" s="1" t="s">
        <v>18</v>
      </c>
      <c r="M2308" s="1">
        <f>[1]!orders[[#This Row],[Ship Date]]-[1]!orders[[#This Row],[Order Date]]</f>
        <v>2</v>
      </c>
      <c r="N2308" s="1">
        <f>WEEKNUM([1]!orders[[#This Row],[Order Date]])</f>
        <v>13</v>
      </c>
      <c r="O2308" t="str" cm="1">
        <f t="array" ref="O2308">_xlfn.IFS([1]!orders[[#This Row],[Customer Gender]]="M","Male", [1]!orders[[#This Row],[Customer Gender]]="F","Female", [1]!orders[[#This Row],[Customer Gender]]="O","Other", TRUE,"Unknown")</f>
        <v>Female</v>
      </c>
    </row>
    <row r="2309" spans="1:15" x14ac:dyDescent="0.25">
      <c r="A2309" t="s">
        <v>2395</v>
      </c>
      <c r="B2309" t="s">
        <v>15</v>
      </c>
      <c r="C2309">
        <v>2</v>
      </c>
      <c r="D2309">
        <v>34.200000000000003</v>
      </c>
      <c r="E2309">
        <v>68.400000000000006</v>
      </c>
      <c r="F2309" s="3">
        <v>45742</v>
      </c>
      <c r="G2309" s="3">
        <v>45752</v>
      </c>
      <c r="H2309" t="s">
        <v>2</v>
      </c>
      <c r="I2309" t="s">
        <v>20</v>
      </c>
      <c r="J2309">
        <v>4</v>
      </c>
      <c r="K2309" t="s">
        <v>4</v>
      </c>
      <c r="L2309" t="s">
        <v>18</v>
      </c>
      <c r="M2309">
        <f>[1]!orders[[#This Row],[Ship Date]]-[1]!orders[[#This Row],[Order Date]]</f>
        <v>10</v>
      </c>
      <c r="N2309">
        <f>WEEKNUM([1]!orders[[#This Row],[Order Date]])</f>
        <v>13</v>
      </c>
      <c r="O2309" t="str" cm="1">
        <f t="array" ref="O2309">_xlfn.IFS([1]!orders[[#This Row],[Customer Gender]]="M","Male", [1]!orders[[#This Row],[Customer Gender]]="F","Female", [1]!orders[[#This Row],[Customer Gender]]="O","Other", TRUE,"Unknown")</f>
        <v>Unknown</v>
      </c>
    </row>
    <row r="2310" spans="1:15" x14ac:dyDescent="0.25">
      <c r="A2310" s="1" t="s">
        <v>2396</v>
      </c>
      <c r="B2310" s="1" t="s">
        <v>22</v>
      </c>
      <c r="C2310" s="1">
        <v>2</v>
      </c>
      <c r="D2310" s="1">
        <v>107.9</v>
      </c>
      <c r="E2310" s="1">
        <v>215.8</v>
      </c>
      <c r="F2310" s="2">
        <v>45742</v>
      </c>
      <c r="G2310" s="2">
        <v>45742</v>
      </c>
      <c r="H2310" s="1" t="s">
        <v>8</v>
      </c>
      <c r="I2310" s="1" t="s">
        <v>20</v>
      </c>
      <c r="J2310" s="1">
        <v>2</v>
      </c>
      <c r="K2310" s="1" t="s">
        <v>4</v>
      </c>
      <c r="L2310" s="1" t="s">
        <v>18</v>
      </c>
      <c r="M2310" s="1">
        <f>[1]!orders[[#This Row],[Ship Date]]-[1]!orders[[#This Row],[Order Date]]</f>
        <v>0</v>
      </c>
      <c r="N2310" s="1">
        <f>WEEKNUM([1]!orders[[#This Row],[Order Date]])</f>
        <v>13</v>
      </c>
      <c r="O2310" t="str" cm="1">
        <f t="array" ref="O2310">_xlfn.IFS([1]!orders[[#This Row],[Customer Gender]]="M","Male", [1]!orders[[#This Row],[Customer Gender]]="F","Female", [1]!orders[[#This Row],[Customer Gender]]="O","Other", TRUE,"Unknown")</f>
        <v>Male</v>
      </c>
    </row>
    <row r="2311" spans="1:15" x14ac:dyDescent="0.25">
      <c r="A2311" t="s">
        <v>2397</v>
      </c>
      <c r="B2311" t="s">
        <v>1</v>
      </c>
      <c r="C2311">
        <v>3</v>
      </c>
      <c r="D2311">
        <v>17.5</v>
      </c>
      <c r="E2311">
        <v>52.5</v>
      </c>
      <c r="F2311" s="3">
        <v>45742</v>
      </c>
      <c r="G2311" s="3">
        <v>45744</v>
      </c>
      <c r="H2311" t="s">
        <v>8</v>
      </c>
      <c r="I2311" t="s">
        <v>55</v>
      </c>
      <c r="J2311">
        <v>4</v>
      </c>
      <c r="K2311" t="s">
        <v>4</v>
      </c>
      <c r="L2311" t="s">
        <v>18</v>
      </c>
      <c r="M2311">
        <f>[1]!orders[[#This Row],[Ship Date]]-[1]!orders[[#This Row],[Order Date]]</f>
        <v>2</v>
      </c>
      <c r="N2311">
        <f>WEEKNUM([1]!orders[[#This Row],[Order Date]])</f>
        <v>13</v>
      </c>
      <c r="O2311" t="str" cm="1">
        <f t="array" ref="O2311">_xlfn.IFS([1]!orders[[#This Row],[Customer Gender]]="M","Male", [1]!orders[[#This Row],[Customer Gender]]="F","Female", [1]!orders[[#This Row],[Customer Gender]]="O","Other", TRUE,"Unknown")</f>
        <v>Male</v>
      </c>
    </row>
    <row r="2312" spans="1:15" x14ac:dyDescent="0.25">
      <c r="A2312" s="1" t="s">
        <v>2398</v>
      </c>
      <c r="B2312" s="1" t="s">
        <v>61</v>
      </c>
      <c r="C2312" s="1">
        <v>15</v>
      </c>
      <c r="D2312" s="1">
        <v>44.7</v>
      </c>
      <c r="E2312" s="1">
        <v>670.5</v>
      </c>
      <c r="F2312" s="2">
        <v>45742</v>
      </c>
      <c r="G2312" s="2">
        <v>45743</v>
      </c>
      <c r="H2312" s="1" t="s">
        <v>8</v>
      </c>
      <c r="I2312" s="1" t="s">
        <v>3</v>
      </c>
      <c r="J2312" s="1">
        <v>3</v>
      </c>
      <c r="K2312" s="1" t="s">
        <v>4</v>
      </c>
      <c r="L2312" s="1" t="s">
        <v>18</v>
      </c>
      <c r="M2312" s="1">
        <f>[1]!orders[[#This Row],[Ship Date]]-[1]!orders[[#This Row],[Order Date]]</f>
        <v>1</v>
      </c>
      <c r="N2312" s="1">
        <f>WEEKNUM([1]!orders[[#This Row],[Order Date]])</f>
        <v>13</v>
      </c>
      <c r="O2312" t="str" cm="1">
        <f t="array" ref="O2312">_xlfn.IFS([1]!orders[[#This Row],[Customer Gender]]="M","Male", [1]!orders[[#This Row],[Customer Gender]]="F","Female", [1]!orders[[#This Row],[Customer Gender]]="O","Other", TRUE,"Unknown")</f>
        <v>Male</v>
      </c>
    </row>
    <row r="2313" spans="1:15" x14ac:dyDescent="0.25">
      <c r="A2313" t="s">
        <v>2399</v>
      </c>
      <c r="B2313" t="s">
        <v>54</v>
      </c>
      <c r="C2313">
        <v>6</v>
      </c>
      <c r="D2313">
        <v>92.7</v>
      </c>
      <c r="E2313">
        <v>556.20000000000005</v>
      </c>
      <c r="F2313" s="3">
        <v>45742</v>
      </c>
      <c r="G2313" s="3">
        <v>45744</v>
      </c>
      <c r="H2313" t="s">
        <v>12</v>
      </c>
      <c r="I2313" t="s">
        <v>25</v>
      </c>
      <c r="J2313">
        <v>3</v>
      </c>
      <c r="K2313" t="s">
        <v>4</v>
      </c>
      <c r="L2313" t="s">
        <v>18</v>
      </c>
      <c r="M2313">
        <f>[1]!orders[[#This Row],[Ship Date]]-[1]!orders[[#This Row],[Order Date]]</f>
        <v>2</v>
      </c>
      <c r="N2313">
        <f>WEEKNUM([1]!orders[[#This Row],[Order Date]])</f>
        <v>13</v>
      </c>
      <c r="O2313" t="str" cm="1">
        <f t="array" ref="O2313">_xlfn.IFS([1]!orders[[#This Row],[Customer Gender]]="M","Male", [1]!orders[[#This Row],[Customer Gender]]="F","Female", [1]!orders[[#This Row],[Customer Gender]]="O","Other", TRUE,"Unknown")</f>
        <v>Female</v>
      </c>
    </row>
    <row r="2314" spans="1:15" x14ac:dyDescent="0.25">
      <c r="A2314" s="1" t="s">
        <v>2400</v>
      </c>
      <c r="B2314" s="1" t="s">
        <v>27</v>
      </c>
      <c r="C2314" s="1">
        <v>3</v>
      </c>
      <c r="D2314" s="1">
        <v>48.8</v>
      </c>
      <c r="E2314" s="1">
        <v>146.39999999999998</v>
      </c>
      <c r="F2314" s="2">
        <v>45742</v>
      </c>
      <c r="G2314" s="2">
        <v>45744</v>
      </c>
      <c r="H2314" s="1" t="s">
        <v>12</v>
      </c>
      <c r="I2314" s="1" t="s">
        <v>25</v>
      </c>
      <c r="J2314" s="1">
        <v>4</v>
      </c>
      <c r="K2314" s="1" t="s">
        <v>4</v>
      </c>
      <c r="L2314" s="1" t="s">
        <v>18</v>
      </c>
      <c r="M2314" s="1">
        <f>[1]!orders[[#This Row],[Ship Date]]-[1]!orders[[#This Row],[Order Date]]</f>
        <v>2</v>
      </c>
      <c r="N2314" s="1">
        <f>WEEKNUM([1]!orders[[#This Row],[Order Date]])</f>
        <v>13</v>
      </c>
      <c r="O2314" t="str" cm="1">
        <f t="array" ref="O2314">_xlfn.IFS([1]!orders[[#This Row],[Customer Gender]]="M","Male", [1]!orders[[#This Row],[Customer Gender]]="F","Female", [1]!orders[[#This Row],[Customer Gender]]="O","Other", TRUE,"Unknown")</f>
        <v>Female</v>
      </c>
    </row>
    <row r="2315" spans="1:15" x14ac:dyDescent="0.25">
      <c r="A2315" t="s">
        <v>2401</v>
      </c>
      <c r="B2315" t="s">
        <v>17</v>
      </c>
      <c r="C2315">
        <v>16</v>
      </c>
      <c r="D2315">
        <v>21.3</v>
      </c>
      <c r="E2315">
        <v>340.8</v>
      </c>
      <c r="F2315" s="3">
        <v>45742</v>
      </c>
      <c r="G2315" s="3">
        <v>45746</v>
      </c>
      <c r="H2315" t="s">
        <v>12</v>
      </c>
      <c r="I2315" t="s">
        <v>36</v>
      </c>
      <c r="J2315">
        <v>1</v>
      </c>
      <c r="K2315" t="s">
        <v>4</v>
      </c>
      <c r="L2315" t="s">
        <v>18</v>
      </c>
      <c r="M2315">
        <f>[1]!orders[[#This Row],[Ship Date]]-[1]!orders[[#This Row],[Order Date]]</f>
        <v>4</v>
      </c>
      <c r="N2315">
        <f>WEEKNUM([1]!orders[[#This Row],[Order Date]])</f>
        <v>13</v>
      </c>
      <c r="O2315" t="str" cm="1">
        <f t="array" ref="O2315">_xlfn.IFS([1]!orders[[#This Row],[Customer Gender]]="M","Male", [1]!orders[[#This Row],[Customer Gender]]="F","Female", [1]!orders[[#This Row],[Customer Gender]]="O","Other", TRUE,"Unknown")</f>
        <v>Female</v>
      </c>
    </row>
    <row r="2316" spans="1:15" x14ac:dyDescent="0.25">
      <c r="A2316" s="1" t="s">
        <v>2402</v>
      </c>
      <c r="B2316" s="1" t="s">
        <v>113</v>
      </c>
      <c r="C2316" s="1">
        <v>1</v>
      </c>
      <c r="D2316" s="1">
        <v>52.5</v>
      </c>
      <c r="E2316" s="1">
        <v>52.5</v>
      </c>
      <c r="F2316" s="2">
        <v>45742</v>
      </c>
      <c r="G2316" s="2">
        <v>45743</v>
      </c>
      <c r="H2316" s="1" t="s">
        <v>12</v>
      </c>
      <c r="I2316" s="1" t="s">
        <v>3</v>
      </c>
      <c r="J2316" s="1">
        <v>4</v>
      </c>
      <c r="K2316" s="1" t="s">
        <v>4</v>
      </c>
      <c r="L2316" s="1" t="s">
        <v>18</v>
      </c>
      <c r="M2316" s="1">
        <f>[1]!orders[[#This Row],[Ship Date]]-[1]!orders[[#This Row],[Order Date]]</f>
        <v>1</v>
      </c>
      <c r="N2316" s="1">
        <f>WEEKNUM([1]!orders[[#This Row],[Order Date]])</f>
        <v>13</v>
      </c>
      <c r="O2316" t="str" cm="1">
        <f t="array" ref="O2316">_xlfn.IFS([1]!orders[[#This Row],[Customer Gender]]="M","Male", [1]!orders[[#This Row],[Customer Gender]]="F","Female", [1]!orders[[#This Row],[Customer Gender]]="O","Other", TRUE,"Unknown")</f>
        <v>Female</v>
      </c>
    </row>
    <row r="2317" spans="1:15" x14ac:dyDescent="0.25">
      <c r="A2317" t="s">
        <v>2403</v>
      </c>
      <c r="B2317" t="s">
        <v>7</v>
      </c>
      <c r="C2317">
        <v>2</v>
      </c>
      <c r="D2317">
        <v>92.4</v>
      </c>
      <c r="E2317">
        <v>184.8</v>
      </c>
      <c r="F2317" s="3">
        <v>45742</v>
      </c>
      <c r="G2317" s="3">
        <v>45748</v>
      </c>
      <c r="H2317" t="s">
        <v>12</v>
      </c>
      <c r="I2317" t="s">
        <v>3</v>
      </c>
      <c r="J2317">
        <v>5</v>
      </c>
      <c r="K2317" t="s">
        <v>4</v>
      </c>
      <c r="L2317" t="s">
        <v>18</v>
      </c>
      <c r="M2317">
        <f>[1]!orders[[#This Row],[Ship Date]]-[1]!orders[[#This Row],[Order Date]]</f>
        <v>6</v>
      </c>
      <c r="N2317">
        <f>WEEKNUM([1]!orders[[#This Row],[Order Date]])</f>
        <v>13</v>
      </c>
      <c r="O2317" t="str" cm="1">
        <f t="array" ref="O2317">_xlfn.IFS([1]!orders[[#This Row],[Customer Gender]]="M","Male", [1]!orders[[#This Row],[Customer Gender]]="F","Female", [1]!orders[[#This Row],[Customer Gender]]="O","Other", TRUE,"Unknown")</f>
        <v>Female</v>
      </c>
    </row>
    <row r="2318" spans="1:15" x14ac:dyDescent="0.25">
      <c r="A2318" s="1" t="s">
        <v>2404</v>
      </c>
      <c r="B2318" s="1" t="s">
        <v>17</v>
      </c>
      <c r="C2318" s="1">
        <v>11</v>
      </c>
      <c r="D2318" s="1">
        <v>58.3</v>
      </c>
      <c r="E2318" s="1">
        <v>641.29999999999995</v>
      </c>
      <c r="F2318" s="2">
        <v>45742</v>
      </c>
      <c r="G2318" s="2">
        <v>45744</v>
      </c>
      <c r="H2318" s="1" t="s">
        <v>8</v>
      </c>
      <c r="I2318" s="1" t="s">
        <v>20</v>
      </c>
      <c r="J2318" s="1">
        <v>5</v>
      </c>
      <c r="K2318" s="1" t="s">
        <v>4</v>
      </c>
      <c r="L2318" s="1" t="s">
        <v>18</v>
      </c>
      <c r="M2318" s="1">
        <f>[1]!orders[[#This Row],[Ship Date]]-[1]!orders[[#This Row],[Order Date]]</f>
        <v>2</v>
      </c>
      <c r="N2318" s="1">
        <f>WEEKNUM([1]!orders[[#This Row],[Order Date]])</f>
        <v>13</v>
      </c>
      <c r="O2318" t="str" cm="1">
        <f t="array" ref="O2318">_xlfn.IFS([1]!orders[[#This Row],[Customer Gender]]="M","Male", [1]!orders[[#This Row],[Customer Gender]]="F","Female", [1]!orders[[#This Row],[Customer Gender]]="O","Other", TRUE,"Unknown")</f>
        <v>Male</v>
      </c>
    </row>
    <row r="2319" spans="1:15" x14ac:dyDescent="0.25">
      <c r="A2319" t="s">
        <v>2405</v>
      </c>
      <c r="B2319" t="s">
        <v>24</v>
      </c>
      <c r="C2319">
        <v>23</v>
      </c>
      <c r="D2319">
        <v>152.6</v>
      </c>
      <c r="E2319">
        <v>3509.7999999999997</v>
      </c>
      <c r="F2319" s="3">
        <v>45743</v>
      </c>
      <c r="G2319" s="3">
        <v>45745</v>
      </c>
      <c r="H2319" t="s">
        <v>2</v>
      </c>
      <c r="I2319" t="s">
        <v>3</v>
      </c>
      <c r="J2319">
        <v>4</v>
      </c>
      <c r="K2319" t="s">
        <v>4</v>
      </c>
      <c r="L2319" t="s">
        <v>18</v>
      </c>
      <c r="M2319">
        <f>[1]!orders[[#This Row],[Ship Date]]-[1]!orders[[#This Row],[Order Date]]</f>
        <v>2</v>
      </c>
      <c r="N2319">
        <f>WEEKNUM([1]!orders[[#This Row],[Order Date]])</f>
        <v>13</v>
      </c>
      <c r="O2319" t="str" cm="1">
        <f t="array" ref="O2319">_xlfn.IFS([1]!orders[[#This Row],[Customer Gender]]="M","Male", [1]!orders[[#This Row],[Customer Gender]]="F","Female", [1]!orders[[#This Row],[Customer Gender]]="O","Other", TRUE,"Unknown")</f>
        <v>Unknown</v>
      </c>
    </row>
    <row r="2320" spans="1:15" x14ac:dyDescent="0.25">
      <c r="A2320" s="1" t="s">
        <v>2406</v>
      </c>
      <c r="B2320" s="1" t="s">
        <v>29</v>
      </c>
      <c r="C2320" s="1">
        <v>2</v>
      </c>
      <c r="D2320" s="1">
        <v>26</v>
      </c>
      <c r="E2320" s="1">
        <v>52</v>
      </c>
      <c r="F2320" s="2">
        <v>45743</v>
      </c>
      <c r="G2320" s="2">
        <v>45743</v>
      </c>
      <c r="H2320" s="1" t="s">
        <v>2</v>
      </c>
      <c r="I2320" s="1" t="s">
        <v>3</v>
      </c>
      <c r="J2320" s="1">
        <v>3</v>
      </c>
      <c r="K2320" s="1" t="s">
        <v>4</v>
      </c>
      <c r="L2320" s="1" t="s">
        <v>18</v>
      </c>
      <c r="M2320" s="1">
        <f>[1]!orders[[#This Row],[Ship Date]]-[1]!orders[[#This Row],[Order Date]]</f>
        <v>0</v>
      </c>
      <c r="N2320" s="1">
        <f>WEEKNUM([1]!orders[[#This Row],[Order Date]])</f>
        <v>13</v>
      </c>
      <c r="O2320" t="str" cm="1">
        <f t="array" ref="O2320">_xlfn.IFS([1]!orders[[#This Row],[Customer Gender]]="M","Male", [1]!orders[[#This Row],[Customer Gender]]="F","Female", [1]!orders[[#This Row],[Customer Gender]]="O","Other", TRUE,"Unknown")</f>
        <v>Unknown</v>
      </c>
    </row>
    <row r="2321" spans="1:15" x14ac:dyDescent="0.25">
      <c r="A2321" t="s">
        <v>2407</v>
      </c>
      <c r="B2321" t="s">
        <v>7</v>
      </c>
      <c r="C2321">
        <v>4</v>
      </c>
      <c r="D2321">
        <v>33.1</v>
      </c>
      <c r="E2321">
        <v>132.4</v>
      </c>
      <c r="F2321" s="3">
        <v>45743</v>
      </c>
      <c r="G2321" s="3">
        <v>45743</v>
      </c>
      <c r="H2321" t="s">
        <v>8</v>
      </c>
      <c r="I2321" t="s">
        <v>25</v>
      </c>
      <c r="J2321">
        <v>2</v>
      </c>
      <c r="K2321" t="s">
        <v>4</v>
      </c>
      <c r="L2321" t="s">
        <v>37</v>
      </c>
      <c r="M2321">
        <f>[1]!orders[[#This Row],[Ship Date]]-[1]!orders[[#This Row],[Order Date]]</f>
        <v>0</v>
      </c>
      <c r="N2321">
        <f>WEEKNUM([1]!orders[[#This Row],[Order Date]])</f>
        <v>13</v>
      </c>
      <c r="O2321" t="str" cm="1">
        <f t="array" ref="O2321">_xlfn.IFS([1]!orders[[#This Row],[Customer Gender]]="M","Male", [1]!orders[[#This Row],[Customer Gender]]="F","Female", [1]!orders[[#This Row],[Customer Gender]]="O","Other", TRUE,"Unknown")</f>
        <v>Male</v>
      </c>
    </row>
    <row r="2322" spans="1:15" x14ac:dyDescent="0.25">
      <c r="A2322" s="1" t="s">
        <v>2408</v>
      </c>
      <c r="B2322" s="1" t="s">
        <v>131</v>
      </c>
      <c r="C2322" s="1">
        <v>1</v>
      </c>
      <c r="D2322" s="1">
        <v>51.4</v>
      </c>
      <c r="E2322" s="1">
        <v>51.4</v>
      </c>
      <c r="F2322" s="2">
        <v>45743</v>
      </c>
      <c r="G2322" s="2">
        <v>45745</v>
      </c>
      <c r="H2322" s="1" t="s">
        <v>12</v>
      </c>
      <c r="I2322" s="1" t="s">
        <v>20</v>
      </c>
      <c r="J2322" s="1">
        <v>3</v>
      </c>
      <c r="K2322" s="1" t="s">
        <v>4</v>
      </c>
      <c r="L2322" s="1" t="s">
        <v>37</v>
      </c>
      <c r="M2322" s="1">
        <f>[1]!orders[[#This Row],[Ship Date]]-[1]!orders[[#This Row],[Order Date]]</f>
        <v>2</v>
      </c>
      <c r="N2322" s="1">
        <f>WEEKNUM([1]!orders[[#This Row],[Order Date]])</f>
        <v>13</v>
      </c>
      <c r="O2322" t="str" cm="1">
        <f t="array" ref="O2322">_xlfn.IFS([1]!orders[[#This Row],[Customer Gender]]="M","Male", [1]!orders[[#This Row],[Customer Gender]]="F","Female", [1]!orders[[#This Row],[Customer Gender]]="O","Other", TRUE,"Unknown")</f>
        <v>Female</v>
      </c>
    </row>
    <row r="2323" spans="1:15" x14ac:dyDescent="0.25">
      <c r="A2323" t="s">
        <v>2409</v>
      </c>
      <c r="B2323" t="s">
        <v>29</v>
      </c>
      <c r="C2323">
        <v>2</v>
      </c>
      <c r="D2323">
        <v>30.2</v>
      </c>
      <c r="E2323">
        <v>60.4</v>
      </c>
      <c r="F2323" s="3">
        <v>45743</v>
      </c>
      <c r="G2323" s="3">
        <v>45744</v>
      </c>
      <c r="H2323" t="s">
        <v>12</v>
      </c>
      <c r="I2323" t="s">
        <v>25</v>
      </c>
      <c r="J2323">
        <v>5</v>
      </c>
      <c r="K2323" t="s">
        <v>4</v>
      </c>
      <c r="L2323" t="s">
        <v>40</v>
      </c>
      <c r="M2323">
        <f>[1]!orders[[#This Row],[Ship Date]]-[1]!orders[[#This Row],[Order Date]]</f>
        <v>1</v>
      </c>
      <c r="N2323">
        <f>WEEKNUM([1]!orders[[#This Row],[Order Date]])</f>
        <v>13</v>
      </c>
      <c r="O2323" t="str" cm="1">
        <f t="array" ref="O2323">_xlfn.IFS([1]!orders[[#This Row],[Customer Gender]]="M","Male", [1]!orders[[#This Row],[Customer Gender]]="F","Female", [1]!orders[[#This Row],[Customer Gender]]="O","Other", TRUE,"Unknown")</f>
        <v>Female</v>
      </c>
    </row>
    <row r="2324" spans="1:15" x14ac:dyDescent="0.25">
      <c r="A2324" s="1" t="s">
        <v>2410</v>
      </c>
      <c r="B2324" s="1" t="s">
        <v>11</v>
      </c>
      <c r="C2324" s="1">
        <v>6</v>
      </c>
      <c r="D2324" s="1">
        <v>97</v>
      </c>
      <c r="E2324" s="1">
        <v>582</v>
      </c>
      <c r="F2324" s="2">
        <v>45743</v>
      </c>
      <c r="G2324" s="2">
        <v>45747</v>
      </c>
      <c r="H2324" s="1" t="s">
        <v>12</v>
      </c>
      <c r="I2324" s="1" t="s">
        <v>3</v>
      </c>
      <c r="J2324" s="1">
        <v>5</v>
      </c>
      <c r="K2324" s="1" t="s">
        <v>4</v>
      </c>
      <c r="L2324" s="1" t="s">
        <v>44</v>
      </c>
      <c r="M2324" s="1">
        <f>[1]!orders[[#This Row],[Ship Date]]-[1]!orders[[#This Row],[Order Date]]</f>
        <v>4</v>
      </c>
      <c r="N2324" s="1">
        <f>WEEKNUM([1]!orders[[#This Row],[Order Date]])</f>
        <v>13</v>
      </c>
      <c r="O2324" t="str" cm="1">
        <f t="array" ref="O2324">_xlfn.IFS([1]!orders[[#This Row],[Customer Gender]]="M","Male", [1]!orders[[#This Row],[Customer Gender]]="F","Female", [1]!orders[[#This Row],[Customer Gender]]="O","Other", TRUE,"Unknown")</f>
        <v>Female</v>
      </c>
    </row>
    <row r="2325" spans="1:15" x14ac:dyDescent="0.25">
      <c r="A2325" t="s">
        <v>2411</v>
      </c>
      <c r="B2325" t="s">
        <v>11</v>
      </c>
      <c r="C2325">
        <v>1</v>
      </c>
      <c r="D2325">
        <v>76.900000000000006</v>
      </c>
      <c r="E2325">
        <v>76.900000000000006</v>
      </c>
      <c r="F2325" s="3">
        <v>45743</v>
      </c>
      <c r="G2325" s="3">
        <v>45744</v>
      </c>
      <c r="H2325" t="s">
        <v>8</v>
      </c>
      <c r="I2325" t="s">
        <v>20</v>
      </c>
      <c r="J2325">
        <v>5</v>
      </c>
      <c r="K2325" t="s">
        <v>4</v>
      </c>
      <c r="L2325" t="s">
        <v>47</v>
      </c>
      <c r="M2325">
        <f>[1]!orders[[#This Row],[Ship Date]]-[1]!orders[[#This Row],[Order Date]]</f>
        <v>1</v>
      </c>
      <c r="N2325">
        <f>WEEKNUM([1]!orders[[#This Row],[Order Date]])</f>
        <v>13</v>
      </c>
      <c r="O2325" t="str" cm="1">
        <f t="array" ref="O2325">_xlfn.IFS([1]!orders[[#This Row],[Customer Gender]]="M","Male", [1]!orders[[#This Row],[Customer Gender]]="F","Female", [1]!orders[[#This Row],[Customer Gender]]="O","Other", TRUE,"Unknown")</f>
        <v>Male</v>
      </c>
    </row>
    <row r="2326" spans="1:15" x14ac:dyDescent="0.25">
      <c r="A2326" s="1" t="s">
        <v>2412</v>
      </c>
      <c r="B2326" s="1" t="s">
        <v>27</v>
      </c>
      <c r="C2326" s="1">
        <v>6</v>
      </c>
      <c r="D2326" s="1">
        <v>36.1</v>
      </c>
      <c r="E2326" s="1">
        <v>216.60000000000002</v>
      </c>
      <c r="F2326" s="2">
        <v>45743</v>
      </c>
      <c r="G2326" s="2">
        <v>45747</v>
      </c>
      <c r="H2326" s="1" t="s">
        <v>12</v>
      </c>
      <c r="I2326" s="1" t="s">
        <v>3</v>
      </c>
      <c r="J2326" s="1">
        <v>4</v>
      </c>
      <c r="K2326" s="1" t="s">
        <v>4</v>
      </c>
      <c r="L2326" s="1" t="s">
        <v>47</v>
      </c>
      <c r="M2326" s="1">
        <f>[1]!orders[[#This Row],[Ship Date]]-[1]!orders[[#This Row],[Order Date]]</f>
        <v>4</v>
      </c>
      <c r="N2326" s="1">
        <f>WEEKNUM([1]!orders[[#This Row],[Order Date]])</f>
        <v>13</v>
      </c>
      <c r="O2326" t="str" cm="1">
        <f t="array" ref="O2326">_xlfn.IFS([1]!orders[[#This Row],[Customer Gender]]="M","Male", [1]!orders[[#This Row],[Customer Gender]]="F","Female", [1]!orders[[#This Row],[Customer Gender]]="O","Other", TRUE,"Unknown")</f>
        <v>Female</v>
      </c>
    </row>
    <row r="2327" spans="1:15" x14ac:dyDescent="0.25">
      <c r="A2327" t="s">
        <v>2413</v>
      </c>
      <c r="B2327" t="s">
        <v>7</v>
      </c>
      <c r="C2327">
        <v>7</v>
      </c>
      <c r="D2327">
        <v>34.4</v>
      </c>
      <c r="E2327">
        <v>240.79999999999998</v>
      </c>
      <c r="F2327" s="3">
        <v>45743</v>
      </c>
      <c r="G2327" s="3">
        <v>45743</v>
      </c>
      <c r="H2327" t="s">
        <v>12</v>
      </c>
      <c r="I2327" t="s">
        <v>25</v>
      </c>
      <c r="J2327">
        <v>3</v>
      </c>
      <c r="K2327" t="s">
        <v>4</v>
      </c>
      <c r="L2327" t="s">
        <v>62</v>
      </c>
      <c r="M2327">
        <f>[1]!orders[[#This Row],[Ship Date]]-[1]!orders[[#This Row],[Order Date]]</f>
        <v>0</v>
      </c>
      <c r="N2327">
        <f>WEEKNUM([1]!orders[[#This Row],[Order Date]])</f>
        <v>13</v>
      </c>
      <c r="O2327" t="str" cm="1">
        <f t="array" ref="O2327">_xlfn.IFS([1]!orders[[#This Row],[Customer Gender]]="M","Male", [1]!orders[[#This Row],[Customer Gender]]="F","Female", [1]!orders[[#This Row],[Customer Gender]]="O","Other", TRUE,"Unknown")</f>
        <v>Female</v>
      </c>
    </row>
    <row r="2328" spans="1:15" x14ac:dyDescent="0.25">
      <c r="A2328" s="1" t="s">
        <v>2414</v>
      </c>
      <c r="B2328" s="1" t="s">
        <v>7</v>
      </c>
      <c r="C2328" s="1">
        <v>28</v>
      </c>
      <c r="D2328" s="1">
        <v>53.4</v>
      </c>
      <c r="E2328" s="1">
        <v>1495.2</v>
      </c>
      <c r="F2328" s="2">
        <v>45743</v>
      </c>
      <c r="G2328" s="2">
        <v>45745</v>
      </c>
      <c r="H2328" s="1" t="s">
        <v>12</v>
      </c>
      <c r="I2328" s="1" t="s">
        <v>20</v>
      </c>
      <c r="J2328" s="1">
        <v>4</v>
      </c>
      <c r="K2328" s="1" t="s">
        <v>4</v>
      </c>
      <c r="L2328" s="1" t="s">
        <v>93</v>
      </c>
      <c r="M2328" s="1">
        <f>[1]!orders[[#This Row],[Ship Date]]-[1]!orders[[#This Row],[Order Date]]</f>
        <v>2</v>
      </c>
      <c r="N2328" s="1">
        <f>WEEKNUM([1]!orders[[#This Row],[Order Date]])</f>
        <v>13</v>
      </c>
      <c r="O2328" t="str" cm="1">
        <f t="array" ref="O2328">_xlfn.IFS([1]!orders[[#This Row],[Customer Gender]]="M","Male", [1]!orders[[#This Row],[Customer Gender]]="F","Female", [1]!orders[[#This Row],[Customer Gender]]="O","Other", TRUE,"Unknown")</f>
        <v>Female</v>
      </c>
    </row>
    <row r="2329" spans="1:15" x14ac:dyDescent="0.25">
      <c r="A2329" t="s">
        <v>2415</v>
      </c>
      <c r="B2329" t="s">
        <v>11</v>
      </c>
      <c r="C2329">
        <v>1</v>
      </c>
      <c r="D2329">
        <v>77.599999999999994</v>
      </c>
      <c r="E2329">
        <v>77.599999999999994</v>
      </c>
      <c r="F2329" s="3">
        <v>45743</v>
      </c>
      <c r="G2329" s="3">
        <v>45744</v>
      </c>
      <c r="H2329" t="s">
        <v>12</v>
      </c>
      <c r="I2329" t="s">
        <v>3</v>
      </c>
      <c r="J2329">
        <v>3</v>
      </c>
      <c r="K2329" t="s">
        <v>4</v>
      </c>
      <c r="L2329" t="s">
        <v>95</v>
      </c>
      <c r="M2329">
        <f>[1]!orders[[#This Row],[Ship Date]]-[1]!orders[[#This Row],[Order Date]]</f>
        <v>1</v>
      </c>
      <c r="N2329">
        <f>WEEKNUM([1]!orders[[#This Row],[Order Date]])</f>
        <v>13</v>
      </c>
      <c r="O2329" t="str" cm="1">
        <f t="array" ref="O2329">_xlfn.IFS([1]!orders[[#This Row],[Customer Gender]]="M","Male", [1]!orders[[#This Row],[Customer Gender]]="F","Female", [1]!orders[[#This Row],[Customer Gender]]="O","Other", TRUE,"Unknown")</f>
        <v>Female</v>
      </c>
    </row>
    <row r="2330" spans="1:15" x14ac:dyDescent="0.25">
      <c r="A2330" s="1" t="s">
        <v>2416</v>
      </c>
      <c r="B2330" s="1" t="s">
        <v>7</v>
      </c>
      <c r="C2330" s="1">
        <v>3</v>
      </c>
      <c r="D2330" s="1">
        <v>71.7</v>
      </c>
      <c r="E2330" s="1">
        <v>215.10000000000002</v>
      </c>
      <c r="F2330" s="2">
        <v>45743</v>
      </c>
      <c r="G2330" s="2">
        <v>45746</v>
      </c>
      <c r="H2330" s="1" t="s">
        <v>12</v>
      </c>
      <c r="I2330" s="1" t="s">
        <v>20</v>
      </c>
      <c r="J2330" s="1">
        <v>4</v>
      </c>
      <c r="K2330" s="1" t="s">
        <v>4</v>
      </c>
      <c r="L2330" s="1" t="s">
        <v>95</v>
      </c>
      <c r="M2330" s="1">
        <f>[1]!orders[[#This Row],[Ship Date]]-[1]!orders[[#This Row],[Order Date]]</f>
        <v>3</v>
      </c>
      <c r="N2330" s="1">
        <f>WEEKNUM([1]!orders[[#This Row],[Order Date]])</f>
        <v>13</v>
      </c>
      <c r="O2330" t="str" cm="1">
        <f t="array" ref="O2330">_xlfn.IFS([1]!orders[[#This Row],[Customer Gender]]="M","Male", [1]!orders[[#This Row],[Customer Gender]]="F","Female", [1]!orders[[#This Row],[Customer Gender]]="O","Other", TRUE,"Unknown")</f>
        <v>Female</v>
      </c>
    </row>
    <row r="2331" spans="1:15" x14ac:dyDescent="0.25">
      <c r="A2331" t="s">
        <v>2417</v>
      </c>
      <c r="B2331" t="s">
        <v>15</v>
      </c>
      <c r="C2331">
        <v>3</v>
      </c>
      <c r="D2331">
        <v>80.599999999999994</v>
      </c>
      <c r="E2331">
        <v>241.79999999999998</v>
      </c>
      <c r="F2331" s="3">
        <v>45743</v>
      </c>
      <c r="G2331" s="3">
        <v>45744</v>
      </c>
      <c r="H2331" t="s">
        <v>8</v>
      </c>
      <c r="I2331" t="s">
        <v>55</v>
      </c>
      <c r="J2331">
        <v>3</v>
      </c>
      <c r="K2331" t="s">
        <v>4</v>
      </c>
      <c r="L2331" t="s">
        <v>95</v>
      </c>
      <c r="M2331">
        <f>[1]!orders[[#This Row],[Ship Date]]-[1]!orders[[#This Row],[Order Date]]</f>
        <v>1</v>
      </c>
      <c r="N2331">
        <f>WEEKNUM([1]!orders[[#This Row],[Order Date]])</f>
        <v>13</v>
      </c>
      <c r="O2331" t="str" cm="1">
        <f t="array" ref="O2331">_xlfn.IFS([1]!orders[[#This Row],[Customer Gender]]="M","Male", [1]!orders[[#This Row],[Customer Gender]]="F","Female", [1]!orders[[#This Row],[Customer Gender]]="O","Other", TRUE,"Unknown")</f>
        <v>Male</v>
      </c>
    </row>
    <row r="2332" spans="1:15" x14ac:dyDescent="0.25">
      <c r="A2332" s="1" t="s">
        <v>2418</v>
      </c>
      <c r="B2332" s="1" t="s">
        <v>7</v>
      </c>
      <c r="C2332" s="1">
        <v>15</v>
      </c>
      <c r="D2332" s="1">
        <v>70</v>
      </c>
      <c r="E2332" s="1">
        <v>1050</v>
      </c>
      <c r="F2332" s="2">
        <v>45743</v>
      </c>
      <c r="G2332" s="2">
        <v>45745</v>
      </c>
      <c r="H2332" s="1" t="s">
        <v>8</v>
      </c>
      <c r="I2332" s="1" t="s">
        <v>3</v>
      </c>
      <c r="J2332" s="1">
        <v>4</v>
      </c>
      <c r="K2332" s="1" t="s">
        <v>4</v>
      </c>
      <c r="L2332" s="1" t="s">
        <v>98</v>
      </c>
      <c r="M2332" s="1">
        <f>[1]!orders[[#This Row],[Ship Date]]-[1]!orders[[#This Row],[Order Date]]</f>
        <v>2</v>
      </c>
      <c r="N2332" s="1">
        <f>WEEKNUM([1]!orders[[#This Row],[Order Date]])</f>
        <v>13</v>
      </c>
      <c r="O2332" t="str" cm="1">
        <f t="array" ref="O2332">_xlfn.IFS([1]!orders[[#This Row],[Customer Gender]]="M","Male", [1]!orders[[#This Row],[Customer Gender]]="F","Female", [1]!orders[[#This Row],[Customer Gender]]="O","Other", TRUE,"Unknown")</f>
        <v>Male</v>
      </c>
    </row>
    <row r="2333" spans="1:15" x14ac:dyDescent="0.25">
      <c r="A2333" t="s">
        <v>2419</v>
      </c>
      <c r="B2333" t="s">
        <v>17</v>
      </c>
      <c r="C2333">
        <v>6</v>
      </c>
      <c r="D2333">
        <v>27.3</v>
      </c>
      <c r="E2333">
        <v>163.80000000000001</v>
      </c>
      <c r="F2333" s="3">
        <v>45743</v>
      </c>
      <c r="G2333" s="3">
        <v>45745</v>
      </c>
      <c r="H2333" t="s">
        <v>12</v>
      </c>
      <c r="I2333" t="s">
        <v>20</v>
      </c>
      <c r="J2333">
        <v>3</v>
      </c>
      <c r="K2333" t="s">
        <v>4</v>
      </c>
      <c r="L2333" t="s">
        <v>13</v>
      </c>
      <c r="M2333">
        <f>[1]!orders[[#This Row],[Ship Date]]-[1]!orders[[#This Row],[Order Date]]</f>
        <v>2</v>
      </c>
      <c r="N2333">
        <f>WEEKNUM([1]!orders[[#This Row],[Order Date]])</f>
        <v>13</v>
      </c>
      <c r="O2333" t="str" cm="1">
        <f t="array" ref="O2333">_xlfn.IFS([1]!orders[[#This Row],[Customer Gender]]="M","Male", [1]!orders[[#This Row],[Customer Gender]]="F","Female", [1]!orders[[#This Row],[Customer Gender]]="O","Other", TRUE,"Unknown")</f>
        <v>Female</v>
      </c>
    </row>
    <row r="2334" spans="1:15" x14ac:dyDescent="0.25">
      <c r="A2334" s="1" t="s">
        <v>2420</v>
      </c>
      <c r="B2334" s="1" t="s">
        <v>29</v>
      </c>
      <c r="C2334" s="1">
        <v>14</v>
      </c>
      <c r="D2334" s="1">
        <v>37.6</v>
      </c>
      <c r="E2334" s="1">
        <v>526.4</v>
      </c>
      <c r="F2334" s="2">
        <v>45743</v>
      </c>
      <c r="G2334" s="2">
        <v>45745</v>
      </c>
      <c r="H2334" s="1" t="s">
        <v>8</v>
      </c>
      <c r="I2334" s="1" t="s">
        <v>20</v>
      </c>
      <c r="J2334" s="1">
        <v>4</v>
      </c>
      <c r="K2334" s="1" t="s">
        <v>4</v>
      </c>
      <c r="L2334" s="1" t="s">
        <v>18</v>
      </c>
      <c r="M2334" s="1">
        <f>[1]!orders[[#This Row],[Ship Date]]-[1]!orders[[#This Row],[Order Date]]</f>
        <v>2</v>
      </c>
      <c r="N2334" s="1">
        <f>WEEKNUM([1]!orders[[#This Row],[Order Date]])</f>
        <v>13</v>
      </c>
      <c r="O2334" t="str" cm="1">
        <f t="array" ref="O2334">_xlfn.IFS([1]!orders[[#This Row],[Customer Gender]]="M","Male", [1]!orders[[#This Row],[Customer Gender]]="F","Female", [1]!orders[[#This Row],[Customer Gender]]="O","Other", TRUE,"Unknown")</f>
        <v>Male</v>
      </c>
    </row>
    <row r="2335" spans="1:15" x14ac:dyDescent="0.25">
      <c r="A2335" t="s">
        <v>2421</v>
      </c>
      <c r="B2335" t="s">
        <v>22</v>
      </c>
      <c r="C2335">
        <v>3</v>
      </c>
      <c r="D2335">
        <v>36.6</v>
      </c>
      <c r="E2335">
        <v>109.80000000000001</v>
      </c>
      <c r="F2335" s="3">
        <v>45743</v>
      </c>
      <c r="G2335" s="3">
        <v>45745</v>
      </c>
      <c r="H2335" t="s">
        <v>12</v>
      </c>
      <c r="I2335" t="s">
        <v>55</v>
      </c>
      <c r="J2335">
        <v>4</v>
      </c>
      <c r="K2335" t="s">
        <v>4</v>
      </c>
      <c r="L2335" t="s">
        <v>18</v>
      </c>
      <c r="M2335">
        <f>[1]!orders[[#This Row],[Ship Date]]-[1]!orders[[#This Row],[Order Date]]</f>
        <v>2</v>
      </c>
      <c r="N2335">
        <f>WEEKNUM([1]!orders[[#This Row],[Order Date]])</f>
        <v>13</v>
      </c>
      <c r="O2335" t="str" cm="1">
        <f t="array" ref="O2335">_xlfn.IFS([1]!orders[[#This Row],[Customer Gender]]="M","Male", [1]!orders[[#This Row],[Customer Gender]]="F","Female", [1]!orders[[#This Row],[Customer Gender]]="O","Other", TRUE,"Unknown")</f>
        <v>Female</v>
      </c>
    </row>
    <row r="2336" spans="1:15" x14ac:dyDescent="0.25">
      <c r="A2336" s="1" t="s">
        <v>2422</v>
      </c>
      <c r="B2336" s="1" t="s">
        <v>61</v>
      </c>
      <c r="C2336" s="1">
        <v>1</v>
      </c>
      <c r="D2336" s="1">
        <v>55.2</v>
      </c>
      <c r="E2336" s="1">
        <v>55.2</v>
      </c>
      <c r="F2336" s="2">
        <v>45743</v>
      </c>
      <c r="G2336" s="2">
        <v>45745</v>
      </c>
      <c r="H2336" s="1" t="s">
        <v>8</v>
      </c>
      <c r="I2336" s="1" t="s">
        <v>36</v>
      </c>
      <c r="J2336" s="1">
        <v>4</v>
      </c>
      <c r="K2336" s="1" t="s">
        <v>4</v>
      </c>
      <c r="L2336" s="1" t="s">
        <v>18</v>
      </c>
      <c r="M2336" s="1">
        <f>[1]!orders[[#This Row],[Ship Date]]-[1]!orders[[#This Row],[Order Date]]</f>
        <v>2</v>
      </c>
      <c r="N2336" s="1">
        <f>WEEKNUM([1]!orders[[#This Row],[Order Date]])</f>
        <v>13</v>
      </c>
      <c r="O2336" t="str" cm="1">
        <f t="array" ref="O2336">_xlfn.IFS([1]!orders[[#This Row],[Customer Gender]]="M","Male", [1]!orders[[#This Row],[Customer Gender]]="F","Female", [1]!orders[[#This Row],[Customer Gender]]="O","Other", TRUE,"Unknown")</f>
        <v>Male</v>
      </c>
    </row>
    <row r="2337" spans="1:15" x14ac:dyDescent="0.25">
      <c r="A2337" t="s">
        <v>2423</v>
      </c>
      <c r="B2337" t="s">
        <v>24</v>
      </c>
      <c r="C2337">
        <v>5</v>
      </c>
      <c r="D2337">
        <v>59.9</v>
      </c>
      <c r="E2337">
        <v>299.5</v>
      </c>
      <c r="F2337" s="3">
        <v>45743</v>
      </c>
      <c r="G2337" s="3">
        <v>45745</v>
      </c>
      <c r="H2337" t="s">
        <v>8</v>
      </c>
      <c r="I2337" t="s">
        <v>3</v>
      </c>
      <c r="J2337">
        <v>4</v>
      </c>
      <c r="K2337" t="s">
        <v>4</v>
      </c>
      <c r="L2337" t="s">
        <v>18</v>
      </c>
      <c r="M2337">
        <f>[1]!orders[[#This Row],[Ship Date]]-[1]!orders[[#This Row],[Order Date]]</f>
        <v>2</v>
      </c>
      <c r="N2337">
        <f>WEEKNUM([1]!orders[[#This Row],[Order Date]])</f>
        <v>13</v>
      </c>
      <c r="O2337" t="str" cm="1">
        <f t="array" ref="O2337">_xlfn.IFS([1]!orders[[#This Row],[Customer Gender]]="M","Male", [1]!orders[[#This Row],[Customer Gender]]="F","Female", [1]!orders[[#This Row],[Customer Gender]]="O","Other", TRUE,"Unknown")</f>
        <v>Male</v>
      </c>
    </row>
    <row r="2338" spans="1:15" x14ac:dyDescent="0.25">
      <c r="A2338" s="1" t="s">
        <v>2424</v>
      </c>
      <c r="B2338" s="1" t="s">
        <v>24</v>
      </c>
      <c r="C2338" s="1">
        <v>1</v>
      </c>
      <c r="D2338" s="1">
        <v>44</v>
      </c>
      <c r="E2338" s="1">
        <v>44</v>
      </c>
      <c r="F2338" s="2">
        <v>45743</v>
      </c>
      <c r="G2338" s="2">
        <v>45744</v>
      </c>
      <c r="H2338" s="1" t="s">
        <v>12</v>
      </c>
      <c r="I2338" s="1" t="s">
        <v>25</v>
      </c>
      <c r="J2338" s="1">
        <v>5</v>
      </c>
      <c r="K2338" s="1" t="s">
        <v>4</v>
      </c>
      <c r="L2338" s="1" t="s">
        <v>18</v>
      </c>
      <c r="M2338" s="1">
        <f>[1]!orders[[#This Row],[Ship Date]]-[1]!orders[[#This Row],[Order Date]]</f>
        <v>1</v>
      </c>
      <c r="N2338" s="1">
        <f>WEEKNUM([1]!orders[[#This Row],[Order Date]])</f>
        <v>13</v>
      </c>
      <c r="O2338" t="str" cm="1">
        <f t="array" ref="O2338">_xlfn.IFS([1]!orders[[#This Row],[Customer Gender]]="M","Male", [1]!orders[[#This Row],[Customer Gender]]="F","Female", [1]!orders[[#This Row],[Customer Gender]]="O","Other", TRUE,"Unknown")</f>
        <v>Female</v>
      </c>
    </row>
    <row r="2339" spans="1:15" x14ac:dyDescent="0.25">
      <c r="A2339" t="s">
        <v>2425</v>
      </c>
      <c r="B2339" t="s">
        <v>31</v>
      </c>
      <c r="C2339">
        <v>2</v>
      </c>
      <c r="D2339">
        <v>68.7</v>
      </c>
      <c r="E2339">
        <v>137.4</v>
      </c>
      <c r="F2339" s="3">
        <v>45743</v>
      </c>
      <c r="G2339" s="3">
        <v>45743</v>
      </c>
      <c r="H2339" t="s">
        <v>8</v>
      </c>
      <c r="I2339" t="s">
        <v>3</v>
      </c>
      <c r="J2339">
        <v>4</v>
      </c>
      <c r="K2339" t="s">
        <v>4</v>
      </c>
      <c r="L2339" t="s">
        <v>18</v>
      </c>
      <c r="M2339">
        <f>[1]!orders[[#This Row],[Ship Date]]-[1]!orders[[#This Row],[Order Date]]</f>
        <v>0</v>
      </c>
      <c r="N2339">
        <f>WEEKNUM([1]!orders[[#This Row],[Order Date]])</f>
        <v>13</v>
      </c>
      <c r="O2339" t="str" cm="1">
        <f t="array" ref="O2339">_xlfn.IFS([1]!orders[[#This Row],[Customer Gender]]="M","Male", [1]!orders[[#This Row],[Customer Gender]]="F","Female", [1]!orders[[#This Row],[Customer Gender]]="O","Other", TRUE,"Unknown")</f>
        <v>Male</v>
      </c>
    </row>
    <row r="2340" spans="1:15" x14ac:dyDescent="0.25">
      <c r="A2340" s="1" t="s">
        <v>2426</v>
      </c>
      <c r="B2340" s="1" t="s">
        <v>22</v>
      </c>
      <c r="C2340" s="1">
        <v>2</v>
      </c>
      <c r="D2340" s="1">
        <v>61.6</v>
      </c>
      <c r="E2340" s="1">
        <v>123.2</v>
      </c>
      <c r="F2340" s="2">
        <v>45743</v>
      </c>
      <c r="G2340" s="2">
        <v>45747</v>
      </c>
      <c r="H2340" s="1" t="s">
        <v>8</v>
      </c>
      <c r="I2340" s="1" t="s">
        <v>36</v>
      </c>
      <c r="J2340" s="1">
        <v>3</v>
      </c>
      <c r="K2340" s="1" t="s">
        <v>4</v>
      </c>
      <c r="L2340" s="1" t="s">
        <v>18</v>
      </c>
      <c r="M2340" s="1">
        <f>[1]!orders[[#This Row],[Ship Date]]-[1]!orders[[#This Row],[Order Date]]</f>
        <v>4</v>
      </c>
      <c r="N2340" s="1">
        <f>WEEKNUM([1]!orders[[#This Row],[Order Date]])</f>
        <v>13</v>
      </c>
      <c r="O2340" t="str" cm="1">
        <f t="array" ref="O2340">_xlfn.IFS([1]!orders[[#This Row],[Customer Gender]]="M","Male", [1]!orders[[#This Row],[Customer Gender]]="F","Female", [1]!orders[[#This Row],[Customer Gender]]="O","Other", TRUE,"Unknown")</f>
        <v>Male</v>
      </c>
    </row>
    <row r="2341" spans="1:15" x14ac:dyDescent="0.25">
      <c r="A2341" t="s">
        <v>2427</v>
      </c>
      <c r="B2341" t="s">
        <v>27</v>
      </c>
      <c r="C2341">
        <v>7</v>
      </c>
      <c r="D2341">
        <v>51.8</v>
      </c>
      <c r="E2341">
        <v>362.59999999999997</v>
      </c>
      <c r="F2341" s="3">
        <v>45743</v>
      </c>
      <c r="G2341" s="3">
        <v>45744</v>
      </c>
      <c r="H2341" t="s">
        <v>8</v>
      </c>
      <c r="I2341" t="s">
        <v>3</v>
      </c>
      <c r="J2341">
        <v>4</v>
      </c>
      <c r="K2341" t="s">
        <v>4</v>
      </c>
      <c r="L2341" t="s">
        <v>18</v>
      </c>
      <c r="M2341">
        <f>[1]!orders[[#This Row],[Ship Date]]-[1]!orders[[#This Row],[Order Date]]</f>
        <v>1</v>
      </c>
      <c r="N2341">
        <f>WEEKNUM([1]!orders[[#This Row],[Order Date]])</f>
        <v>13</v>
      </c>
      <c r="O2341" t="str" cm="1">
        <f t="array" ref="O2341">_xlfn.IFS([1]!orders[[#This Row],[Customer Gender]]="M","Male", [1]!orders[[#This Row],[Customer Gender]]="F","Female", [1]!orders[[#This Row],[Customer Gender]]="O","Other", TRUE,"Unknown")</f>
        <v>Male</v>
      </c>
    </row>
    <row r="2342" spans="1:15" x14ac:dyDescent="0.25">
      <c r="A2342" s="1" t="s">
        <v>2428</v>
      </c>
      <c r="B2342" s="1" t="s">
        <v>29</v>
      </c>
      <c r="C2342" s="1">
        <v>10</v>
      </c>
      <c r="D2342" s="1">
        <v>46.2</v>
      </c>
      <c r="E2342" s="1">
        <v>462</v>
      </c>
      <c r="F2342" s="2">
        <v>45743</v>
      </c>
      <c r="G2342" s="2">
        <v>45745</v>
      </c>
      <c r="H2342" s="1" t="s">
        <v>8</v>
      </c>
      <c r="I2342" s="1" t="s">
        <v>20</v>
      </c>
      <c r="J2342" s="1">
        <v>5</v>
      </c>
      <c r="K2342" s="1" t="s">
        <v>4</v>
      </c>
      <c r="L2342" s="1" t="s">
        <v>18</v>
      </c>
      <c r="M2342" s="1">
        <f>[1]!orders[[#This Row],[Ship Date]]-[1]!orders[[#This Row],[Order Date]]</f>
        <v>2</v>
      </c>
      <c r="N2342" s="1">
        <f>WEEKNUM([1]!orders[[#This Row],[Order Date]])</f>
        <v>13</v>
      </c>
      <c r="O2342" t="str" cm="1">
        <f t="array" ref="O2342">_xlfn.IFS([1]!orders[[#This Row],[Customer Gender]]="M","Male", [1]!orders[[#This Row],[Customer Gender]]="F","Female", [1]!orders[[#This Row],[Customer Gender]]="O","Other", TRUE,"Unknown")</f>
        <v>Male</v>
      </c>
    </row>
    <row r="2343" spans="1:15" x14ac:dyDescent="0.25">
      <c r="A2343" t="s">
        <v>2429</v>
      </c>
      <c r="B2343" t="s">
        <v>1</v>
      </c>
      <c r="C2343">
        <v>2</v>
      </c>
      <c r="D2343">
        <v>19.399999999999999</v>
      </c>
      <c r="E2343">
        <v>38.799999999999997</v>
      </c>
      <c r="F2343" s="3">
        <v>45743</v>
      </c>
      <c r="G2343" s="3">
        <v>45745</v>
      </c>
      <c r="H2343" t="s">
        <v>12</v>
      </c>
      <c r="I2343" t="s">
        <v>20</v>
      </c>
      <c r="J2343">
        <v>5</v>
      </c>
      <c r="K2343" t="s">
        <v>4</v>
      </c>
      <c r="L2343" t="s">
        <v>40</v>
      </c>
      <c r="M2343">
        <f>[1]!orders[[#This Row],[Ship Date]]-[1]!orders[[#This Row],[Order Date]]</f>
        <v>2</v>
      </c>
      <c r="N2343">
        <f>WEEKNUM([1]!orders[[#This Row],[Order Date]])</f>
        <v>13</v>
      </c>
      <c r="O2343" t="str" cm="1">
        <f t="array" ref="O2343">_xlfn.IFS([1]!orders[[#This Row],[Customer Gender]]="M","Male", [1]!orders[[#This Row],[Customer Gender]]="F","Female", [1]!orders[[#This Row],[Customer Gender]]="O","Other", TRUE,"Unknown")</f>
        <v>Female</v>
      </c>
    </row>
    <row r="2344" spans="1:15" x14ac:dyDescent="0.25">
      <c r="A2344" s="1" t="s">
        <v>2430</v>
      </c>
      <c r="B2344" s="1" t="s">
        <v>52</v>
      </c>
      <c r="C2344" s="1">
        <v>3</v>
      </c>
      <c r="D2344" s="1">
        <v>52.1</v>
      </c>
      <c r="E2344" s="1">
        <v>156.30000000000001</v>
      </c>
      <c r="F2344" s="2">
        <v>45743</v>
      </c>
      <c r="G2344" s="2">
        <v>45746</v>
      </c>
      <c r="H2344" s="1" t="s">
        <v>8</v>
      </c>
      <c r="I2344" s="1" t="s">
        <v>36</v>
      </c>
      <c r="J2344" s="1">
        <v>1</v>
      </c>
      <c r="K2344" s="1" t="s">
        <v>4</v>
      </c>
      <c r="L2344" s="1" t="s">
        <v>40</v>
      </c>
      <c r="M2344" s="1">
        <f>[1]!orders[[#This Row],[Ship Date]]-[1]!orders[[#This Row],[Order Date]]</f>
        <v>3</v>
      </c>
      <c r="N2344" s="1">
        <f>WEEKNUM([1]!orders[[#This Row],[Order Date]])</f>
        <v>13</v>
      </c>
      <c r="O2344" t="str" cm="1">
        <f t="array" ref="O2344">_xlfn.IFS([1]!orders[[#This Row],[Customer Gender]]="M","Male", [1]!orders[[#This Row],[Customer Gender]]="F","Female", [1]!orders[[#This Row],[Customer Gender]]="O","Other", TRUE,"Unknown")</f>
        <v>Male</v>
      </c>
    </row>
    <row r="2345" spans="1:15" x14ac:dyDescent="0.25">
      <c r="A2345" t="s">
        <v>2431</v>
      </c>
      <c r="B2345" t="s">
        <v>24</v>
      </c>
      <c r="C2345">
        <v>1</v>
      </c>
      <c r="D2345">
        <v>74.900000000000006</v>
      </c>
      <c r="E2345">
        <v>74.900000000000006</v>
      </c>
      <c r="F2345" s="3">
        <v>45743</v>
      </c>
      <c r="G2345" s="3">
        <v>45745</v>
      </c>
      <c r="H2345" t="s">
        <v>74</v>
      </c>
      <c r="I2345" t="s">
        <v>3</v>
      </c>
      <c r="J2345">
        <v>4</v>
      </c>
      <c r="K2345" t="s">
        <v>4</v>
      </c>
      <c r="L2345" t="s">
        <v>44</v>
      </c>
      <c r="M2345">
        <f>[1]!orders[[#This Row],[Ship Date]]-[1]!orders[[#This Row],[Order Date]]</f>
        <v>2</v>
      </c>
      <c r="N2345">
        <f>WEEKNUM([1]!orders[[#This Row],[Order Date]])</f>
        <v>13</v>
      </c>
      <c r="O2345" t="str" cm="1">
        <f t="array" ref="O2345">_xlfn.IFS([1]!orders[[#This Row],[Customer Gender]]="M","Male", [1]!orders[[#This Row],[Customer Gender]]="F","Female", [1]!orders[[#This Row],[Customer Gender]]="O","Other", TRUE,"Unknown")</f>
        <v>Other</v>
      </c>
    </row>
    <row r="2346" spans="1:15" x14ac:dyDescent="0.25">
      <c r="A2346" s="1" t="s">
        <v>2432</v>
      </c>
      <c r="B2346" s="1" t="s">
        <v>31</v>
      </c>
      <c r="C2346" s="1">
        <v>7</v>
      </c>
      <c r="D2346" s="1">
        <v>49.6</v>
      </c>
      <c r="E2346" s="1">
        <v>347.2</v>
      </c>
      <c r="F2346" s="2">
        <v>45743</v>
      </c>
      <c r="G2346" s="2">
        <v>45746</v>
      </c>
      <c r="H2346" s="1" t="s">
        <v>12</v>
      </c>
      <c r="I2346" s="1" t="s">
        <v>55</v>
      </c>
      <c r="J2346" s="1">
        <v>4</v>
      </c>
      <c r="K2346" s="1" t="s">
        <v>4</v>
      </c>
      <c r="L2346" s="1" t="s">
        <v>47</v>
      </c>
      <c r="M2346" s="1">
        <f>[1]!orders[[#This Row],[Ship Date]]-[1]!orders[[#This Row],[Order Date]]</f>
        <v>3</v>
      </c>
      <c r="N2346" s="1">
        <f>WEEKNUM([1]!orders[[#This Row],[Order Date]])</f>
        <v>13</v>
      </c>
      <c r="O2346" t="str" cm="1">
        <f t="array" ref="O2346">_xlfn.IFS([1]!orders[[#This Row],[Customer Gender]]="M","Male", [1]!orders[[#This Row],[Customer Gender]]="F","Female", [1]!orders[[#This Row],[Customer Gender]]="O","Other", TRUE,"Unknown")</f>
        <v>Female</v>
      </c>
    </row>
    <row r="2347" spans="1:15" x14ac:dyDescent="0.25">
      <c r="A2347" t="s">
        <v>2433</v>
      </c>
      <c r="B2347" t="s">
        <v>113</v>
      </c>
      <c r="C2347">
        <v>4</v>
      </c>
      <c r="D2347">
        <v>82.8</v>
      </c>
      <c r="E2347">
        <v>331.2</v>
      </c>
      <c r="F2347" s="3">
        <v>45744</v>
      </c>
      <c r="G2347" s="3">
        <v>45747</v>
      </c>
      <c r="H2347" t="s">
        <v>12</v>
      </c>
      <c r="I2347" t="s">
        <v>55</v>
      </c>
      <c r="J2347">
        <v>4</v>
      </c>
      <c r="K2347" t="s">
        <v>4</v>
      </c>
      <c r="L2347" t="s">
        <v>47</v>
      </c>
      <c r="M2347">
        <f>[1]!orders[[#This Row],[Ship Date]]-[1]!orders[[#This Row],[Order Date]]</f>
        <v>3</v>
      </c>
      <c r="N2347">
        <f>WEEKNUM([1]!orders[[#This Row],[Order Date]])</f>
        <v>13</v>
      </c>
      <c r="O2347" t="str" cm="1">
        <f t="array" ref="O2347">_xlfn.IFS([1]!orders[[#This Row],[Customer Gender]]="M","Male", [1]!orders[[#This Row],[Customer Gender]]="F","Female", [1]!orders[[#This Row],[Customer Gender]]="O","Other", TRUE,"Unknown")</f>
        <v>Female</v>
      </c>
    </row>
    <row r="2348" spans="1:15" x14ac:dyDescent="0.25">
      <c r="A2348" s="1" t="s">
        <v>2434</v>
      </c>
      <c r="B2348" s="1" t="s">
        <v>11</v>
      </c>
      <c r="C2348" s="1">
        <v>1</v>
      </c>
      <c r="D2348" s="1">
        <v>97.7</v>
      </c>
      <c r="E2348" s="1">
        <v>97.7</v>
      </c>
      <c r="F2348" s="2">
        <v>45744</v>
      </c>
      <c r="G2348" s="2">
        <v>45745</v>
      </c>
      <c r="H2348" s="1" t="s">
        <v>12</v>
      </c>
      <c r="I2348" s="1" t="s">
        <v>20</v>
      </c>
      <c r="J2348" s="1">
        <v>4</v>
      </c>
      <c r="K2348" s="1" t="s">
        <v>4</v>
      </c>
      <c r="L2348" s="1" t="s">
        <v>47</v>
      </c>
      <c r="M2348" s="1">
        <f>[1]!orders[[#This Row],[Ship Date]]-[1]!orders[[#This Row],[Order Date]]</f>
        <v>1</v>
      </c>
      <c r="N2348" s="1">
        <f>WEEKNUM([1]!orders[[#This Row],[Order Date]])</f>
        <v>13</v>
      </c>
      <c r="O2348" t="str" cm="1">
        <f t="array" ref="O2348">_xlfn.IFS([1]!orders[[#This Row],[Customer Gender]]="M","Male", [1]!orders[[#This Row],[Customer Gender]]="F","Female", [1]!orders[[#This Row],[Customer Gender]]="O","Other", TRUE,"Unknown")</f>
        <v>Female</v>
      </c>
    </row>
    <row r="2349" spans="1:15" x14ac:dyDescent="0.25">
      <c r="A2349" t="s">
        <v>2435</v>
      </c>
      <c r="B2349" t="s">
        <v>24</v>
      </c>
      <c r="C2349">
        <v>5</v>
      </c>
      <c r="D2349">
        <v>83.6</v>
      </c>
      <c r="E2349">
        <v>418</v>
      </c>
      <c r="F2349" s="3">
        <v>45744</v>
      </c>
      <c r="G2349" s="3">
        <v>45745</v>
      </c>
      <c r="H2349" t="s">
        <v>12</v>
      </c>
      <c r="I2349" t="s">
        <v>55</v>
      </c>
      <c r="J2349">
        <v>4</v>
      </c>
      <c r="K2349" t="s">
        <v>4</v>
      </c>
      <c r="L2349" t="s">
        <v>47</v>
      </c>
      <c r="M2349">
        <f>[1]!orders[[#This Row],[Ship Date]]-[1]!orders[[#This Row],[Order Date]]</f>
        <v>1</v>
      </c>
      <c r="N2349">
        <f>WEEKNUM([1]!orders[[#This Row],[Order Date]])</f>
        <v>13</v>
      </c>
      <c r="O2349" t="str" cm="1">
        <f t="array" ref="O2349">_xlfn.IFS([1]!orders[[#This Row],[Customer Gender]]="M","Male", [1]!orders[[#This Row],[Customer Gender]]="F","Female", [1]!orders[[#This Row],[Customer Gender]]="O","Other", TRUE,"Unknown")</f>
        <v>Female</v>
      </c>
    </row>
    <row r="2350" spans="1:15" x14ac:dyDescent="0.25">
      <c r="A2350" s="1" t="s">
        <v>2436</v>
      </c>
      <c r="B2350" s="1" t="s">
        <v>29</v>
      </c>
      <c r="C2350" s="1">
        <v>5</v>
      </c>
      <c r="D2350" s="1">
        <v>23.5</v>
      </c>
      <c r="E2350" s="1">
        <v>117.5</v>
      </c>
      <c r="F2350" s="2">
        <v>45744</v>
      </c>
      <c r="G2350" s="2">
        <v>45748</v>
      </c>
      <c r="H2350" s="1" t="s">
        <v>74</v>
      </c>
      <c r="I2350" s="1" t="s">
        <v>3</v>
      </c>
      <c r="J2350" s="1">
        <v>4</v>
      </c>
      <c r="K2350" s="1" t="s">
        <v>4</v>
      </c>
      <c r="L2350" s="1" t="s">
        <v>47</v>
      </c>
      <c r="M2350" s="1">
        <f>[1]!orders[[#This Row],[Ship Date]]-[1]!orders[[#This Row],[Order Date]]</f>
        <v>4</v>
      </c>
      <c r="N2350" s="1">
        <f>WEEKNUM([1]!orders[[#This Row],[Order Date]])</f>
        <v>13</v>
      </c>
      <c r="O2350" t="str" cm="1">
        <f t="array" ref="O2350">_xlfn.IFS([1]!orders[[#This Row],[Customer Gender]]="M","Male", [1]!orders[[#This Row],[Customer Gender]]="F","Female", [1]!orders[[#This Row],[Customer Gender]]="O","Other", TRUE,"Unknown")</f>
        <v>Other</v>
      </c>
    </row>
    <row r="2351" spans="1:15" x14ac:dyDescent="0.25">
      <c r="A2351" t="s">
        <v>2437</v>
      </c>
      <c r="B2351" t="s">
        <v>31</v>
      </c>
      <c r="C2351">
        <v>3</v>
      </c>
      <c r="D2351">
        <v>44.6</v>
      </c>
      <c r="E2351">
        <v>133.80000000000001</v>
      </c>
      <c r="F2351" s="3">
        <v>45744</v>
      </c>
      <c r="G2351" s="3">
        <v>45747</v>
      </c>
      <c r="H2351" t="s">
        <v>12</v>
      </c>
      <c r="I2351" t="s">
        <v>55</v>
      </c>
      <c r="J2351">
        <v>3</v>
      </c>
      <c r="K2351" t="s">
        <v>4</v>
      </c>
      <c r="L2351" t="s">
        <v>186</v>
      </c>
      <c r="M2351">
        <f>[1]!orders[[#This Row],[Ship Date]]-[1]!orders[[#This Row],[Order Date]]</f>
        <v>3</v>
      </c>
      <c r="N2351">
        <f>WEEKNUM([1]!orders[[#This Row],[Order Date]])</f>
        <v>13</v>
      </c>
      <c r="O2351" t="str" cm="1">
        <f t="array" ref="O2351">_xlfn.IFS([1]!orders[[#This Row],[Customer Gender]]="M","Male", [1]!orders[[#This Row],[Customer Gender]]="F","Female", [1]!orders[[#This Row],[Customer Gender]]="O","Other", TRUE,"Unknown")</f>
        <v>Female</v>
      </c>
    </row>
    <row r="2352" spans="1:15" x14ac:dyDescent="0.25">
      <c r="A2352" s="1" t="s">
        <v>2438</v>
      </c>
      <c r="B2352" s="1" t="s">
        <v>1</v>
      </c>
      <c r="C2352" s="1">
        <v>3</v>
      </c>
      <c r="D2352" s="1">
        <v>20.100000000000001</v>
      </c>
      <c r="E2352" s="1">
        <v>60.300000000000004</v>
      </c>
      <c r="F2352" s="2">
        <v>45744</v>
      </c>
      <c r="G2352" s="2">
        <v>45746</v>
      </c>
      <c r="H2352" s="1" t="s">
        <v>12</v>
      </c>
      <c r="I2352" s="1" t="s">
        <v>36</v>
      </c>
      <c r="J2352" s="1">
        <v>2</v>
      </c>
      <c r="K2352" s="1" t="s">
        <v>4</v>
      </c>
      <c r="L2352" s="1" t="s">
        <v>62</v>
      </c>
      <c r="M2352" s="1">
        <f>[1]!orders[[#This Row],[Ship Date]]-[1]!orders[[#This Row],[Order Date]]</f>
        <v>2</v>
      </c>
      <c r="N2352" s="1">
        <f>WEEKNUM([1]!orders[[#This Row],[Order Date]])</f>
        <v>13</v>
      </c>
      <c r="O2352" t="str" cm="1">
        <f t="array" ref="O2352">_xlfn.IFS([1]!orders[[#This Row],[Customer Gender]]="M","Male", [1]!orders[[#This Row],[Customer Gender]]="F","Female", [1]!orders[[#This Row],[Customer Gender]]="O","Other", TRUE,"Unknown")</f>
        <v>Female</v>
      </c>
    </row>
    <row r="2353" spans="1:15" x14ac:dyDescent="0.25">
      <c r="A2353" t="s">
        <v>2439</v>
      </c>
      <c r="B2353" t="s">
        <v>11</v>
      </c>
      <c r="C2353">
        <v>5</v>
      </c>
      <c r="D2353">
        <v>153.6</v>
      </c>
      <c r="E2353">
        <v>768</v>
      </c>
      <c r="F2353" s="3">
        <v>45744</v>
      </c>
      <c r="G2353" s="3">
        <v>45745</v>
      </c>
      <c r="H2353" t="s">
        <v>12</v>
      </c>
      <c r="I2353" t="s">
        <v>20</v>
      </c>
      <c r="J2353">
        <v>5</v>
      </c>
      <c r="K2353" t="s">
        <v>4</v>
      </c>
      <c r="L2353" t="s">
        <v>1101</v>
      </c>
      <c r="M2353">
        <f>[1]!orders[[#This Row],[Ship Date]]-[1]!orders[[#This Row],[Order Date]]</f>
        <v>1</v>
      </c>
      <c r="N2353">
        <f>WEEKNUM([1]!orders[[#This Row],[Order Date]])</f>
        <v>13</v>
      </c>
      <c r="O2353" t="str" cm="1">
        <f t="array" ref="O2353">_xlfn.IFS([1]!orders[[#This Row],[Customer Gender]]="M","Male", [1]!orders[[#This Row],[Customer Gender]]="F","Female", [1]!orders[[#This Row],[Customer Gender]]="O","Other", TRUE,"Unknown")</f>
        <v>Female</v>
      </c>
    </row>
    <row r="2354" spans="1:15" x14ac:dyDescent="0.25">
      <c r="A2354" s="1" t="s">
        <v>2440</v>
      </c>
      <c r="B2354" s="1" t="s">
        <v>7</v>
      </c>
      <c r="C2354" s="1">
        <v>2</v>
      </c>
      <c r="D2354" s="1">
        <v>71.8</v>
      </c>
      <c r="E2354" s="1">
        <v>143.6</v>
      </c>
      <c r="F2354" s="2">
        <v>45744</v>
      </c>
      <c r="G2354" s="2">
        <v>45748</v>
      </c>
      <c r="H2354" s="1" t="s">
        <v>12</v>
      </c>
      <c r="I2354" s="1" t="s">
        <v>20</v>
      </c>
      <c r="J2354" s="1">
        <v>4</v>
      </c>
      <c r="K2354" s="1" t="s">
        <v>4</v>
      </c>
      <c r="L2354" s="1" t="s">
        <v>9</v>
      </c>
      <c r="M2354" s="1">
        <f>[1]!orders[[#This Row],[Ship Date]]-[1]!orders[[#This Row],[Order Date]]</f>
        <v>4</v>
      </c>
      <c r="N2354" s="1">
        <f>WEEKNUM([1]!orders[[#This Row],[Order Date]])</f>
        <v>13</v>
      </c>
      <c r="O2354" t="str" cm="1">
        <f t="array" ref="O2354">_xlfn.IFS([1]!orders[[#This Row],[Customer Gender]]="M","Male", [1]!orders[[#This Row],[Customer Gender]]="F","Female", [1]!orders[[#This Row],[Customer Gender]]="O","Other", TRUE,"Unknown")</f>
        <v>Female</v>
      </c>
    </row>
    <row r="2355" spans="1:15" x14ac:dyDescent="0.25">
      <c r="A2355" t="s">
        <v>2441</v>
      </c>
      <c r="B2355" t="s">
        <v>39</v>
      </c>
      <c r="C2355">
        <v>1</v>
      </c>
      <c r="D2355">
        <v>64.7</v>
      </c>
      <c r="E2355">
        <v>64.7</v>
      </c>
      <c r="F2355" s="3">
        <v>45744</v>
      </c>
      <c r="G2355" s="3">
        <v>45746</v>
      </c>
      <c r="H2355" t="s">
        <v>2</v>
      </c>
      <c r="I2355" t="s">
        <v>3</v>
      </c>
      <c r="J2355">
        <v>3</v>
      </c>
      <c r="K2355" t="s">
        <v>4</v>
      </c>
      <c r="L2355" t="s">
        <v>9</v>
      </c>
      <c r="M2355">
        <f>[1]!orders[[#This Row],[Ship Date]]-[1]!orders[[#This Row],[Order Date]]</f>
        <v>2</v>
      </c>
      <c r="N2355">
        <f>WEEKNUM([1]!orders[[#This Row],[Order Date]])</f>
        <v>13</v>
      </c>
      <c r="O2355" t="str" cm="1">
        <f t="array" ref="O2355">_xlfn.IFS([1]!orders[[#This Row],[Customer Gender]]="M","Male", [1]!orders[[#This Row],[Customer Gender]]="F","Female", [1]!orders[[#This Row],[Customer Gender]]="O","Other", TRUE,"Unknown")</f>
        <v>Unknown</v>
      </c>
    </row>
    <row r="2356" spans="1:15" x14ac:dyDescent="0.25">
      <c r="A2356" s="1" t="s">
        <v>2442</v>
      </c>
      <c r="B2356" s="1" t="s">
        <v>31</v>
      </c>
      <c r="C2356" s="1">
        <v>8</v>
      </c>
      <c r="D2356" s="1">
        <v>60.4</v>
      </c>
      <c r="E2356" s="1">
        <v>483.2</v>
      </c>
      <c r="F2356" s="2">
        <v>45744</v>
      </c>
      <c r="G2356" s="2">
        <v>45746</v>
      </c>
      <c r="H2356" s="1" t="s">
        <v>12</v>
      </c>
      <c r="I2356" s="1" t="s">
        <v>36</v>
      </c>
      <c r="J2356" s="1">
        <v>5</v>
      </c>
      <c r="K2356" s="1" t="s">
        <v>4</v>
      </c>
      <c r="L2356" s="1" t="s">
        <v>13</v>
      </c>
      <c r="M2356" s="1">
        <f>[1]!orders[[#This Row],[Ship Date]]-[1]!orders[[#This Row],[Order Date]]</f>
        <v>2</v>
      </c>
      <c r="N2356" s="1">
        <f>WEEKNUM([1]!orders[[#This Row],[Order Date]])</f>
        <v>13</v>
      </c>
      <c r="O2356" t="str" cm="1">
        <f t="array" ref="O2356">_xlfn.IFS([1]!orders[[#This Row],[Customer Gender]]="M","Male", [1]!orders[[#This Row],[Customer Gender]]="F","Female", [1]!orders[[#This Row],[Customer Gender]]="O","Other", TRUE,"Unknown")</f>
        <v>Female</v>
      </c>
    </row>
    <row r="2357" spans="1:15" x14ac:dyDescent="0.25">
      <c r="A2357" t="s">
        <v>2443</v>
      </c>
      <c r="B2357" t="s">
        <v>24</v>
      </c>
      <c r="C2357">
        <v>4</v>
      </c>
      <c r="D2357">
        <v>86</v>
      </c>
      <c r="E2357">
        <v>344</v>
      </c>
      <c r="F2357" s="3">
        <v>45744</v>
      </c>
      <c r="G2357" s="3">
        <v>45747</v>
      </c>
      <c r="H2357" t="s">
        <v>12</v>
      </c>
      <c r="I2357" t="s">
        <v>25</v>
      </c>
      <c r="J2357">
        <v>5</v>
      </c>
      <c r="K2357" t="s">
        <v>4</v>
      </c>
      <c r="L2357" t="s">
        <v>132</v>
      </c>
      <c r="M2357">
        <f>[1]!orders[[#This Row],[Ship Date]]-[1]!orders[[#This Row],[Order Date]]</f>
        <v>3</v>
      </c>
      <c r="N2357">
        <f>WEEKNUM([1]!orders[[#This Row],[Order Date]])</f>
        <v>13</v>
      </c>
      <c r="O2357" t="str" cm="1">
        <f t="array" ref="O2357">_xlfn.IFS([1]!orders[[#This Row],[Customer Gender]]="M","Male", [1]!orders[[#This Row],[Customer Gender]]="F","Female", [1]!orders[[#This Row],[Customer Gender]]="O","Other", TRUE,"Unknown")</f>
        <v>Female</v>
      </c>
    </row>
    <row r="2358" spans="1:15" x14ac:dyDescent="0.25">
      <c r="A2358" s="1" t="s">
        <v>2444</v>
      </c>
      <c r="B2358" s="1" t="s">
        <v>54</v>
      </c>
      <c r="C2358" s="1">
        <v>2</v>
      </c>
      <c r="D2358" s="1">
        <v>42.1</v>
      </c>
      <c r="E2358" s="1">
        <v>84.2</v>
      </c>
      <c r="F2358" s="2">
        <v>45744</v>
      </c>
      <c r="G2358" s="2">
        <v>45745</v>
      </c>
      <c r="H2358" s="1" t="s">
        <v>12</v>
      </c>
      <c r="I2358" s="1" t="s">
        <v>55</v>
      </c>
      <c r="J2358" s="1">
        <v>3</v>
      </c>
      <c r="K2358" s="1" t="s">
        <v>4</v>
      </c>
      <c r="L2358" s="1" t="s">
        <v>319</v>
      </c>
      <c r="M2358" s="1">
        <f>[1]!orders[[#This Row],[Ship Date]]-[1]!orders[[#This Row],[Order Date]]</f>
        <v>1</v>
      </c>
      <c r="N2358" s="1">
        <f>WEEKNUM([1]!orders[[#This Row],[Order Date]])</f>
        <v>13</v>
      </c>
      <c r="O2358" t="str" cm="1">
        <f t="array" ref="O2358">_xlfn.IFS([1]!orders[[#This Row],[Customer Gender]]="M","Male", [1]!orders[[#This Row],[Customer Gender]]="F","Female", [1]!orders[[#This Row],[Customer Gender]]="O","Other", TRUE,"Unknown")</f>
        <v>Female</v>
      </c>
    </row>
    <row r="2359" spans="1:15" x14ac:dyDescent="0.25">
      <c r="A2359" t="s">
        <v>2445</v>
      </c>
      <c r="B2359" t="s">
        <v>113</v>
      </c>
      <c r="C2359">
        <v>9</v>
      </c>
      <c r="D2359">
        <v>51.1</v>
      </c>
      <c r="E2359">
        <v>459.90000000000003</v>
      </c>
      <c r="F2359" s="3">
        <v>45744</v>
      </c>
      <c r="G2359" s="3">
        <v>45745</v>
      </c>
      <c r="H2359" t="s">
        <v>8</v>
      </c>
      <c r="I2359" t="s">
        <v>25</v>
      </c>
      <c r="J2359">
        <v>3</v>
      </c>
      <c r="K2359" t="s">
        <v>4</v>
      </c>
      <c r="L2359" t="s">
        <v>18</v>
      </c>
      <c r="M2359">
        <f>[1]!orders[[#This Row],[Ship Date]]-[1]!orders[[#This Row],[Order Date]]</f>
        <v>1</v>
      </c>
      <c r="N2359">
        <f>WEEKNUM([1]!orders[[#This Row],[Order Date]])</f>
        <v>13</v>
      </c>
      <c r="O2359" t="str" cm="1">
        <f t="array" ref="O2359">_xlfn.IFS([1]!orders[[#This Row],[Customer Gender]]="M","Male", [1]!orders[[#This Row],[Customer Gender]]="F","Female", [1]!orders[[#This Row],[Customer Gender]]="O","Other", TRUE,"Unknown")</f>
        <v>Male</v>
      </c>
    </row>
    <row r="2360" spans="1:15" x14ac:dyDescent="0.25">
      <c r="A2360" s="1" t="s">
        <v>2446</v>
      </c>
      <c r="B2360" s="1" t="s">
        <v>31</v>
      </c>
      <c r="C2360" s="1">
        <v>4</v>
      </c>
      <c r="D2360" s="1">
        <v>73.8</v>
      </c>
      <c r="E2360" s="1">
        <v>295.2</v>
      </c>
      <c r="F2360" s="2">
        <v>45744</v>
      </c>
      <c r="G2360" s="2">
        <v>45745</v>
      </c>
      <c r="H2360" s="1" t="s">
        <v>8</v>
      </c>
      <c r="I2360" s="1" t="s">
        <v>55</v>
      </c>
      <c r="J2360" s="1">
        <v>4</v>
      </c>
      <c r="K2360" s="1" t="s">
        <v>4</v>
      </c>
      <c r="L2360" s="1" t="s">
        <v>18</v>
      </c>
      <c r="M2360" s="1">
        <f>[1]!orders[[#This Row],[Ship Date]]-[1]!orders[[#This Row],[Order Date]]</f>
        <v>1</v>
      </c>
      <c r="N2360" s="1">
        <f>WEEKNUM([1]!orders[[#This Row],[Order Date]])</f>
        <v>13</v>
      </c>
      <c r="O2360" t="str" cm="1">
        <f t="array" ref="O2360">_xlfn.IFS([1]!orders[[#This Row],[Customer Gender]]="M","Male", [1]!orders[[#This Row],[Customer Gender]]="F","Female", [1]!orders[[#This Row],[Customer Gender]]="O","Other", TRUE,"Unknown")</f>
        <v>Male</v>
      </c>
    </row>
    <row r="2361" spans="1:15" x14ac:dyDescent="0.25">
      <c r="A2361" t="s">
        <v>2447</v>
      </c>
      <c r="B2361" t="s">
        <v>29</v>
      </c>
      <c r="C2361">
        <v>5</v>
      </c>
      <c r="D2361">
        <v>27</v>
      </c>
      <c r="E2361">
        <v>135</v>
      </c>
      <c r="F2361" s="3">
        <v>45744</v>
      </c>
      <c r="G2361" s="3">
        <v>45747</v>
      </c>
      <c r="H2361" t="s">
        <v>12</v>
      </c>
      <c r="I2361" t="s">
        <v>25</v>
      </c>
      <c r="J2361">
        <v>5</v>
      </c>
      <c r="K2361" t="s">
        <v>4</v>
      </c>
      <c r="L2361" t="s">
        <v>18</v>
      </c>
      <c r="M2361">
        <f>[1]!orders[[#This Row],[Ship Date]]-[1]!orders[[#This Row],[Order Date]]</f>
        <v>3</v>
      </c>
      <c r="N2361">
        <f>WEEKNUM([1]!orders[[#This Row],[Order Date]])</f>
        <v>13</v>
      </c>
      <c r="O2361" t="str" cm="1">
        <f t="array" ref="O2361">_xlfn.IFS([1]!orders[[#This Row],[Customer Gender]]="M","Male", [1]!orders[[#This Row],[Customer Gender]]="F","Female", [1]!orders[[#This Row],[Customer Gender]]="O","Other", TRUE,"Unknown")</f>
        <v>Female</v>
      </c>
    </row>
    <row r="2362" spans="1:15" x14ac:dyDescent="0.25">
      <c r="A2362" s="1" t="s">
        <v>2448</v>
      </c>
      <c r="B2362" s="1" t="s">
        <v>29</v>
      </c>
      <c r="C2362" s="1">
        <v>6</v>
      </c>
      <c r="D2362" s="1">
        <v>60.1</v>
      </c>
      <c r="E2362" s="1">
        <v>360.6</v>
      </c>
      <c r="F2362" s="2">
        <v>45744</v>
      </c>
      <c r="G2362" s="2">
        <v>45745</v>
      </c>
      <c r="H2362" s="1" t="s">
        <v>8</v>
      </c>
      <c r="I2362" s="1" t="s">
        <v>36</v>
      </c>
      <c r="J2362" s="1">
        <v>4</v>
      </c>
      <c r="K2362" s="1" t="s">
        <v>4</v>
      </c>
      <c r="L2362" s="1" t="s">
        <v>18</v>
      </c>
      <c r="M2362" s="1">
        <f>[1]!orders[[#This Row],[Ship Date]]-[1]!orders[[#This Row],[Order Date]]</f>
        <v>1</v>
      </c>
      <c r="N2362" s="1">
        <f>WEEKNUM([1]!orders[[#This Row],[Order Date]])</f>
        <v>13</v>
      </c>
      <c r="O2362" t="str" cm="1">
        <f t="array" ref="O2362">_xlfn.IFS([1]!orders[[#This Row],[Customer Gender]]="M","Male", [1]!orders[[#This Row],[Customer Gender]]="F","Female", [1]!orders[[#This Row],[Customer Gender]]="O","Other", TRUE,"Unknown")</f>
        <v>Male</v>
      </c>
    </row>
    <row r="2363" spans="1:15" x14ac:dyDescent="0.25">
      <c r="A2363" t="s">
        <v>2449</v>
      </c>
      <c r="B2363" t="s">
        <v>11</v>
      </c>
      <c r="C2363">
        <v>7</v>
      </c>
      <c r="D2363">
        <v>94.1</v>
      </c>
      <c r="E2363">
        <v>658.69999999999993</v>
      </c>
      <c r="F2363" s="3">
        <v>45744</v>
      </c>
      <c r="G2363" s="3">
        <v>45746</v>
      </c>
      <c r="H2363" t="s">
        <v>12</v>
      </c>
      <c r="I2363" t="s">
        <v>55</v>
      </c>
      <c r="J2363">
        <v>3</v>
      </c>
      <c r="K2363" t="s">
        <v>4</v>
      </c>
      <c r="L2363" t="s">
        <v>18</v>
      </c>
      <c r="M2363">
        <f>[1]!orders[[#This Row],[Ship Date]]-[1]!orders[[#This Row],[Order Date]]</f>
        <v>2</v>
      </c>
      <c r="N2363">
        <f>WEEKNUM([1]!orders[[#This Row],[Order Date]])</f>
        <v>13</v>
      </c>
      <c r="O2363" t="str" cm="1">
        <f t="array" ref="O2363">_xlfn.IFS([1]!orders[[#This Row],[Customer Gender]]="M","Male", [1]!orders[[#This Row],[Customer Gender]]="F","Female", [1]!orders[[#This Row],[Customer Gender]]="O","Other", TRUE,"Unknown")</f>
        <v>Female</v>
      </c>
    </row>
    <row r="2364" spans="1:15" x14ac:dyDescent="0.25">
      <c r="A2364" s="1" t="s">
        <v>2450</v>
      </c>
      <c r="B2364" s="1" t="s">
        <v>11</v>
      </c>
      <c r="C2364" s="1">
        <v>2</v>
      </c>
      <c r="D2364" s="1">
        <v>124.1</v>
      </c>
      <c r="E2364" s="1">
        <v>248.2</v>
      </c>
      <c r="F2364" s="2">
        <v>45744</v>
      </c>
      <c r="G2364" s="2">
        <v>45744</v>
      </c>
      <c r="H2364" s="1" t="s">
        <v>12</v>
      </c>
      <c r="I2364" s="1" t="s">
        <v>25</v>
      </c>
      <c r="J2364" s="1">
        <v>1</v>
      </c>
      <c r="K2364" s="1" t="s">
        <v>4</v>
      </c>
      <c r="L2364" s="1" t="s">
        <v>530</v>
      </c>
      <c r="M2364" s="1">
        <f>[1]!orders[[#This Row],[Ship Date]]-[1]!orders[[#This Row],[Order Date]]</f>
        <v>0</v>
      </c>
      <c r="N2364" s="1">
        <f>WEEKNUM([1]!orders[[#This Row],[Order Date]])</f>
        <v>13</v>
      </c>
      <c r="O2364" t="str" cm="1">
        <f t="array" ref="O2364">_xlfn.IFS([1]!orders[[#This Row],[Customer Gender]]="M","Male", [1]!orders[[#This Row],[Customer Gender]]="F","Female", [1]!orders[[#This Row],[Customer Gender]]="O","Other", TRUE,"Unknown")</f>
        <v>Female</v>
      </c>
    </row>
    <row r="2365" spans="1:15" x14ac:dyDescent="0.25">
      <c r="A2365" t="s">
        <v>2451</v>
      </c>
      <c r="B2365" t="s">
        <v>29</v>
      </c>
      <c r="C2365">
        <v>4</v>
      </c>
      <c r="D2365">
        <v>16.899999999999999</v>
      </c>
      <c r="E2365">
        <v>67.599999999999994</v>
      </c>
      <c r="F2365" s="3">
        <v>45744</v>
      </c>
      <c r="G2365" s="3">
        <v>45747</v>
      </c>
      <c r="H2365" t="s">
        <v>8</v>
      </c>
      <c r="I2365" t="s">
        <v>36</v>
      </c>
      <c r="J2365">
        <v>4</v>
      </c>
      <c r="K2365" t="s">
        <v>4</v>
      </c>
      <c r="L2365" t="s">
        <v>40</v>
      </c>
      <c r="M2365">
        <f>[1]!orders[[#This Row],[Ship Date]]-[1]!orders[[#This Row],[Order Date]]</f>
        <v>3</v>
      </c>
      <c r="N2365">
        <f>WEEKNUM([1]!orders[[#This Row],[Order Date]])</f>
        <v>13</v>
      </c>
      <c r="O2365" t="str" cm="1">
        <f t="array" ref="O2365">_xlfn.IFS([1]!orders[[#This Row],[Customer Gender]]="M","Male", [1]!orders[[#This Row],[Customer Gender]]="F","Female", [1]!orders[[#This Row],[Customer Gender]]="O","Other", TRUE,"Unknown")</f>
        <v>Male</v>
      </c>
    </row>
    <row r="2366" spans="1:15" x14ac:dyDescent="0.25">
      <c r="A2366" s="1" t="s">
        <v>2452</v>
      </c>
      <c r="B2366" s="1" t="s">
        <v>7</v>
      </c>
      <c r="C2366" s="1">
        <v>1</v>
      </c>
      <c r="D2366" s="1">
        <v>36.9</v>
      </c>
      <c r="E2366" s="1">
        <v>36.9</v>
      </c>
      <c r="F2366" s="2">
        <v>45744</v>
      </c>
      <c r="G2366" s="2">
        <v>45745</v>
      </c>
      <c r="H2366" s="1" t="s">
        <v>8</v>
      </c>
      <c r="I2366" s="1" t="s">
        <v>3</v>
      </c>
      <c r="J2366" s="1">
        <v>4</v>
      </c>
      <c r="K2366" s="1" t="s">
        <v>4</v>
      </c>
      <c r="L2366" s="1" t="s">
        <v>40</v>
      </c>
      <c r="M2366" s="1">
        <f>[1]!orders[[#This Row],[Ship Date]]-[1]!orders[[#This Row],[Order Date]]</f>
        <v>1</v>
      </c>
      <c r="N2366" s="1">
        <f>WEEKNUM([1]!orders[[#This Row],[Order Date]])</f>
        <v>13</v>
      </c>
      <c r="O2366" t="str" cm="1">
        <f t="array" ref="O2366">_xlfn.IFS([1]!orders[[#This Row],[Customer Gender]]="M","Male", [1]!orders[[#This Row],[Customer Gender]]="F","Female", [1]!orders[[#This Row],[Customer Gender]]="O","Other", TRUE,"Unknown")</f>
        <v>Male</v>
      </c>
    </row>
    <row r="2367" spans="1:15" x14ac:dyDescent="0.25">
      <c r="A2367" t="s">
        <v>2453</v>
      </c>
      <c r="B2367" t="s">
        <v>31</v>
      </c>
      <c r="C2367">
        <v>2</v>
      </c>
      <c r="D2367">
        <v>22.6</v>
      </c>
      <c r="E2367">
        <v>45.2</v>
      </c>
      <c r="F2367" s="3">
        <v>45744</v>
      </c>
      <c r="G2367" s="3">
        <v>45757</v>
      </c>
      <c r="H2367" t="s">
        <v>12</v>
      </c>
      <c r="I2367" t="s">
        <v>25</v>
      </c>
      <c r="J2367">
        <v>3</v>
      </c>
      <c r="K2367" t="s">
        <v>4</v>
      </c>
      <c r="L2367" t="s">
        <v>47</v>
      </c>
      <c r="M2367">
        <f>[1]!orders[[#This Row],[Ship Date]]-[1]!orders[[#This Row],[Order Date]]</f>
        <v>13</v>
      </c>
      <c r="N2367">
        <f>WEEKNUM([1]!orders[[#This Row],[Order Date]])</f>
        <v>13</v>
      </c>
      <c r="O2367" t="str" cm="1">
        <f t="array" ref="O2367">_xlfn.IFS([1]!orders[[#This Row],[Customer Gender]]="M","Male", [1]!orders[[#This Row],[Customer Gender]]="F","Female", [1]!orders[[#This Row],[Customer Gender]]="O","Other", TRUE,"Unknown")</f>
        <v>Female</v>
      </c>
    </row>
    <row r="2368" spans="1:15" x14ac:dyDescent="0.25">
      <c r="A2368" s="1" t="s">
        <v>2454</v>
      </c>
      <c r="B2368" s="1" t="s">
        <v>27</v>
      </c>
      <c r="C2368" s="1">
        <v>4</v>
      </c>
      <c r="D2368" s="1">
        <v>35</v>
      </c>
      <c r="E2368" s="1">
        <v>140</v>
      </c>
      <c r="F2368" s="2">
        <v>45744</v>
      </c>
      <c r="G2368" s="2">
        <v>45749</v>
      </c>
      <c r="H2368" s="1" t="s">
        <v>8</v>
      </c>
      <c r="I2368" s="1" t="s">
        <v>36</v>
      </c>
      <c r="J2368" s="1">
        <v>3</v>
      </c>
      <c r="K2368" s="1" t="s">
        <v>4</v>
      </c>
      <c r="L2368" s="1" t="s">
        <v>47</v>
      </c>
      <c r="M2368" s="1">
        <f>[1]!orders[[#This Row],[Ship Date]]-[1]!orders[[#This Row],[Order Date]]</f>
        <v>5</v>
      </c>
      <c r="N2368" s="1">
        <f>WEEKNUM([1]!orders[[#This Row],[Order Date]])</f>
        <v>13</v>
      </c>
      <c r="O2368" t="str" cm="1">
        <f t="array" ref="O2368">_xlfn.IFS([1]!orders[[#This Row],[Customer Gender]]="M","Male", [1]!orders[[#This Row],[Customer Gender]]="F","Female", [1]!orders[[#This Row],[Customer Gender]]="O","Other", TRUE,"Unknown")</f>
        <v>Male</v>
      </c>
    </row>
    <row r="2369" spans="1:15" x14ac:dyDescent="0.25">
      <c r="A2369" t="s">
        <v>2455</v>
      </c>
      <c r="B2369" t="s">
        <v>31</v>
      </c>
      <c r="C2369">
        <v>6</v>
      </c>
      <c r="D2369">
        <v>63.6</v>
      </c>
      <c r="E2369">
        <v>381.6</v>
      </c>
      <c r="F2369" s="3">
        <v>45744</v>
      </c>
      <c r="G2369" s="3">
        <v>45751</v>
      </c>
      <c r="H2369" t="s">
        <v>2</v>
      </c>
      <c r="I2369" t="s">
        <v>20</v>
      </c>
      <c r="J2369">
        <v>5</v>
      </c>
      <c r="K2369" t="s">
        <v>4</v>
      </c>
      <c r="L2369" t="s">
        <v>47</v>
      </c>
      <c r="M2369">
        <f>[1]!orders[[#This Row],[Ship Date]]-[1]!orders[[#This Row],[Order Date]]</f>
        <v>7</v>
      </c>
      <c r="N2369">
        <f>WEEKNUM([1]!orders[[#This Row],[Order Date]])</f>
        <v>13</v>
      </c>
      <c r="O2369" t="str" cm="1">
        <f t="array" ref="O2369">_xlfn.IFS([1]!orders[[#This Row],[Customer Gender]]="M","Male", [1]!orders[[#This Row],[Customer Gender]]="F","Female", [1]!orders[[#This Row],[Customer Gender]]="O","Other", TRUE,"Unknown")</f>
        <v>Unknown</v>
      </c>
    </row>
    <row r="2370" spans="1:15" x14ac:dyDescent="0.25">
      <c r="A2370" s="1" t="s">
        <v>2456</v>
      </c>
      <c r="B2370" s="1" t="s">
        <v>108</v>
      </c>
      <c r="C2370" s="1">
        <v>4</v>
      </c>
      <c r="D2370" s="1">
        <v>78.599999999999994</v>
      </c>
      <c r="E2370" s="1">
        <v>314.39999999999998</v>
      </c>
      <c r="F2370" s="2">
        <v>45744</v>
      </c>
      <c r="G2370" s="2">
        <v>45745</v>
      </c>
      <c r="H2370" s="1" t="s">
        <v>8</v>
      </c>
      <c r="I2370" s="1" t="s">
        <v>55</v>
      </c>
      <c r="J2370" s="1">
        <v>3</v>
      </c>
      <c r="K2370" s="1" t="s">
        <v>4</v>
      </c>
      <c r="L2370" s="1" t="s">
        <v>47</v>
      </c>
      <c r="M2370" s="1">
        <f>[1]!orders[[#This Row],[Ship Date]]-[1]!orders[[#This Row],[Order Date]]</f>
        <v>1</v>
      </c>
      <c r="N2370" s="1">
        <f>WEEKNUM([1]!orders[[#This Row],[Order Date]])</f>
        <v>13</v>
      </c>
      <c r="O2370" t="str" cm="1">
        <f t="array" ref="O2370">_xlfn.IFS([1]!orders[[#This Row],[Customer Gender]]="M","Male", [1]!orders[[#This Row],[Customer Gender]]="F","Female", [1]!orders[[#This Row],[Customer Gender]]="O","Other", TRUE,"Unknown")</f>
        <v>Male</v>
      </c>
    </row>
    <row r="2371" spans="1:15" x14ac:dyDescent="0.25">
      <c r="A2371" t="s">
        <v>2457</v>
      </c>
      <c r="B2371" t="s">
        <v>15</v>
      </c>
      <c r="C2371">
        <v>2</v>
      </c>
      <c r="D2371">
        <v>38.5</v>
      </c>
      <c r="E2371">
        <v>77</v>
      </c>
      <c r="F2371" s="3">
        <v>45744</v>
      </c>
      <c r="G2371" s="3">
        <v>45745</v>
      </c>
      <c r="H2371" t="s">
        <v>8</v>
      </c>
      <c r="I2371" t="s">
        <v>3</v>
      </c>
      <c r="J2371">
        <v>5</v>
      </c>
      <c r="K2371" t="s">
        <v>4</v>
      </c>
      <c r="L2371" t="s">
        <v>47</v>
      </c>
      <c r="M2371">
        <f>[1]!orders[[#This Row],[Ship Date]]-[1]!orders[[#This Row],[Order Date]]</f>
        <v>1</v>
      </c>
      <c r="N2371">
        <f>WEEKNUM([1]!orders[[#This Row],[Order Date]])</f>
        <v>13</v>
      </c>
      <c r="O2371" t="str" cm="1">
        <f t="array" ref="O2371">_xlfn.IFS([1]!orders[[#This Row],[Customer Gender]]="M","Male", [1]!orders[[#This Row],[Customer Gender]]="F","Female", [1]!orders[[#This Row],[Customer Gender]]="O","Other", TRUE,"Unknown")</f>
        <v>Male</v>
      </c>
    </row>
    <row r="2372" spans="1:15" x14ac:dyDescent="0.25">
      <c r="A2372" s="1" t="s">
        <v>2458</v>
      </c>
      <c r="B2372" s="1" t="s">
        <v>29</v>
      </c>
      <c r="C2372" s="1">
        <v>11</v>
      </c>
      <c r="D2372" s="1">
        <v>71.5</v>
      </c>
      <c r="E2372" s="1">
        <v>786.5</v>
      </c>
      <c r="F2372" s="2">
        <v>45744</v>
      </c>
      <c r="G2372" s="2">
        <v>45745</v>
      </c>
      <c r="H2372" s="1" t="s">
        <v>12</v>
      </c>
      <c r="I2372" s="1" t="s">
        <v>20</v>
      </c>
      <c r="J2372" s="1">
        <v>2</v>
      </c>
      <c r="K2372" s="1" t="s">
        <v>4</v>
      </c>
      <c r="L2372" s="1" t="s">
        <v>47</v>
      </c>
      <c r="M2372" s="1">
        <f>[1]!orders[[#This Row],[Ship Date]]-[1]!orders[[#This Row],[Order Date]]</f>
        <v>1</v>
      </c>
      <c r="N2372" s="1">
        <f>WEEKNUM([1]!orders[[#This Row],[Order Date]])</f>
        <v>13</v>
      </c>
      <c r="O2372" t="str" cm="1">
        <f t="array" ref="O2372">_xlfn.IFS([1]!orders[[#This Row],[Customer Gender]]="M","Male", [1]!orders[[#This Row],[Customer Gender]]="F","Female", [1]!orders[[#This Row],[Customer Gender]]="O","Other", TRUE,"Unknown")</f>
        <v>Female</v>
      </c>
    </row>
    <row r="2373" spans="1:15" x14ac:dyDescent="0.25">
      <c r="A2373" t="s">
        <v>2459</v>
      </c>
      <c r="B2373" t="s">
        <v>24</v>
      </c>
      <c r="C2373">
        <v>4</v>
      </c>
      <c r="D2373">
        <v>121.4</v>
      </c>
      <c r="E2373">
        <v>485.6</v>
      </c>
      <c r="F2373" s="3">
        <v>45744</v>
      </c>
      <c r="G2373" s="3">
        <v>45748</v>
      </c>
      <c r="H2373" t="s">
        <v>8</v>
      </c>
      <c r="I2373" t="s">
        <v>20</v>
      </c>
      <c r="J2373">
        <v>5</v>
      </c>
      <c r="K2373" t="s">
        <v>4</v>
      </c>
      <c r="L2373" t="s">
        <v>88</v>
      </c>
      <c r="M2373">
        <f>[1]!orders[[#This Row],[Ship Date]]-[1]!orders[[#This Row],[Order Date]]</f>
        <v>4</v>
      </c>
      <c r="N2373">
        <f>WEEKNUM([1]!orders[[#This Row],[Order Date]])</f>
        <v>13</v>
      </c>
      <c r="O2373" t="str" cm="1">
        <f t="array" ref="O2373">_xlfn.IFS([1]!orders[[#This Row],[Customer Gender]]="M","Male", [1]!orders[[#This Row],[Customer Gender]]="F","Female", [1]!orders[[#This Row],[Customer Gender]]="O","Other", TRUE,"Unknown")</f>
        <v>Male</v>
      </c>
    </row>
    <row r="2374" spans="1:15" x14ac:dyDescent="0.25">
      <c r="A2374" s="1" t="s">
        <v>2460</v>
      </c>
      <c r="B2374" s="1" t="s">
        <v>52</v>
      </c>
      <c r="C2374" s="1">
        <v>1</v>
      </c>
      <c r="D2374" s="1">
        <v>40.200000000000003</v>
      </c>
      <c r="E2374" s="1">
        <v>40.200000000000003</v>
      </c>
      <c r="F2374" s="2">
        <v>45744</v>
      </c>
      <c r="G2374" s="2">
        <v>45747</v>
      </c>
      <c r="H2374" s="1" t="s">
        <v>12</v>
      </c>
      <c r="I2374" s="1" t="s">
        <v>3</v>
      </c>
      <c r="J2374" s="1">
        <v>5</v>
      </c>
      <c r="K2374" s="1" t="s">
        <v>4</v>
      </c>
      <c r="L2374" s="1" t="s">
        <v>62</v>
      </c>
      <c r="M2374" s="1">
        <f>[1]!orders[[#This Row],[Ship Date]]-[1]!orders[[#This Row],[Order Date]]</f>
        <v>3</v>
      </c>
      <c r="N2374" s="1">
        <f>WEEKNUM([1]!orders[[#This Row],[Order Date]])</f>
        <v>13</v>
      </c>
      <c r="O2374" t="str" cm="1">
        <f t="array" ref="O2374">_xlfn.IFS([1]!orders[[#This Row],[Customer Gender]]="M","Male", [1]!orders[[#This Row],[Customer Gender]]="F","Female", [1]!orders[[#This Row],[Customer Gender]]="O","Other", TRUE,"Unknown")</f>
        <v>Female</v>
      </c>
    </row>
    <row r="2375" spans="1:15" x14ac:dyDescent="0.25">
      <c r="A2375" t="s">
        <v>2461</v>
      </c>
      <c r="B2375" t="s">
        <v>22</v>
      </c>
      <c r="C2375">
        <v>5</v>
      </c>
      <c r="D2375">
        <v>31.9</v>
      </c>
      <c r="E2375">
        <v>159.5</v>
      </c>
      <c r="F2375" s="3">
        <v>45744</v>
      </c>
      <c r="G2375" s="3">
        <v>45746</v>
      </c>
      <c r="H2375" t="s">
        <v>12</v>
      </c>
      <c r="I2375" t="s">
        <v>25</v>
      </c>
      <c r="J2375">
        <v>5</v>
      </c>
      <c r="K2375" t="s">
        <v>4</v>
      </c>
      <c r="L2375" t="s">
        <v>228</v>
      </c>
      <c r="M2375">
        <f>[1]!orders[[#This Row],[Ship Date]]-[1]!orders[[#This Row],[Order Date]]</f>
        <v>2</v>
      </c>
      <c r="N2375">
        <f>WEEKNUM([1]!orders[[#This Row],[Order Date]])</f>
        <v>13</v>
      </c>
      <c r="O2375" t="str" cm="1">
        <f t="array" ref="O2375">_xlfn.IFS([1]!orders[[#This Row],[Customer Gender]]="M","Male", [1]!orders[[#This Row],[Customer Gender]]="F","Female", [1]!orders[[#This Row],[Customer Gender]]="O","Other", TRUE,"Unknown")</f>
        <v>Female</v>
      </c>
    </row>
    <row r="2376" spans="1:15" x14ac:dyDescent="0.25">
      <c r="A2376" s="1" t="s">
        <v>2462</v>
      </c>
      <c r="B2376" s="1" t="s">
        <v>66</v>
      </c>
      <c r="C2376" s="1">
        <v>5</v>
      </c>
      <c r="D2376" s="1">
        <v>15.8</v>
      </c>
      <c r="E2376" s="1">
        <v>79</v>
      </c>
      <c r="F2376" s="2">
        <v>45745</v>
      </c>
      <c r="G2376" s="2">
        <v>45746</v>
      </c>
      <c r="H2376" s="1" t="s">
        <v>8</v>
      </c>
      <c r="I2376" s="1" t="s">
        <v>36</v>
      </c>
      <c r="J2376" s="1">
        <v>5</v>
      </c>
      <c r="K2376" s="1" t="s">
        <v>4</v>
      </c>
      <c r="L2376" s="1" t="s">
        <v>100</v>
      </c>
      <c r="M2376" s="1">
        <f>[1]!orders[[#This Row],[Ship Date]]-[1]!orders[[#This Row],[Order Date]]</f>
        <v>1</v>
      </c>
      <c r="N2376" s="1">
        <f>WEEKNUM([1]!orders[[#This Row],[Order Date]])</f>
        <v>13</v>
      </c>
      <c r="O2376" t="str" cm="1">
        <f t="array" ref="O2376">_xlfn.IFS([1]!orders[[#This Row],[Customer Gender]]="M","Male", [1]!orders[[#This Row],[Customer Gender]]="F","Female", [1]!orders[[#This Row],[Customer Gender]]="O","Other", TRUE,"Unknown")</f>
        <v>Male</v>
      </c>
    </row>
    <row r="2377" spans="1:15" x14ac:dyDescent="0.25">
      <c r="A2377" t="s">
        <v>2463</v>
      </c>
      <c r="B2377" t="s">
        <v>39</v>
      </c>
      <c r="C2377">
        <v>2</v>
      </c>
      <c r="D2377">
        <v>25.1</v>
      </c>
      <c r="E2377">
        <v>50.2</v>
      </c>
      <c r="F2377" s="3">
        <v>45745</v>
      </c>
      <c r="G2377" s="3">
        <v>45747</v>
      </c>
      <c r="H2377" t="s">
        <v>2</v>
      </c>
      <c r="I2377" t="s">
        <v>20</v>
      </c>
      <c r="J2377">
        <v>4</v>
      </c>
      <c r="K2377" t="s">
        <v>4</v>
      </c>
      <c r="L2377" t="s">
        <v>100</v>
      </c>
      <c r="M2377">
        <f>[1]!orders[[#This Row],[Ship Date]]-[1]!orders[[#This Row],[Order Date]]</f>
        <v>2</v>
      </c>
      <c r="N2377">
        <f>WEEKNUM([1]!orders[[#This Row],[Order Date]])</f>
        <v>13</v>
      </c>
      <c r="O2377" t="str" cm="1">
        <f t="array" ref="O2377">_xlfn.IFS([1]!orders[[#This Row],[Customer Gender]]="M","Male", [1]!orders[[#This Row],[Customer Gender]]="F","Female", [1]!orders[[#This Row],[Customer Gender]]="O","Other", TRUE,"Unknown")</f>
        <v>Unknown</v>
      </c>
    </row>
    <row r="2378" spans="1:15" x14ac:dyDescent="0.25">
      <c r="A2378" s="1" t="s">
        <v>2464</v>
      </c>
      <c r="B2378" s="1" t="s">
        <v>7</v>
      </c>
      <c r="C2378" s="1">
        <v>23</v>
      </c>
      <c r="D2378" s="1">
        <v>38.1</v>
      </c>
      <c r="E2378" s="1">
        <v>876.30000000000007</v>
      </c>
      <c r="F2378" s="2">
        <v>45745</v>
      </c>
      <c r="G2378" s="2">
        <v>45746</v>
      </c>
      <c r="H2378" s="1" t="s">
        <v>12</v>
      </c>
      <c r="I2378" s="1" t="s">
        <v>55</v>
      </c>
      <c r="J2378" s="1">
        <v>4</v>
      </c>
      <c r="K2378" s="1" t="s">
        <v>4</v>
      </c>
      <c r="L2378" s="1" t="s">
        <v>9</v>
      </c>
      <c r="M2378" s="1">
        <f>[1]!orders[[#This Row],[Ship Date]]-[1]!orders[[#This Row],[Order Date]]</f>
        <v>1</v>
      </c>
      <c r="N2378" s="1">
        <f>WEEKNUM([1]!orders[[#This Row],[Order Date]])</f>
        <v>13</v>
      </c>
      <c r="O2378" t="str" cm="1">
        <f t="array" ref="O2378">_xlfn.IFS([1]!orders[[#This Row],[Customer Gender]]="M","Male", [1]!orders[[#This Row],[Customer Gender]]="F","Female", [1]!orders[[#This Row],[Customer Gender]]="O","Other", TRUE,"Unknown")</f>
        <v>Female</v>
      </c>
    </row>
    <row r="2379" spans="1:15" x14ac:dyDescent="0.25">
      <c r="A2379" t="s">
        <v>2465</v>
      </c>
      <c r="B2379" t="s">
        <v>15</v>
      </c>
      <c r="C2379">
        <v>2</v>
      </c>
      <c r="D2379">
        <v>42.2</v>
      </c>
      <c r="E2379">
        <v>84.4</v>
      </c>
      <c r="F2379" s="3">
        <v>45745</v>
      </c>
      <c r="G2379" s="3">
        <v>45747</v>
      </c>
      <c r="H2379" t="s">
        <v>12</v>
      </c>
      <c r="I2379" t="s">
        <v>3</v>
      </c>
      <c r="J2379">
        <v>5</v>
      </c>
      <c r="K2379" t="s">
        <v>4</v>
      </c>
      <c r="L2379" t="s">
        <v>9</v>
      </c>
      <c r="M2379">
        <f>[1]!orders[[#This Row],[Ship Date]]-[1]!orders[[#This Row],[Order Date]]</f>
        <v>2</v>
      </c>
      <c r="N2379">
        <f>WEEKNUM([1]!orders[[#This Row],[Order Date]])</f>
        <v>13</v>
      </c>
      <c r="O2379" t="str" cm="1">
        <f t="array" ref="O2379">_xlfn.IFS([1]!orders[[#This Row],[Customer Gender]]="M","Male", [1]!orders[[#This Row],[Customer Gender]]="F","Female", [1]!orders[[#This Row],[Customer Gender]]="O","Other", TRUE,"Unknown")</f>
        <v>Female</v>
      </c>
    </row>
    <row r="2380" spans="1:15" x14ac:dyDescent="0.25">
      <c r="A2380" s="1" t="s">
        <v>2466</v>
      </c>
      <c r="B2380" s="1" t="s">
        <v>1</v>
      </c>
      <c r="C2380" s="1">
        <v>10</v>
      </c>
      <c r="D2380" s="1">
        <v>12.3</v>
      </c>
      <c r="E2380" s="1">
        <v>123</v>
      </c>
      <c r="F2380" s="2">
        <v>45745</v>
      </c>
      <c r="G2380" s="2">
        <v>45746</v>
      </c>
      <c r="H2380" s="1" t="s">
        <v>12</v>
      </c>
      <c r="I2380" s="1" t="s">
        <v>55</v>
      </c>
      <c r="J2380" s="1">
        <v>4</v>
      </c>
      <c r="K2380" s="1" t="s">
        <v>4</v>
      </c>
      <c r="L2380" s="1" t="s">
        <v>13</v>
      </c>
      <c r="M2380" s="1">
        <f>[1]!orders[[#This Row],[Ship Date]]-[1]!orders[[#This Row],[Order Date]]</f>
        <v>1</v>
      </c>
      <c r="N2380" s="1">
        <f>WEEKNUM([1]!orders[[#This Row],[Order Date]])</f>
        <v>13</v>
      </c>
      <c r="O2380" t="str" cm="1">
        <f t="array" ref="O2380">_xlfn.IFS([1]!orders[[#This Row],[Customer Gender]]="M","Male", [1]!orders[[#This Row],[Customer Gender]]="F","Female", [1]!orders[[#This Row],[Customer Gender]]="O","Other", TRUE,"Unknown")</f>
        <v>Female</v>
      </c>
    </row>
    <row r="2381" spans="1:15" x14ac:dyDescent="0.25">
      <c r="A2381" t="s">
        <v>2467</v>
      </c>
      <c r="B2381" t="s">
        <v>27</v>
      </c>
      <c r="C2381">
        <v>1</v>
      </c>
      <c r="D2381">
        <v>30.2</v>
      </c>
      <c r="E2381">
        <v>30.2</v>
      </c>
      <c r="F2381" s="3">
        <v>45745</v>
      </c>
      <c r="G2381" s="3">
        <v>45747</v>
      </c>
      <c r="H2381" t="s">
        <v>12</v>
      </c>
      <c r="I2381" t="s">
        <v>20</v>
      </c>
      <c r="J2381">
        <v>5</v>
      </c>
      <c r="K2381" t="s">
        <v>4</v>
      </c>
      <c r="L2381" t="s">
        <v>319</v>
      </c>
      <c r="M2381">
        <f>[1]!orders[[#This Row],[Ship Date]]-[1]!orders[[#This Row],[Order Date]]</f>
        <v>2</v>
      </c>
      <c r="N2381">
        <f>WEEKNUM([1]!orders[[#This Row],[Order Date]])</f>
        <v>13</v>
      </c>
      <c r="O2381" t="str" cm="1">
        <f t="array" ref="O2381">_xlfn.IFS([1]!orders[[#This Row],[Customer Gender]]="M","Male", [1]!orders[[#This Row],[Customer Gender]]="F","Female", [1]!orders[[#This Row],[Customer Gender]]="O","Other", TRUE,"Unknown")</f>
        <v>Female</v>
      </c>
    </row>
    <row r="2382" spans="1:15" x14ac:dyDescent="0.25">
      <c r="A2382" s="1" t="s">
        <v>2468</v>
      </c>
      <c r="B2382" s="1" t="s">
        <v>22</v>
      </c>
      <c r="C2382" s="1">
        <v>3</v>
      </c>
      <c r="D2382" s="1">
        <v>25.3</v>
      </c>
      <c r="E2382" s="1">
        <v>75.900000000000006</v>
      </c>
      <c r="F2382" s="2">
        <v>45745</v>
      </c>
      <c r="G2382" s="2">
        <v>45748</v>
      </c>
      <c r="H2382" s="1" t="s">
        <v>12</v>
      </c>
      <c r="I2382" s="1" t="s">
        <v>25</v>
      </c>
      <c r="J2382" s="1">
        <v>4</v>
      </c>
      <c r="K2382" s="1" t="s">
        <v>4</v>
      </c>
      <c r="L2382" s="1" t="s">
        <v>18</v>
      </c>
      <c r="M2382" s="1">
        <f>[1]!orders[[#This Row],[Ship Date]]-[1]!orders[[#This Row],[Order Date]]</f>
        <v>3</v>
      </c>
      <c r="N2382" s="1">
        <f>WEEKNUM([1]!orders[[#This Row],[Order Date]])</f>
        <v>13</v>
      </c>
      <c r="O2382" t="str" cm="1">
        <f t="array" ref="O2382">_xlfn.IFS([1]!orders[[#This Row],[Customer Gender]]="M","Male", [1]!orders[[#This Row],[Customer Gender]]="F","Female", [1]!orders[[#This Row],[Customer Gender]]="O","Other", TRUE,"Unknown")</f>
        <v>Female</v>
      </c>
    </row>
    <row r="2383" spans="1:15" x14ac:dyDescent="0.25">
      <c r="A2383" t="s">
        <v>2469</v>
      </c>
      <c r="B2383" t="s">
        <v>29</v>
      </c>
      <c r="C2383">
        <v>5</v>
      </c>
      <c r="D2383">
        <v>29.7</v>
      </c>
      <c r="E2383">
        <v>148.5</v>
      </c>
      <c r="F2383" s="3">
        <v>45745</v>
      </c>
      <c r="G2383" s="3">
        <v>45747</v>
      </c>
      <c r="H2383" t="s">
        <v>8</v>
      </c>
      <c r="I2383" t="s">
        <v>36</v>
      </c>
      <c r="J2383">
        <v>4</v>
      </c>
      <c r="K2383" t="s">
        <v>4</v>
      </c>
      <c r="L2383" t="s">
        <v>18</v>
      </c>
      <c r="M2383">
        <f>[1]!orders[[#This Row],[Ship Date]]-[1]!orders[[#This Row],[Order Date]]</f>
        <v>2</v>
      </c>
      <c r="N2383">
        <f>WEEKNUM([1]!orders[[#This Row],[Order Date]])</f>
        <v>13</v>
      </c>
      <c r="O2383" t="str" cm="1">
        <f t="array" ref="O2383">_xlfn.IFS([1]!orders[[#This Row],[Customer Gender]]="M","Male", [1]!orders[[#This Row],[Customer Gender]]="F","Female", [1]!orders[[#This Row],[Customer Gender]]="O","Other", TRUE,"Unknown")</f>
        <v>Male</v>
      </c>
    </row>
    <row r="2384" spans="1:15" x14ac:dyDescent="0.25">
      <c r="A2384" s="1" t="s">
        <v>2470</v>
      </c>
      <c r="B2384" s="1" t="s">
        <v>31</v>
      </c>
      <c r="C2384" s="1">
        <v>8</v>
      </c>
      <c r="D2384" s="1">
        <v>32.9</v>
      </c>
      <c r="E2384" s="1">
        <v>263.2</v>
      </c>
      <c r="F2384" s="2">
        <v>45745</v>
      </c>
      <c r="G2384" s="2">
        <v>45746</v>
      </c>
      <c r="H2384" s="1" t="s">
        <v>2</v>
      </c>
      <c r="I2384" s="1" t="s">
        <v>36</v>
      </c>
      <c r="J2384" s="1">
        <v>5</v>
      </c>
      <c r="K2384" s="1" t="s">
        <v>4</v>
      </c>
      <c r="L2384" s="1" t="s">
        <v>18</v>
      </c>
      <c r="M2384" s="1">
        <f>[1]!orders[[#This Row],[Ship Date]]-[1]!orders[[#This Row],[Order Date]]</f>
        <v>1</v>
      </c>
      <c r="N2384" s="1">
        <f>WEEKNUM([1]!orders[[#This Row],[Order Date]])</f>
        <v>13</v>
      </c>
      <c r="O2384" t="str" cm="1">
        <f t="array" ref="O2384">_xlfn.IFS([1]!orders[[#This Row],[Customer Gender]]="M","Male", [1]!orders[[#This Row],[Customer Gender]]="F","Female", [1]!orders[[#This Row],[Customer Gender]]="O","Other", TRUE,"Unknown")</f>
        <v>Unknown</v>
      </c>
    </row>
    <row r="2385" spans="1:15" x14ac:dyDescent="0.25">
      <c r="A2385" t="s">
        <v>2471</v>
      </c>
      <c r="B2385" t="s">
        <v>39</v>
      </c>
      <c r="C2385">
        <v>2</v>
      </c>
      <c r="D2385">
        <v>43.6</v>
      </c>
      <c r="E2385">
        <v>87.2</v>
      </c>
      <c r="F2385" s="3">
        <v>45745</v>
      </c>
      <c r="G2385" s="3">
        <v>45746</v>
      </c>
      <c r="H2385" t="s">
        <v>8</v>
      </c>
      <c r="I2385" t="s">
        <v>20</v>
      </c>
      <c r="J2385">
        <v>5</v>
      </c>
      <c r="K2385" t="s">
        <v>4</v>
      </c>
      <c r="L2385" t="s">
        <v>18</v>
      </c>
      <c r="M2385">
        <f>[1]!orders[[#This Row],[Ship Date]]-[1]!orders[[#This Row],[Order Date]]</f>
        <v>1</v>
      </c>
      <c r="N2385">
        <f>WEEKNUM([1]!orders[[#This Row],[Order Date]])</f>
        <v>13</v>
      </c>
      <c r="O2385" t="str" cm="1">
        <f t="array" ref="O2385">_xlfn.IFS([1]!orders[[#This Row],[Customer Gender]]="M","Male", [1]!orders[[#This Row],[Customer Gender]]="F","Female", [1]!orders[[#This Row],[Customer Gender]]="O","Other", TRUE,"Unknown")</f>
        <v>Male</v>
      </c>
    </row>
    <row r="2386" spans="1:15" x14ac:dyDescent="0.25">
      <c r="A2386" s="1" t="s">
        <v>2472</v>
      </c>
      <c r="B2386" s="1" t="s">
        <v>108</v>
      </c>
      <c r="C2386" s="1">
        <v>4</v>
      </c>
      <c r="D2386" s="1">
        <v>78.400000000000006</v>
      </c>
      <c r="E2386" s="1">
        <v>313.60000000000002</v>
      </c>
      <c r="F2386" s="2">
        <v>45745</v>
      </c>
      <c r="G2386" s="2">
        <v>45746</v>
      </c>
      <c r="H2386" s="1" t="s">
        <v>8</v>
      </c>
      <c r="I2386" s="1" t="s">
        <v>25</v>
      </c>
      <c r="J2386" s="1">
        <v>4</v>
      </c>
      <c r="K2386" s="1" t="s">
        <v>4</v>
      </c>
      <c r="L2386" s="1" t="s">
        <v>18</v>
      </c>
      <c r="M2386" s="1">
        <f>[1]!orders[[#This Row],[Ship Date]]-[1]!orders[[#This Row],[Order Date]]</f>
        <v>1</v>
      </c>
      <c r="N2386" s="1">
        <f>WEEKNUM([1]!orders[[#This Row],[Order Date]])</f>
        <v>13</v>
      </c>
      <c r="O2386" t="str" cm="1">
        <f t="array" ref="O2386">_xlfn.IFS([1]!orders[[#This Row],[Customer Gender]]="M","Male", [1]!orders[[#This Row],[Customer Gender]]="F","Female", [1]!orders[[#This Row],[Customer Gender]]="O","Other", TRUE,"Unknown")</f>
        <v>Male</v>
      </c>
    </row>
    <row r="2387" spans="1:15" x14ac:dyDescent="0.25">
      <c r="A2387" t="s">
        <v>2473</v>
      </c>
      <c r="B2387" t="s">
        <v>24</v>
      </c>
      <c r="C2387">
        <v>2</v>
      </c>
      <c r="D2387">
        <v>56.5</v>
      </c>
      <c r="E2387">
        <v>113</v>
      </c>
      <c r="F2387" s="3">
        <v>45745</v>
      </c>
      <c r="G2387" s="3">
        <v>45749</v>
      </c>
      <c r="H2387" t="s">
        <v>8</v>
      </c>
      <c r="I2387" t="s">
        <v>20</v>
      </c>
      <c r="J2387">
        <v>3</v>
      </c>
      <c r="K2387" t="s">
        <v>4</v>
      </c>
      <c r="L2387" t="s">
        <v>18</v>
      </c>
      <c r="M2387">
        <f>[1]!orders[[#This Row],[Ship Date]]-[1]!orders[[#This Row],[Order Date]]</f>
        <v>4</v>
      </c>
      <c r="N2387">
        <f>WEEKNUM([1]!orders[[#This Row],[Order Date]])</f>
        <v>13</v>
      </c>
      <c r="O2387" t="str" cm="1">
        <f t="array" ref="O2387">_xlfn.IFS([1]!orders[[#This Row],[Customer Gender]]="M","Male", [1]!orders[[#This Row],[Customer Gender]]="F","Female", [1]!orders[[#This Row],[Customer Gender]]="O","Other", TRUE,"Unknown")</f>
        <v>Male</v>
      </c>
    </row>
    <row r="2388" spans="1:15" x14ac:dyDescent="0.25">
      <c r="A2388" s="1" t="s">
        <v>2474</v>
      </c>
      <c r="B2388" s="1" t="s">
        <v>113</v>
      </c>
      <c r="C2388" s="1">
        <v>1</v>
      </c>
      <c r="D2388" s="1">
        <v>36.700000000000003</v>
      </c>
      <c r="E2388" s="1">
        <v>36.700000000000003</v>
      </c>
      <c r="F2388" s="2">
        <v>45745</v>
      </c>
      <c r="G2388" s="2">
        <v>45746</v>
      </c>
      <c r="H2388" s="1" t="s">
        <v>12</v>
      </c>
      <c r="I2388" s="1" t="s">
        <v>3</v>
      </c>
      <c r="J2388" s="1">
        <v>5</v>
      </c>
      <c r="K2388" s="1" t="s">
        <v>4</v>
      </c>
      <c r="L2388" s="1" t="s">
        <v>18</v>
      </c>
      <c r="M2388" s="1">
        <f>[1]!orders[[#This Row],[Ship Date]]-[1]!orders[[#This Row],[Order Date]]</f>
        <v>1</v>
      </c>
      <c r="N2388" s="1">
        <f>WEEKNUM([1]!orders[[#This Row],[Order Date]])</f>
        <v>13</v>
      </c>
      <c r="O2388" t="str" cm="1">
        <f t="array" ref="O2388">_xlfn.IFS([1]!orders[[#This Row],[Customer Gender]]="M","Male", [1]!orders[[#This Row],[Customer Gender]]="F","Female", [1]!orders[[#This Row],[Customer Gender]]="O","Other", TRUE,"Unknown")</f>
        <v>Female</v>
      </c>
    </row>
    <row r="2389" spans="1:15" x14ac:dyDescent="0.25">
      <c r="A2389" t="s">
        <v>2475</v>
      </c>
      <c r="B2389" t="s">
        <v>11</v>
      </c>
      <c r="C2389">
        <v>4</v>
      </c>
      <c r="D2389">
        <v>103.6</v>
      </c>
      <c r="E2389">
        <v>414.4</v>
      </c>
      <c r="F2389" s="3">
        <v>45745</v>
      </c>
      <c r="G2389" s="3">
        <v>45756</v>
      </c>
      <c r="H2389" t="s">
        <v>8</v>
      </c>
      <c r="I2389" t="s">
        <v>55</v>
      </c>
      <c r="J2389">
        <v>5</v>
      </c>
      <c r="K2389" t="s">
        <v>4</v>
      </c>
      <c r="L2389" t="s">
        <v>18</v>
      </c>
      <c r="M2389">
        <f>[1]!orders[[#This Row],[Ship Date]]-[1]!orders[[#This Row],[Order Date]]</f>
        <v>11</v>
      </c>
      <c r="N2389">
        <f>WEEKNUM([1]!orders[[#This Row],[Order Date]])</f>
        <v>13</v>
      </c>
      <c r="O2389" t="str" cm="1">
        <f t="array" ref="O2389">_xlfn.IFS([1]!orders[[#This Row],[Customer Gender]]="M","Male", [1]!orders[[#This Row],[Customer Gender]]="F","Female", [1]!orders[[#This Row],[Customer Gender]]="O","Other", TRUE,"Unknown")</f>
        <v>Male</v>
      </c>
    </row>
    <row r="2390" spans="1:15" x14ac:dyDescent="0.25">
      <c r="A2390" s="1" t="s">
        <v>2476</v>
      </c>
      <c r="B2390" s="1" t="s">
        <v>29</v>
      </c>
      <c r="C2390" s="1">
        <v>6</v>
      </c>
      <c r="D2390" s="1">
        <v>16.2</v>
      </c>
      <c r="E2390" s="1">
        <v>97.199999999999989</v>
      </c>
      <c r="F2390" s="2">
        <v>45745</v>
      </c>
      <c r="G2390" s="2">
        <v>45749</v>
      </c>
      <c r="H2390" s="1" t="s">
        <v>8</v>
      </c>
      <c r="I2390" s="1" t="s">
        <v>20</v>
      </c>
      <c r="J2390" s="1">
        <v>5</v>
      </c>
      <c r="K2390" s="1" t="s">
        <v>4</v>
      </c>
      <c r="L2390" s="1" t="s">
        <v>40</v>
      </c>
      <c r="M2390" s="1">
        <f>[1]!orders[[#This Row],[Ship Date]]-[1]!orders[[#This Row],[Order Date]]</f>
        <v>4</v>
      </c>
      <c r="N2390" s="1">
        <f>WEEKNUM([1]!orders[[#This Row],[Order Date]])</f>
        <v>13</v>
      </c>
      <c r="O2390" t="str" cm="1">
        <f t="array" ref="O2390">_xlfn.IFS([1]!orders[[#This Row],[Customer Gender]]="M","Male", [1]!orders[[#This Row],[Customer Gender]]="F","Female", [1]!orders[[#This Row],[Customer Gender]]="O","Other", TRUE,"Unknown")</f>
        <v>Male</v>
      </c>
    </row>
    <row r="2391" spans="1:15" x14ac:dyDescent="0.25">
      <c r="A2391" t="s">
        <v>2477</v>
      </c>
      <c r="B2391" t="s">
        <v>29</v>
      </c>
      <c r="C2391">
        <v>2</v>
      </c>
      <c r="D2391">
        <v>20.2</v>
      </c>
      <c r="E2391">
        <v>40.4</v>
      </c>
      <c r="F2391" s="3">
        <v>45745</v>
      </c>
      <c r="G2391" s="3">
        <v>45746</v>
      </c>
      <c r="H2391" t="s">
        <v>12</v>
      </c>
      <c r="I2391" t="s">
        <v>3</v>
      </c>
      <c r="J2391">
        <v>4</v>
      </c>
      <c r="K2391" t="s">
        <v>4</v>
      </c>
      <c r="L2391" t="s">
        <v>40</v>
      </c>
      <c r="M2391">
        <f>[1]!orders[[#This Row],[Ship Date]]-[1]!orders[[#This Row],[Order Date]]</f>
        <v>1</v>
      </c>
      <c r="N2391">
        <f>WEEKNUM([1]!orders[[#This Row],[Order Date]])</f>
        <v>13</v>
      </c>
      <c r="O2391" t="str" cm="1">
        <f t="array" ref="O2391">_xlfn.IFS([1]!orders[[#This Row],[Customer Gender]]="M","Male", [1]!orders[[#This Row],[Customer Gender]]="F","Female", [1]!orders[[#This Row],[Customer Gender]]="O","Other", TRUE,"Unknown")</f>
        <v>Female</v>
      </c>
    </row>
    <row r="2392" spans="1:15" x14ac:dyDescent="0.25">
      <c r="A2392" s="1" t="s">
        <v>2478</v>
      </c>
      <c r="B2392" s="1" t="s">
        <v>52</v>
      </c>
      <c r="C2392" s="1">
        <v>2</v>
      </c>
      <c r="D2392" s="1">
        <v>26.9</v>
      </c>
      <c r="E2392" s="1">
        <v>53.8</v>
      </c>
      <c r="F2392" s="2">
        <v>45745</v>
      </c>
      <c r="G2392" s="2">
        <v>45747</v>
      </c>
      <c r="H2392" s="1" t="s">
        <v>12</v>
      </c>
      <c r="I2392" s="1" t="s">
        <v>25</v>
      </c>
      <c r="J2392" s="1">
        <v>4</v>
      </c>
      <c r="K2392" s="1" t="s">
        <v>4</v>
      </c>
      <c r="L2392" s="1" t="s">
        <v>40</v>
      </c>
      <c r="M2392" s="1">
        <f>[1]!orders[[#This Row],[Ship Date]]-[1]!orders[[#This Row],[Order Date]]</f>
        <v>2</v>
      </c>
      <c r="N2392" s="1">
        <f>WEEKNUM([1]!orders[[#This Row],[Order Date]])</f>
        <v>13</v>
      </c>
      <c r="O2392" t="str" cm="1">
        <f t="array" ref="O2392">_xlfn.IFS([1]!orders[[#This Row],[Customer Gender]]="M","Male", [1]!orders[[#This Row],[Customer Gender]]="F","Female", [1]!orders[[#This Row],[Customer Gender]]="O","Other", TRUE,"Unknown")</f>
        <v>Female</v>
      </c>
    </row>
    <row r="2393" spans="1:15" x14ac:dyDescent="0.25">
      <c r="A2393" t="s">
        <v>2479</v>
      </c>
      <c r="B2393" t="s">
        <v>7</v>
      </c>
      <c r="C2393">
        <v>2</v>
      </c>
      <c r="D2393">
        <v>82.4</v>
      </c>
      <c r="E2393">
        <v>164.8</v>
      </c>
      <c r="F2393" s="3">
        <v>45745</v>
      </c>
      <c r="G2393" s="3">
        <v>45748</v>
      </c>
      <c r="H2393" t="s">
        <v>2</v>
      </c>
      <c r="I2393" t="s">
        <v>3</v>
      </c>
      <c r="J2393">
        <v>4</v>
      </c>
      <c r="K2393" t="s">
        <v>4</v>
      </c>
      <c r="L2393" t="s">
        <v>44</v>
      </c>
      <c r="M2393">
        <f>[1]!orders[[#This Row],[Ship Date]]-[1]!orders[[#This Row],[Order Date]]</f>
        <v>3</v>
      </c>
      <c r="N2393">
        <f>WEEKNUM([1]!orders[[#This Row],[Order Date]])</f>
        <v>13</v>
      </c>
      <c r="O2393" t="str" cm="1">
        <f t="array" ref="O2393">_xlfn.IFS([1]!orders[[#This Row],[Customer Gender]]="M","Male", [1]!orders[[#This Row],[Customer Gender]]="F","Female", [1]!orders[[#This Row],[Customer Gender]]="O","Other", TRUE,"Unknown")</f>
        <v>Unknown</v>
      </c>
    </row>
    <row r="2394" spans="1:15" x14ac:dyDescent="0.25">
      <c r="A2394" s="1" t="s">
        <v>2480</v>
      </c>
      <c r="B2394" s="1" t="s">
        <v>11</v>
      </c>
      <c r="C2394" s="1">
        <v>2</v>
      </c>
      <c r="D2394" s="1">
        <v>117.8</v>
      </c>
      <c r="E2394" s="1">
        <v>235.6</v>
      </c>
      <c r="F2394" s="2">
        <v>45745</v>
      </c>
      <c r="G2394" s="2">
        <v>45747</v>
      </c>
      <c r="H2394" s="1" t="s">
        <v>8</v>
      </c>
      <c r="I2394" s="1" t="s">
        <v>20</v>
      </c>
      <c r="J2394" s="1">
        <v>5</v>
      </c>
      <c r="K2394" s="1" t="s">
        <v>4</v>
      </c>
      <c r="L2394" s="1" t="s">
        <v>47</v>
      </c>
      <c r="M2394" s="1">
        <f>[1]!orders[[#This Row],[Ship Date]]-[1]!orders[[#This Row],[Order Date]]</f>
        <v>2</v>
      </c>
      <c r="N2394" s="1">
        <f>WEEKNUM([1]!orders[[#This Row],[Order Date]])</f>
        <v>13</v>
      </c>
      <c r="O2394" t="str" cm="1">
        <f t="array" ref="O2394">_xlfn.IFS([1]!orders[[#This Row],[Customer Gender]]="M","Male", [1]!orders[[#This Row],[Customer Gender]]="F","Female", [1]!orders[[#This Row],[Customer Gender]]="O","Other", TRUE,"Unknown")</f>
        <v>Male</v>
      </c>
    </row>
    <row r="2395" spans="1:15" x14ac:dyDescent="0.25">
      <c r="A2395" t="s">
        <v>2481</v>
      </c>
      <c r="B2395" t="s">
        <v>52</v>
      </c>
      <c r="C2395">
        <v>4</v>
      </c>
      <c r="D2395">
        <v>36.700000000000003</v>
      </c>
      <c r="E2395">
        <v>146.80000000000001</v>
      </c>
      <c r="F2395" s="3">
        <v>45745</v>
      </c>
      <c r="G2395" s="3">
        <v>45746</v>
      </c>
      <c r="H2395" t="s">
        <v>8</v>
      </c>
      <c r="I2395" t="s">
        <v>20</v>
      </c>
      <c r="J2395">
        <v>4</v>
      </c>
      <c r="K2395" t="s">
        <v>4</v>
      </c>
      <c r="L2395" t="s">
        <v>47</v>
      </c>
      <c r="M2395">
        <f>[1]!orders[[#This Row],[Ship Date]]-[1]!orders[[#This Row],[Order Date]]</f>
        <v>1</v>
      </c>
      <c r="N2395">
        <f>WEEKNUM([1]!orders[[#This Row],[Order Date]])</f>
        <v>13</v>
      </c>
      <c r="O2395" t="str" cm="1">
        <f t="array" ref="O2395">_xlfn.IFS([1]!orders[[#This Row],[Customer Gender]]="M","Male", [1]!orders[[#This Row],[Customer Gender]]="F","Female", [1]!orders[[#This Row],[Customer Gender]]="O","Other", TRUE,"Unknown")</f>
        <v>Male</v>
      </c>
    </row>
    <row r="2396" spans="1:15" x14ac:dyDescent="0.25">
      <c r="A2396" s="1" t="s">
        <v>2482</v>
      </c>
      <c r="B2396" s="1" t="s">
        <v>120</v>
      </c>
      <c r="C2396" s="1">
        <v>3</v>
      </c>
      <c r="D2396" s="1">
        <v>46.8</v>
      </c>
      <c r="E2396" s="1">
        <v>140.39999999999998</v>
      </c>
      <c r="F2396" s="2">
        <v>45745</v>
      </c>
      <c r="G2396" s="2">
        <v>45746</v>
      </c>
      <c r="H2396" s="1" t="s">
        <v>8</v>
      </c>
      <c r="I2396" s="1" t="s">
        <v>55</v>
      </c>
      <c r="J2396" s="1">
        <v>5</v>
      </c>
      <c r="K2396" s="1" t="s">
        <v>4</v>
      </c>
      <c r="L2396" s="1" t="s">
        <v>59</v>
      </c>
      <c r="M2396" s="1">
        <f>[1]!orders[[#This Row],[Ship Date]]-[1]!orders[[#This Row],[Order Date]]</f>
        <v>1</v>
      </c>
      <c r="N2396" s="1">
        <f>WEEKNUM([1]!orders[[#This Row],[Order Date]])</f>
        <v>13</v>
      </c>
      <c r="O2396" t="str" cm="1">
        <f t="array" ref="O2396">_xlfn.IFS([1]!orders[[#This Row],[Customer Gender]]="M","Male", [1]!orders[[#This Row],[Customer Gender]]="F","Female", [1]!orders[[#This Row],[Customer Gender]]="O","Other", TRUE,"Unknown")</f>
        <v>Male</v>
      </c>
    </row>
    <row r="2397" spans="1:15" x14ac:dyDescent="0.25">
      <c r="A2397" t="s">
        <v>2483</v>
      </c>
      <c r="B2397" t="s">
        <v>15</v>
      </c>
      <c r="C2397">
        <v>1</v>
      </c>
      <c r="D2397">
        <v>61.4</v>
      </c>
      <c r="E2397">
        <v>61.4</v>
      </c>
      <c r="F2397" s="3">
        <v>45745</v>
      </c>
      <c r="G2397" s="3">
        <v>45746</v>
      </c>
      <c r="H2397" t="s">
        <v>8</v>
      </c>
      <c r="I2397" t="s">
        <v>20</v>
      </c>
      <c r="J2397">
        <v>4</v>
      </c>
      <c r="K2397" t="s">
        <v>4</v>
      </c>
      <c r="L2397" t="s">
        <v>59</v>
      </c>
      <c r="M2397">
        <f>[1]!orders[[#This Row],[Ship Date]]-[1]!orders[[#This Row],[Order Date]]</f>
        <v>1</v>
      </c>
      <c r="N2397">
        <f>WEEKNUM([1]!orders[[#This Row],[Order Date]])</f>
        <v>13</v>
      </c>
      <c r="O2397" t="str" cm="1">
        <f t="array" ref="O2397">_xlfn.IFS([1]!orders[[#This Row],[Customer Gender]]="M","Male", [1]!orders[[#This Row],[Customer Gender]]="F","Female", [1]!orders[[#This Row],[Customer Gender]]="O","Other", TRUE,"Unknown")</f>
        <v>Male</v>
      </c>
    </row>
    <row r="2398" spans="1:15" x14ac:dyDescent="0.25">
      <c r="A2398" s="1" t="s">
        <v>2484</v>
      </c>
      <c r="B2398" s="1" t="s">
        <v>108</v>
      </c>
      <c r="C2398" s="1">
        <v>2</v>
      </c>
      <c r="D2398" s="1">
        <v>22.9</v>
      </c>
      <c r="E2398" s="1">
        <v>45.8</v>
      </c>
      <c r="F2398" s="2">
        <v>45745</v>
      </c>
      <c r="G2398" s="2">
        <v>45746</v>
      </c>
      <c r="H2398" s="1" t="s">
        <v>8</v>
      </c>
      <c r="I2398" s="1" t="s">
        <v>3</v>
      </c>
      <c r="J2398" s="1">
        <v>4</v>
      </c>
      <c r="K2398" s="1" t="s">
        <v>4</v>
      </c>
      <c r="L2398" s="1" t="s">
        <v>62</v>
      </c>
      <c r="M2398" s="1">
        <f>[1]!orders[[#This Row],[Ship Date]]-[1]!orders[[#This Row],[Order Date]]</f>
        <v>1</v>
      </c>
      <c r="N2398" s="1">
        <f>WEEKNUM([1]!orders[[#This Row],[Order Date]])</f>
        <v>13</v>
      </c>
      <c r="O2398" t="str" cm="1">
        <f t="array" ref="O2398">_xlfn.IFS([1]!orders[[#This Row],[Customer Gender]]="M","Male", [1]!orders[[#This Row],[Customer Gender]]="F","Female", [1]!orders[[#This Row],[Customer Gender]]="O","Other", TRUE,"Unknown")</f>
        <v>Male</v>
      </c>
    </row>
    <row r="2399" spans="1:15" x14ac:dyDescent="0.25">
      <c r="A2399" t="s">
        <v>2485</v>
      </c>
      <c r="B2399" t="s">
        <v>39</v>
      </c>
      <c r="C2399">
        <v>2</v>
      </c>
      <c r="D2399">
        <v>22.1</v>
      </c>
      <c r="E2399">
        <v>44.2</v>
      </c>
      <c r="F2399" s="3">
        <v>45745</v>
      </c>
      <c r="G2399" s="3">
        <v>45746</v>
      </c>
      <c r="H2399" t="s">
        <v>12</v>
      </c>
      <c r="I2399" t="s">
        <v>55</v>
      </c>
      <c r="J2399">
        <v>4</v>
      </c>
      <c r="K2399" t="s">
        <v>4</v>
      </c>
      <c r="L2399" t="s">
        <v>62</v>
      </c>
      <c r="M2399">
        <f>[1]!orders[[#This Row],[Ship Date]]-[1]!orders[[#This Row],[Order Date]]</f>
        <v>1</v>
      </c>
      <c r="N2399">
        <f>WEEKNUM([1]!orders[[#This Row],[Order Date]])</f>
        <v>13</v>
      </c>
      <c r="O2399" t="str" cm="1">
        <f t="array" ref="O2399">_xlfn.IFS([1]!orders[[#This Row],[Customer Gender]]="M","Male", [1]!orders[[#This Row],[Customer Gender]]="F","Female", [1]!orders[[#This Row],[Customer Gender]]="O","Other", TRUE,"Unknown")</f>
        <v>Female</v>
      </c>
    </row>
    <row r="2400" spans="1:15" x14ac:dyDescent="0.25">
      <c r="A2400" s="1" t="s">
        <v>2486</v>
      </c>
      <c r="B2400" s="1" t="s">
        <v>54</v>
      </c>
      <c r="C2400" s="1">
        <v>2</v>
      </c>
      <c r="D2400" s="1">
        <v>31</v>
      </c>
      <c r="E2400" s="1">
        <v>62</v>
      </c>
      <c r="F2400" s="2">
        <v>45745</v>
      </c>
      <c r="G2400" s="2">
        <v>45747</v>
      </c>
      <c r="H2400" s="1" t="s">
        <v>12</v>
      </c>
      <c r="I2400" s="1" t="s">
        <v>25</v>
      </c>
      <c r="J2400" s="1">
        <v>4</v>
      </c>
      <c r="K2400" s="1" t="s">
        <v>4</v>
      </c>
      <c r="L2400" s="1" t="s">
        <v>93</v>
      </c>
      <c r="M2400" s="1">
        <f>[1]!orders[[#This Row],[Ship Date]]-[1]!orders[[#This Row],[Order Date]]</f>
        <v>2</v>
      </c>
      <c r="N2400" s="1">
        <f>WEEKNUM([1]!orders[[#This Row],[Order Date]])</f>
        <v>13</v>
      </c>
      <c r="O2400" t="str" cm="1">
        <f t="array" ref="O2400">_xlfn.IFS([1]!orders[[#This Row],[Customer Gender]]="M","Male", [1]!orders[[#This Row],[Customer Gender]]="F","Female", [1]!orders[[#This Row],[Customer Gender]]="O","Other", TRUE,"Unknown")</f>
        <v>Female</v>
      </c>
    </row>
    <row r="2401" spans="1:15" ht="15.75" thickBot="1" x14ac:dyDescent="0.3">
      <c r="A2401" s="4" t="s">
        <v>2487</v>
      </c>
      <c r="B2401" s="4" t="s">
        <v>131</v>
      </c>
      <c r="C2401" s="4">
        <v>2</v>
      </c>
      <c r="D2401" s="4">
        <v>84.2</v>
      </c>
      <c r="E2401" s="4">
        <v>168.4</v>
      </c>
      <c r="F2401" s="5">
        <v>45745</v>
      </c>
      <c r="G2401" s="5">
        <v>45747</v>
      </c>
      <c r="H2401" s="4" t="s">
        <v>8</v>
      </c>
      <c r="I2401" s="4" t="s">
        <v>25</v>
      </c>
      <c r="J2401" s="4">
        <v>5</v>
      </c>
      <c r="K2401" s="4" t="s">
        <v>4</v>
      </c>
      <c r="L2401" s="4" t="s">
        <v>67</v>
      </c>
      <c r="M2401" s="4">
        <f>[1]!orders[[#This Row],[Ship Date]]-[1]!orders[[#This Row],[Order Date]]</f>
        <v>2</v>
      </c>
      <c r="N2401" s="4">
        <f>WEEKNUM([1]!orders[[#This Row],[Order Date]])</f>
        <v>13</v>
      </c>
      <c r="O2401" t="str" cm="1">
        <f t="array" ref="O2401">_xlfn.IFS([1]!orders[[#This Row],[Customer Gender]]="M","Male", [1]!orders[[#This Row],[Customer Gender]]="F","Female", [1]!orders[[#This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53CF-277F-4CD4-A4AA-8C1BCC4ED6D9}">
  <dimension ref="A3:H66"/>
  <sheetViews>
    <sheetView topLeftCell="A32" workbookViewId="0">
      <selection activeCell="J64" sqref="J64"/>
    </sheetView>
  </sheetViews>
  <sheetFormatPr defaultRowHeight="15" x14ac:dyDescent="0.25"/>
  <cols>
    <col min="1" max="1" width="20.85546875" bestFit="1" customWidth="1"/>
    <col min="2" max="2" width="13.42578125" bestFit="1" customWidth="1"/>
    <col min="3" max="3" width="14" bestFit="1" customWidth="1"/>
    <col min="4" max="4" width="5" bestFit="1" customWidth="1"/>
    <col min="5" max="5" width="4" bestFit="1" customWidth="1"/>
    <col min="6" max="6" width="11.28515625" bestFit="1" customWidth="1"/>
    <col min="7" max="7" width="4" bestFit="1" customWidth="1"/>
    <col min="8" max="8" width="11.28515625" bestFit="1" customWidth="1"/>
    <col min="9" max="10" width="2" bestFit="1" customWidth="1"/>
    <col min="11" max="11" width="14.28515625" bestFit="1" customWidth="1"/>
    <col min="12" max="12" width="11.140625" bestFit="1" customWidth="1"/>
    <col min="13" max="15" width="2" bestFit="1" customWidth="1"/>
    <col min="16" max="16" width="14.28515625" bestFit="1" customWidth="1"/>
    <col min="17" max="17" width="11.140625" bestFit="1" customWidth="1"/>
    <col min="18" max="19" width="2" bestFit="1" customWidth="1"/>
    <col min="20" max="20" width="3" bestFit="1" customWidth="1"/>
    <col min="21" max="21" width="14.28515625" bestFit="1" customWidth="1"/>
    <col min="22" max="22" width="11.140625" bestFit="1" customWidth="1"/>
    <col min="23" max="23" width="2" bestFit="1" customWidth="1"/>
    <col min="24" max="24" width="3" bestFit="1" customWidth="1"/>
    <col min="25" max="25" width="2" bestFit="1" customWidth="1"/>
    <col min="26" max="26" width="14.28515625" bestFit="1" customWidth="1"/>
    <col min="27" max="27" width="11.140625" bestFit="1" customWidth="1"/>
    <col min="28" max="28" width="2" bestFit="1" customWidth="1"/>
    <col min="29" max="29" width="3" bestFit="1" customWidth="1"/>
    <col min="30" max="30" width="2" bestFit="1" customWidth="1"/>
    <col min="31" max="31" width="14.28515625" bestFit="1" customWidth="1"/>
    <col min="32" max="32" width="11.140625" bestFit="1" customWidth="1"/>
    <col min="33" max="34" width="2" bestFit="1" customWidth="1"/>
    <col min="35" max="35" width="3" bestFit="1" customWidth="1"/>
    <col min="36" max="36" width="2" bestFit="1" customWidth="1"/>
    <col min="37" max="37" width="14.28515625" bestFit="1" customWidth="1"/>
    <col min="38" max="38" width="11.140625" bestFit="1" customWidth="1"/>
    <col min="39" max="39" width="2" bestFit="1" customWidth="1"/>
    <col min="40" max="40" width="3" bestFit="1" customWidth="1"/>
    <col min="41" max="41" width="14.28515625" bestFit="1" customWidth="1"/>
    <col min="42" max="42" width="11.140625" bestFit="1" customWidth="1"/>
    <col min="43" max="45" width="2" bestFit="1" customWidth="1"/>
    <col min="46" max="46" width="14.28515625" bestFit="1" customWidth="1"/>
    <col min="47" max="47" width="11.140625" bestFit="1" customWidth="1"/>
    <col min="48" max="48" width="3" bestFit="1" customWidth="1"/>
    <col min="49" max="49" width="2" bestFit="1" customWidth="1"/>
    <col min="50" max="50" width="14.28515625" bestFit="1" customWidth="1"/>
    <col min="51" max="51" width="11.140625" bestFit="1" customWidth="1"/>
    <col min="52" max="53" width="2" bestFit="1" customWidth="1"/>
    <col min="54" max="54" width="14.28515625" bestFit="1" customWidth="1"/>
    <col min="55" max="55" width="11.140625" bestFit="1" customWidth="1"/>
    <col min="56" max="58" width="2" bestFit="1" customWidth="1"/>
    <col min="59" max="59" width="3" bestFit="1" customWidth="1"/>
    <col min="60" max="60" width="14.28515625" bestFit="1" customWidth="1"/>
    <col min="61" max="61" width="11.140625" bestFit="1" customWidth="1"/>
    <col min="62" max="63" width="2" bestFit="1" customWidth="1"/>
    <col min="64" max="64" width="3" bestFit="1" customWidth="1"/>
    <col min="65" max="65" width="2" bestFit="1" customWidth="1"/>
    <col min="66" max="66" width="14.28515625" bestFit="1" customWidth="1"/>
    <col min="67" max="67" width="11.140625" bestFit="1" customWidth="1"/>
    <col min="68" max="68" width="2" bestFit="1" customWidth="1"/>
    <col min="69" max="69" width="3" bestFit="1" customWidth="1"/>
    <col min="70" max="70" width="2" bestFit="1" customWidth="1"/>
    <col min="71" max="71" width="14.28515625" bestFit="1" customWidth="1"/>
    <col min="72" max="72" width="11.140625" bestFit="1" customWidth="1"/>
    <col min="73" max="75" width="2" bestFit="1" customWidth="1"/>
    <col min="76" max="76" width="14.28515625" bestFit="1" customWidth="1"/>
    <col min="77" max="77" width="11.140625" bestFit="1" customWidth="1"/>
    <col min="78" max="80" width="2" bestFit="1" customWidth="1"/>
    <col min="81" max="81" width="14.28515625" bestFit="1" customWidth="1"/>
    <col min="82" max="82" width="11.140625" bestFit="1" customWidth="1"/>
    <col min="83" max="83" width="2" bestFit="1" customWidth="1"/>
    <col min="84" max="84" width="3" bestFit="1" customWidth="1"/>
    <col min="85" max="85" width="2" bestFit="1" customWidth="1"/>
    <col min="86" max="86" width="14.28515625" bestFit="1" customWidth="1"/>
    <col min="87" max="87" width="11.140625" bestFit="1" customWidth="1"/>
    <col min="88" max="90" width="2" bestFit="1" customWidth="1"/>
    <col min="91" max="91" width="14.28515625" bestFit="1" customWidth="1"/>
    <col min="92" max="92" width="11.140625" bestFit="1" customWidth="1"/>
    <col min="93" max="93" width="2" bestFit="1" customWidth="1"/>
    <col min="94" max="95" width="3" bestFit="1" customWidth="1"/>
    <col min="96" max="96" width="14.28515625" bestFit="1" customWidth="1"/>
    <col min="97" max="97" width="11.140625" bestFit="1" customWidth="1"/>
    <col min="98" max="100" width="2" bestFit="1" customWidth="1"/>
    <col min="101" max="101" width="14.28515625" bestFit="1" customWidth="1"/>
    <col min="102" max="102" width="11.140625" bestFit="1" customWidth="1"/>
    <col min="103" max="103" width="2" bestFit="1" customWidth="1"/>
    <col min="104" max="104" width="3" bestFit="1" customWidth="1"/>
    <col min="105" max="105" width="2" bestFit="1" customWidth="1"/>
    <col min="106" max="106" width="14.28515625" bestFit="1" customWidth="1"/>
    <col min="107" max="107" width="11.140625" bestFit="1" customWidth="1"/>
    <col min="108" max="109" width="3" bestFit="1" customWidth="1"/>
    <col min="110" max="110" width="2" bestFit="1" customWidth="1"/>
    <col min="111" max="111" width="14.28515625" bestFit="1" customWidth="1"/>
    <col min="112" max="112" width="11.140625" bestFit="1" customWidth="1"/>
    <col min="113" max="113" width="2" bestFit="1" customWidth="1"/>
    <col min="114" max="114" width="3" bestFit="1" customWidth="1"/>
    <col min="115" max="115" width="2" bestFit="1" customWidth="1"/>
    <col min="116" max="116" width="14.28515625" bestFit="1" customWidth="1"/>
    <col min="117" max="117" width="11.140625" bestFit="1" customWidth="1"/>
    <col min="118" max="119" width="2" bestFit="1" customWidth="1"/>
    <col min="120" max="120" width="14.28515625" bestFit="1" customWidth="1"/>
    <col min="121" max="121" width="11.140625" bestFit="1" customWidth="1"/>
    <col min="122" max="124" width="2" bestFit="1" customWidth="1"/>
    <col min="125" max="125" width="14.28515625" bestFit="1" customWidth="1"/>
    <col min="126" max="126" width="11.140625" bestFit="1" customWidth="1"/>
    <col min="127" max="129" width="3" bestFit="1" customWidth="1"/>
    <col min="130" max="130" width="14.28515625" bestFit="1" customWidth="1"/>
    <col min="131" max="131" width="11.140625" bestFit="1" customWidth="1"/>
    <col min="132" max="134" width="2" bestFit="1" customWidth="1"/>
    <col min="135" max="135" width="14.28515625" bestFit="1" customWidth="1"/>
    <col min="136" max="136" width="11.140625" bestFit="1" customWidth="1"/>
    <col min="137" max="138" width="2" bestFit="1" customWidth="1"/>
    <col min="139" max="139" width="14.28515625" bestFit="1" customWidth="1"/>
    <col min="140" max="140" width="11.140625" bestFit="1" customWidth="1"/>
    <col min="141" max="142" width="3" bestFit="1" customWidth="1"/>
    <col min="143" max="143" width="14.28515625" bestFit="1" customWidth="1"/>
    <col min="144" max="144" width="11.140625" bestFit="1" customWidth="1"/>
    <col min="145" max="145" width="3" bestFit="1" customWidth="1"/>
    <col min="146" max="146" width="2" bestFit="1" customWidth="1"/>
    <col min="147" max="147" width="14.28515625" bestFit="1" customWidth="1"/>
    <col min="148" max="148" width="11.140625" bestFit="1" customWidth="1"/>
    <col min="149" max="150" width="2" bestFit="1" customWidth="1"/>
    <col min="151" max="151" width="3" bestFit="1" customWidth="1"/>
    <col min="152" max="152" width="14.28515625" bestFit="1" customWidth="1"/>
    <col min="153" max="153" width="11.5703125" bestFit="1" customWidth="1"/>
    <col min="154" max="156" width="2" bestFit="1" customWidth="1"/>
    <col min="157" max="157" width="14.7109375" bestFit="1" customWidth="1"/>
    <col min="158" max="158" width="11.5703125" bestFit="1" customWidth="1"/>
    <col min="159" max="161" width="3" bestFit="1" customWidth="1"/>
    <col min="162" max="162" width="14.7109375" bestFit="1" customWidth="1"/>
    <col min="163" max="163" width="11.5703125" bestFit="1" customWidth="1"/>
    <col min="164" max="164" width="2" bestFit="1" customWidth="1"/>
    <col min="165" max="165" width="3" bestFit="1" customWidth="1"/>
    <col min="166" max="166" width="2" bestFit="1" customWidth="1"/>
    <col min="167" max="167" width="14.7109375" bestFit="1" customWidth="1"/>
    <col min="168" max="168" width="11.5703125" bestFit="1" customWidth="1"/>
    <col min="169" max="171" width="3" bestFit="1" customWidth="1"/>
    <col min="172" max="172" width="14.7109375" bestFit="1" customWidth="1"/>
    <col min="173" max="173" width="11.5703125" bestFit="1" customWidth="1"/>
    <col min="174" max="175" width="2" bestFit="1" customWidth="1"/>
    <col min="176" max="176" width="3" bestFit="1" customWidth="1"/>
    <col min="177" max="177" width="14.7109375" bestFit="1" customWidth="1"/>
    <col min="178" max="178" width="11.5703125" bestFit="1" customWidth="1"/>
    <col min="179" max="181" width="3" bestFit="1" customWidth="1"/>
    <col min="182" max="182" width="14.7109375" bestFit="1" customWidth="1"/>
    <col min="183" max="183" width="11.5703125" bestFit="1" customWidth="1"/>
    <col min="184" max="185" width="2" bestFit="1" customWidth="1"/>
    <col min="186" max="186" width="14.7109375" bestFit="1" customWidth="1"/>
    <col min="187" max="187" width="11.5703125" bestFit="1" customWidth="1"/>
    <col min="188" max="188" width="2" bestFit="1" customWidth="1"/>
    <col min="189" max="189" width="3" bestFit="1" customWidth="1"/>
    <col min="190" max="190" width="2" bestFit="1" customWidth="1"/>
    <col min="191" max="191" width="14.7109375" bestFit="1" customWidth="1"/>
    <col min="192" max="192" width="11.5703125" bestFit="1" customWidth="1"/>
    <col min="193" max="194" width="2" bestFit="1" customWidth="1"/>
    <col min="195" max="196" width="3" bestFit="1" customWidth="1"/>
    <col min="197" max="197" width="14.7109375" bestFit="1" customWidth="1"/>
    <col min="198" max="198" width="11.5703125" bestFit="1" customWidth="1"/>
    <col min="199" max="200" width="3" bestFit="1" customWidth="1"/>
    <col min="201" max="201" width="14.7109375" bestFit="1" customWidth="1"/>
    <col min="202" max="202" width="11.5703125" bestFit="1" customWidth="1"/>
    <col min="203" max="203" width="2" bestFit="1" customWidth="1"/>
    <col min="204" max="204" width="3" bestFit="1" customWidth="1"/>
    <col min="205" max="205" width="2" bestFit="1" customWidth="1"/>
    <col min="206" max="206" width="14.7109375" bestFit="1" customWidth="1"/>
    <col min="207" max="207" width="11.5703125" bestFit="1" customWidth="1"/>
    <col min="208" max="210" width="2" bestFit="1" customWidth="1"/>
    <col min="211" max="211" width="14.7109375" bestFit="1" customWidth="1"/>
    <col min="212" max="212" width="11.5703125" bestFit="1" customWidth="1"/>
    <col min="213" max="213" width="2" bestFit="1" customWidth="1"/>
    <col min="214" max="214" width="3" bestFit="1" customWidth="1"/>
    <col min="215" max="215" width="2" bestFit="1" customWidth="1"/>
    <col min="216" max="216" width="14.7109375" bestFit="1" customWidth="1"/>
    <col min="217" max="217" width="11.5703125" bestFit="1" customWidth="1"/>
    <col min="218" max="218" width="2" bestFit="1" customWidth="1"/>
    <col min="219" max="219" width="3" bestFit="1" customWidth="1"/>
    <col min="220" max="220" width="2" bestFit="1" customWidth="1"/>
    <col min="221" max="221" width="14.7109375" bestFit="1" customWidth="1"/>
    <col min="222" max="222" width="11.5703125" bestFit="1" customWidth="1"/>
    <col min="223" max="224" width="2" bestFit="1" customWidth="1"/>
    <col min="225" max="225" width="3" bestFit="1" customWidth="1"/>
    <col min="226" max="226" width="14.7109375" bestFit="1" customWidth="1"/>
    <col min="227" max="227" width="11.5703125" bestFit="1" customWidth="1"/>
    <col min="228" max="228" width="3" bestFit="1" customWidth="1"/>
    <col min="229" max="229" width="2" bestFit="1" customWidth="1"/>
    <col min="230" max="230" width="14.7109375" bestFit="1" customWidth="1"/>
    <col min="231" max="231" width="11.5703125" bestFit="1" customWidth="1"/>
    <col min="232" max="232" width="2" bestFit="1" customWidth="1"/>
    <col min="233" max="233" width="3" bestFit="1" customWidth="1"/>
    <col min="234" max="234" width="2" bestFit="1" customWidth="1"/>
    <col min="235" max="235" width="14.7109375" bestFit="1" customWidth="1"/>
    <col min="236" max="236" width="11.5703125" bestFit="1" customWidth="1"/>
    <col min="237" max="237" width="2" bestFit="1" customWidth="1"/>
    <col min="238" max="240" width="3" bestFit="1" customWidth="1"/>
    <col min="241" max="241" width="14.7109375" bestFit="1" customWidth="1"/>
    <col min="242" max="242" width="11.5703125" bestFit="1" customWidth="1"/>
    <col min="243" max="243" width="2" bestFit="1" customWidth="1"/>
    <col min="244" max="244" width="3" bestFit="1" customWidth="1"/>
    <col min="245" max="245" width="2" bestFit="1" customWidth="1"/>
    <col min="246" max="246" width="14.7109375" bestFit="1" customWidth="1"/>
    <col min="247" max="247" width="11.5703125" bestFit="1" customWidth="1"/>
    <col min="248" max="248" width="2" bestFit="1" customWidth="1"/>
    <col min="249" max="249" width="3" bestFit="1" customWidth="1"/>
    <col min="250" max="250" width="2" bestFit="1" customWidth="1"/>
    <col min="251" max="251" width="14.7109375" bestFit="1" customWidth="1"/>
    <col min="252" max="252" width="11.5703125" bestFit="1" customWidth="1"/>
    <col min="253" max="255" width="3" bestFit="1" customWidth="1"/>
    <col min="256" max="256" width="14.7109375" bestFit="1" customWidth="1"/>
    <col min="257" max="257" width="11.5703125" bestFit="1" customWidth="1"/>
    <col min="258" max="258" width="2" bestFit="1" customWidth="1"/>
    <col min="259" max="259" width="3" bestFit="1" customWidth="1"/>
    <col min="260" max="260" width="2" bestFit="1" customWidth="1"/>
    <col min="261" max="261" width="14.7109375" bestFit="1" customWidth="1"/>
    <col min="262" max="262" width="11.5703125" bestFit="1" customWidth="1"/>
    <col min="263" max="263" width="2" bestFit="1" customWidth="1"/>
    <col min="264" max="264" width="3" bestFit="1" customWidth="1"/>
    <col min="265" max="265" width="2" bestFit="1" customWidth="1"/>
    <col min="266" max="266" width="14.7109375" bestFit="1" customWidth="1"/>
    <col min="267" max="267" width="11.5703125" bestFit="1" customWidth="1"/>
    <col min="268" max="270" width="2" bestFit="1" customWidth="1"/>
    <col min="271" max="271" width="3" bestFit="1" customWidth="1"/>
    <col min="272" max="272" width="14.7109375" bestFit="1" customWidth="1"/>
    <col min="273" max="273" width="11.5703125" bestFit="1" customWidth="1"/>
    <col min="274" max="275" width="2" bestFit="1" customWidth="1"/>
    <col min="276" max="277" width="3" bestFit="1" customWidth="1"/>
    <col min="278" max="278" width="14.7109375" bestFit="1" customWidth="1"/>
    <col min="279" max="279" width="11.5703125" bestFit="1" customWidth="1"/>
    <col min="280" max="280" width="2" bestFit="1" customWidth="1"/>
    <col min="281" max="282" width="3" bestFit="1" customWidth="1"/>
    <col min="283" max="283" width="14.7109375" bestFit="1" customWidth="1"/>
    <col min="284" max="284" width="11.5703125" bestFit="1" customWidth="1"/>
    <col min="285" max="285" width="2" bestFit="1" customWidth="1"/>
    <col min="286" max="286" width="3" bestFit="1" customWidth="1"/>
    <col min="287" max="287" width="2" bestFit="1" customWidth="1"/>
    <col min="288" max="288" width="14.7109375" bestFit="1" customWidth="1"/>
    <col min="289" max="289" width="11.5703125" bestFit="1" customWidth="1"/>
    <col min="290" max="291" width="2" bestFit="1" customWidth="1"/>
    <col min="292" max="293" width="3" bestFit="1" customWidth="1"/>
    <col min="294" max="294" width="14.7109375" bestFit="1" customWidth="1"/>
    <col min="295" max="295" width="11.5703125" bestFit="1" customWidth="1"/>
    <col min="296" max="296" width="2" bestFit="1" customWidth="1"/>
    <col min="297" max="297" width="3" bestFit="1" customWidth="1"/>
    <col min="298" max="298" width="2" bestFit="1" customWidth="1"/>
    <col min="299" max="299" width="14.7109375" bestFit="1" customWidth="1"/>
    <col min="300" max="300" width="11.5703125" bestFit="1" customWidth="1"/>
    <col min="301" max="301" width="3" bestFit="1" customWidth="1"/>
    <col min="302" max="302" width="2" bestFit="1" customWidth="1"/>
    <col min="303" max="303" width="14.7109375" bestFit="1" customWidth="1"/>
    <col min="304" max="304" width="11.5703125" bestFit="1" customWidth="1"/>
    <col min="305" max="305" width="2" bestFit="1" customWidth="1"/>
    <col min="306" max="307" width="3" bestFit="1" customWidth="1"/>
    <col min="308" max="308" width="14.7109375" bestFit="1" customWidth="1"/>
    <col min="309" max="309" width="11.5703125" bestFit="1" customWidth="1"/>
    <col min="310" max="311" width="3" bestFit="1" customWidth="1"/>
    <col min="312" max="312" width="2" bestFit="1" customWidth="1"/>
    <col min="313" max="313" width="14.7109375" bestFit="1" customWidth="1"/>
    <col min="314" max="314" width="11.5703125" bestFit="1" customWidth="1"/>
    <col min="315" max="315" width="2" bestFit="1" customWidth="1"/>
    <col min="316" max="317" width="3" bestFit="1" customWidth="1"/>
    <col min="318" max="318" width="14.7109375" bestFit="1" customWidth="1"/>
    <col min="319" max="319" width="11.5703125" bestFit="1" customWidth="1"/>
    <col min="320" max="320" width="2" bestFit="1" customWidth="1"/>
    <col min="321" max="322" width="3" bestFit="1" customWidth="1"/>
    <col min="323" max="323" width="14.7109375" bestFit="1" customWidth="1"/>
    <col min="324" max="324" width="11.5703125" bestFit="1" customWidth="1"/>
    <col min="325" max="327" width="2" bestFit="1" customWidth="1"/>
    <col min="328" max="328" width="14.7109375" bestFit="1" customWidth="1"/>
    <col min="329" max="329" width="11.5703125" bestFit="1" customWidth="1"/>
    <col min="330" max="330" width="2" bestFit="1" customWidth="1"/>
    <col min="331" max="331" width="3" bestFit="1" customWidth="1"/>
    <col min="332" max="332" width="2" bestFit="1" customWidth="1"/>
    <col min="333" max="333" width="14.7109375" bestFit="1" customWidth="1"/>
    <col min="334" max="334" width="11.5703125" bestFit="1" customWidth="1"/>
    <col min="335" max="338" width="2" bestFit="1" customWidth="1"/>
    <col min="339" max="339" width="14.7109375" bestFit="1" customWidth="1"/>
    <col min="340" max="340" width="11.5703125" bestFit="1" customWidth="1"/>
    <col min="341" max="341" width="2" bestFit="1" customWidth="1"/>
    <col min="342" max="343" width="3" bestFit="1" customWidth="1"/>
    <col min="344" max="344" width="14.7109375" bestFit="1" customWidth="1"/>
    <col min="345" max="345" width="11.5703125" bestFit="1" customWidth="1"/>
    <col min="346" max="346" width="2" bestFit="1" customWidth="1"/>
    <col min="347" max="347" width="3" bestFit="1" customWidth="1"/>
    <col min="348" max="348" width="2" bestFit="1" customWidth="1"/>
    <col min="349" max="349" width="14.7109375" bestFit="1" customWidth="1"/>
    <col min="350" max="350" width="11.5703125" bestFit="1" customWidth="1"/>
    <col min="351" max="352" width="3" bestFit="1" customWidth="1"/>
    <col min="353" max="353" width="2" bestFit="1" customWidth="1"/>
    <col min="354" max="354" width="14.7109375" bestFit="1" customWidth="1"/>
    <col min="355" max="355" width="11.5703125" bestFit="1" customWidth="1"/>
    <col min="356" max="356" width="2" bestFit="1" customWidth="1"/>
    <col min="357" max="357" width="3" bestFit="1" customWidth="1"/>
    <col min="358" max="358" width="2" bestFit="1" customWidth="1"/>
    <col min="359" max="359" width="14.7109375" bestFit="1" customWidth="1"/>
    <col min="360" max="360" width="11.5703125" bestFit="1" customWidth="1"/>
    <col min="361" max="363" width="2" bestFit="1" customWidth="1"/>
    <col min="364" max="364" width="14.7109375" bestFit="1" customWidth="1"/>
    <col min="365" max="365" width="11.5703125" bestFit="1" customWidth="1"/>
    <col min="366" max="366" width="3" bestFit="1" customWidth="1"/>
    <col min="367" max="368" width="2" bestFit="1" customWidth="1"/>
    <col min="369" max="369" width="14.7109375" bestFit="1" customWidth="1"/>
    <col min="370" max="370" width="11.5703125" bestFit="1" customWidth="1"/>
    <col min="371" max="372" width="3" bestFit="1" customWidth="1"/>
    <col min="373" max="373" width="14.7109375" bestFit="1" customWidth="1"/>
    <col min="374" max="374" width="11.5703125" bestFit="1" customWidth="1"/>
    <col min="375" max="375" width="2" bestFit="1" customWidth="1"/>
    <col min="376" max="376" width="3" bestFit="1" customWidth="1"/>
    <col min="377" max="377" width="2" bestFit="1" customWidth="1"/>
    <col min="378" max="378" width="14.7109375" bestFit="1" customWidth="1"/>
    <col min="379" max="379" width="11.5703125" bestFit="1" customWidth="1"/>
    <col min="380" max="381" width="2" bestFit="1" customWidth="1"/>
    <col min="382" max="382" width="3" bestFit="1" customWidth="1"/>
    <col min="383" max="383" width="14.7109375" bestFit="1" customWidth="1"/>
    <col min="384" max="384" width="11.5703125" bestFit="1" customWidth="1"/>
    <col min="385" max="385" width="2" bestFit="1" customWidth="1"/>
    <col min="386" max="387" width="3" bestFit="1" customWidth="1"/>
    <col min="388" max="388" width="14.7109375" bestFit="1" customWidth="1"/>
    <col min="389" max="389" width="11.5703125" bestFit="1" customWidth="1"/>
    <col min="390" max="391" width="3" bestFit="1" customWidth="1"/>
    <col min="392" max="392" width="14.7109375" bestFit="1" customWidth="1"/>
    <col min="393" max="393" width="11.5703125" bestFit="1" customWidth="1"/>
    <col min="394" max="394" width="2" bestFit="1" customWidth="1"/>
    <col min="395" max="396" width="3" bestFit="1" customWidth="1"/>
    <col min="397" max="397" width="14.7109375" bestFit="1" customWidth="1"/>
    <col min="398" max="398" width="11.5703125" bestFit="1" customWidth="1"/>
    <col min="399" max="399" width="2" bestFit="1" customWidth="1"/>
    <col min="400" max="400" width="3" bestFit="1" customWidth="1"/>
    <col min="401" max="401" width="2" bestFit="1" customWidth="1"/>
    <col min="402" max="402" width="14.7109375" bestFit="1" customWidth="1"/>
    <col min="403" max="403" width="11.5703125" bestFit="1" customWidth="1"/>
    <col min="404" max="404" width="3" bestFit="1" customWidth="1"/>
    <col min="405" max="405" width="2" bestFit="1" customWidth="1"/>
    <col min="406" max="406" width="14.7109375" bestFit="1" customWidth="1"/>
    <col min="407" max="407" width="11.5703125" bestFit="1" customWidth="1"/>
    <col min="408" max="410" width="2" bestFit="1" customWidth="1"/>
    <col min="411" max="411" width="14.7109375" bestFit="1" customWidth="1"/>
    <col min="412" max="412" width="11.5703125" bestFit="1" customWidth="1"/>
    <col min="413" max="413" width="3" bestFit="1" customWidth="1"/>
    <col min="414" max="414" width="2" bestFit="1" customWidth="1"/>
    <col min="415" max="415" width="14.7109375" bestFit="1" customWidth="1"/>
    <col min="416" max="416" width="11.5703125" bestFit="1" customWidth="1"/>
    <col min="417" max="418" width="2" bestFit="1" customWidth="1"/>
    <col min="419" max="419" width="3" bestFit="1" customWidth="1"/>
    <col min="420" max="420" width="2" bestFit="1" customWidth="1"/>
    <col min="421" max="421" width="14.7109375" bestFit="1" customWidth="1"/>
    <col min="422" max="422" width="11.5703125" bestFit="1" customWidth="1"/>
    <col min="423" max="424" width="2" bestFit="1" customWidth="1"/>
    <col min="425" max="425" width="3" bestFit="1" customWidth="1"/>
    <col min="426" max="426" width="2" bestFit="1" customWidth="1"/>
    <col min="427" max="427" width="14.7109375" bestFit="1" customWidth="1"/>
    <col min="428" max="428" width="11.5703125" bestFit="1" customWidth="1"/>
    <col min="429" max="432" width="2" bestFit="1" customWidth="1"/>
    <col min="433" max="433" width="14.7109375" bestFit="1" customWidth="1"/>
    <col min="434" max="434" width="11.5703125" bestFit="1" customWidth="1"/>
    <col min="435" max="436" width="3" bestFit="1" customWidth="1"/>
    <col min="437" max="437" width="14.7109375" bestFit="1" customWidth="1"/>
    <col min="438" max="438" width="11.28515625" bestFit="1" customWidth="1"/>
  </cols>
  <sheetData>
    <row r="3" spans="1:6" x14ac:dyDescent="0.25">
      <c r="A3" s="8" t="s">
        <v>2504</v>
      </c>
      <c r="B3" s="8" t="s">
        <v>2514</v>
      </c>
    </row>
    <row r="4" spans="1:6" x14ac:dyDescent="0.25">
      <c r="A4" s="8" t="s">
        <v>2512</v>
      </c>
      <c r="C4" t="s">
        <v>12</v>
      </c>
      <c r="D4" t="s">
        <v>8</v>
      </c>
      <c r="E4" t="s">
        <v>74</v>
      </c>
      <c r="F4" t="s">
        <v>2513</v>
      </c>
    </row>
    <row r="5" spans="1:6" x14ac:dyDescent="0.25">
      <c r="A5" s="9" t="s">
        <v>29</v>
      </c>
      <c r="B5">
        <v>98</v>
      </c>
      <c r="C5">
        <v>744</v>
      </c>
      <c r="D5">
        <v>713</v>
      </c>
      <c r="E5">
        <v>90</v>
      </c>
      <c r="F5">
        <v>1645</v>
      </c>
    </row>
    <row r="6" spans="1:6" x14ac:dyDescent="0.25">
      <c r="A6" s="9" t="s">
        <v>24</v>
      </c>
      <c r="B6">
        <v>214</v>
      </c>
      <c r="C6">
        <v>716</v>
      </c>
      <c r="D6">
        <v>598</v>
      </c>
      <c r="E6">
        <v>18</v>
      </c>
      <c r="F6">
        <v>1546</v>
      </c>
    </row>
    <row r="7" spans="1:6" x14ac:dyDescent="0.25">
      <c r="A7" s="9" t="s">
        <v>11</v>
      </c>
      <c r="B7">
        <v>137</v>
      </c>
      <c r="C7">
        <v>627</v>
      </c>
      <c r="D7">
        <v>393</v>
      </c>
      <c r="E7">
        <v>29</v>
      </c>
      <c r="F7">
        <v>1186</v>
      </c>
    </row>
    <row r="8" spans="1:6" x14ac:dyDescent="0.25">
      <c r="A8" s="9" t="s">
        <v>7</v>
      </c>
      <c r="B8">
        <v>16</v>
      </c>
      <c r="C8">
        <v>568</v>
      </c>
      <c r="D8">
        <v>306</v>
      </c>
      <c r="E8">
        <v>22</v>
      </c>
      <c r="F8">
        <v>912</v>
      </c>
    </row>
    <row r="9" spans="1:6" x14ac:dyDescent="0.25">
      <c r="A9" s="9" t="s">
        <v>39</v>
      </c>
      <c r="B9">
        <v>22</v>
      </c>
      <c r="C9">
        <v>482</v>
      </c>
      <c r="D9">
        <v>295</v>
      </c>
      <c r="E9">
        <v>8</v>
      </c>
      <c r="F9">
        <v>807</v>
      </c>
    </row>
    <row r="10" spans="1:6" x14ac:dyDescent="0.25">
      <c r="A10" s="9" t="s">
        <v>1</v>
      </c>
      <c r="B10">
        <v>24</v>
      </c>
      <c r="C10">
        <v>428</v>
      </c>
      <c r="D10">
        <v>293</v>
      </c>
      <c r="F10">
        <v>745</v>
      </c>
    </row>
    <row r="11" spans="1:6" x14ac:dyDescent="0.25">
      <c r="A11" s="9" t="s">
        <v>31</v>
      </c>
      <c r="B11">
        <v>39</v>
      </c>
      <c r="C11">
        <v>445</v>
      </c>
      <c r="D11">
        <v>202</v>
      </c>
      <c r="E11">
        <v>14</v>
      </c>
      <c r="F11">
        <v>700</v>
      </c>
    </row>
    <row r="12" spans="1:6" x14ac:dyDescent="0.25">
      <c r="A12" s="9" t="s">
        <v>17</v>
      </c>
      <c r="B12">
        <v>15</v>
      </c>
      <c r="C12">
        <v>431</v>
      </c>
      <c r="D12">
        <v>187</v>
      </c>
      <c r="E12">
        <v>14</v>
      </c>
      <c r="F12">
        <v>647</v>
      </c>
    </row>
    <row r="13" spans="1:6" x14ac:dyDescent="0.25">
      <c r="A13" s="9" t="s">
        <v>27</v>
      </c>
      <c r="B13">
        <v>9</v>
      </c>
      <c r="C13">
        <v>264</v>
      </c>
      <c r="D13">
        <v>318</v>
      </c>
      <c r="E13">
        <v>15</v>
      </c>
      <c r="F13">
        <v>606</v>
      </c>
    </row>
    <row r="14" spans="1:6" x14ac:dyDescent="0.25">
      <c r="A14" s="9" t="s">
        <v>22</v>
      </c>
      <c r="B14">
        <v>23</v>
      </c>
      <c r="C14">
        <v>296</v>
      </c>
      <c r="D14">
        <v>275</v>
      </c>
      <c r="E14">
        <v>9</v>
      </c>
      <c r="F14">
        <v>603</v>
      </c>
    </row>
    <row r="15" spans="1:6" x14ac:dyDescent="0.25">
      <c r="A15" s="9" t="s">
        <v>108</v>
      </c>
      <c r="B15">
        <v>8</v>
      </c>
      <c r="C15">
        <v>153</v>
      </c>
      <c r="D15">
        <v>246</v>
      </c>
      <c r="E15">
        <v>30</v>
      </c>
      <c r="F15">
        <v>437</v>
      </c>
    </row>
    <row r="16" spans="1:6" x14ac:dyDescent="0.25">
      <c r="A16" s="9" t="s">
        <v>131</v>
      </c>
      <c r="B16">
        <v>31</v>
      </c>
      <c r="C16">
        <v>189</v>
      </c>
      <c r="D16">
        <v>168</v>
      </c>
      <c r="E16">
        <v>10</v>
      </c>
      <c r="F16">
        <v>398</v>
      </c>
    </row>
    <row r="17" spans="1:6" x14ac:dyDescent="0.25">
      <c r="A17" s="9" t="s">
        <v>54</v>
      </c>
      <c r="B17">
        <v>24</v>
      </c>
      <c r="C17">
        <v>234</v>
      </c>
      <c r="D17">
        <v>93</v>
      </c>
      <c r="E17">
        <v>19</v>
      </c>
      <c r="F17">
        <v>370</v>
      </c>
    </row>
    <row r="18" spans="1:6" x14ac:dyDescent="0.25">
      <c r="A18" s="9" t="s">
        <v>15</v>
      </c>
      <c r="B18">
        <v>28</v>
      </c>
      <c r="C18">
        <v>146</v>
      </c>
      <c r="D18">
        <v>94</v>
      </c>
      <c r="E18">
        <v>4</v>
      </c>
      <c r="F18">
        <v>272</v>
      </c>
    </row>
    <row r="19" spans="1:6" x14ac:dyDescent="0.25">
      <c r="A19" s="9" t="s">
        <v>120</v>
      </c>
      <c r="B19">
        <v>12</v>
      </c>
      <c r="C19">
        <v>127</v>
      </c>
      <c r="D19">
        <v>118</v>
      </c>
      <c r="E19">
        <v>13</v>
      </c>
      <c r="F19">
        <v>270</v>
      </c>
    </row>
    <row r="20" spans="1:6" x14ac:dyDescent="0.25">
      <c r="A20" s="9" t="s">
        <v>52</v>
      </c>
      <c r="C20">
        <v>179</v>
      </c>
      <c r="D20">
        <v>76</v>
      </c>
      <c r="E20">
        <v>3</v>
      </c>
      <c r="F20">
        <v>258</v>
      </c>
    </row>
    <row r="21" spans="1:6" x14ac:dyDescent="0.25">
      <c r="A21" s="9" t="s">
        <v>113</v>
      </c>
      <c r="B21">
        <v>24</v>
      </c>
      <c r="C21">
        <v>99</v>
      </c>
      <c r="D21">
        <v>69</v>
      </c>
      <c r="E21">
        <v>3</v>
      </c>
      <c r="F21">
        <v>195</v>
      </c>
    </row>
    <row r="22" spans="1:6" x14ac:dyDescent="0.25">
      <c r="A22" s="9" t="s">
        <v>61</v>
      </c>
      <c r="B22">
        <v>6</v>
      </c>
      <c r="C22">
        <v>75</v>
      </c>
      <c r="D22">
        <v>103</v>
      </c>
      <c r="E22">
        <v>4</v>
      </c>
      <c r="F22">
        <v>188</v>
      </c>
    </row>
    <row r="23" spans="1:6" x14ac:dyDescent="0.25">
      <c r="A23" s="9" t="s">
        <v>66</v>
      </c>
      <c r="B23">
        <v>6</v>
      </c>
      <c r="C23">
        <v>43</v>
      </c>
      <c r="D23">
        <v>90</v>
      </c>
      <c r="E23">
        <v>8</v>
      </c>
      <c r="F23">
        <v>147</v>
      </c>
    </row>
    <row r="24" spans="1:6" x14ac:dyDescent="0.25">
      <c r="A24" s="9" t="s">
        <v>156</v>
      </c>
      <c r="C24">
        <v>26</v>
      </c>
      <c r="D24">
        <v>35</v>
      </c>
      <c r="E24">
        <v>4</v>
      </c>
      <c r="F24">
        <v>65</v>
      </c>
    </row>
    <row r="25" spans="1:6" x14ac:dyDescent="0.25">
      <c r="A25" s="9" t="s">
        <v>2513</v>
      </c>
      <c r="B25">
        <v>736</v>
      </c>
      <c r="C25">
        <v>6272</v>
      </c>
      <c r="D25">
        <v>4672</v>
      </c>
      <c r="E25">
        <v>317</v>
      </c>
      <c r="F25">
        <v>11997</v>
      </c>
    </row>
    <row r="31" spans="1:6" x14ac:dyDescent="0.25">
      <c r="A31" s="8" t="s">
        <v>2512</v>
      </c>
      <c r="B31" t="s">
        <v>2504</v>
      </c>
    </row>
    <row r="32" spans="1:6" x14ac:dyDescent="0.25">
      <c r="A32" s="9" t="s">
        <v>2515</v>
      </c>
      <c r="B32">
        <v>6272</v>
      </c>
    </row>
    <row r="33" spans="1:8" x14ac:dyDescent="0.25">
      <c r="A33" s="9" t="s">
        <v>2516</v>
      </c>
      <c r="B33">
        <v>4672</v>
      </c>
    </row>
    <row r="34" spans="1:8" x14ac:dyDescent="0.25">
      <c r="A34" s="9" t="s">
        <v>2517</v>
      </c>
      <c r="B34">
        <v>317</v>
      </c>
    </row>
    <row r="35" spans="1:8" x14ac:dyDescent="0.25">
      <c r="A35" s="9" t="s">
        <v>2518</v>
      </c>
      <c r="B35">
        <v>736</v>
      </c>
    </row>
    <row r="36" spans="1:8" x14ac:dyDescent="0.25">
      <c r="A36" s="9" t="s">
        <v>2513</v>
      </c>
      <c r="B36">
        <v>11997</v>
      </c>
    </row>
    <row r="39" spans="1:8" x14ac:dyDescent="0.25">
      <c r="C39" t="s">
        <v>2526</v>
      </c>
    </row>
    <row r="41" spans="1:8" x14ac:dyDescent="0.25">
      <c r="B41" s="8" t="s">
        <v>2503</v>
      </c>
      <c r="C41" s="8" t="s">
        <v>2514</v>
      </c>
    </row>
    <row r="42" spans="1:8" x14ac:dyDescent="0.25">
      <c r="B42" s="8" t="s">
        <v>2512</v>
      </c>
      <c r="C42">
        <v>1</v>
      </c>
      <c r="D42">
        <v>2</v>
      </c>
      <c r="E42">
        <v>3</v>
      </c>
      <c r="F42">
        <v>4</v>
      </c>
      <c r="G42">
        <v>5</v>
      </c>
      <c r="H42" t="s">
        <v>2513</v>
      </c>
    </row>
    <row r="43" spans="1:8" x14ac:dyDescent="0.25">
      <c r="B43" s="9" t="s">
        <v>2523</v>
      </c>
      <c r="C43">
        <v>7</v>
      </c>
      <c r="D43">
        <v>37</v>
      </c>
      <c r="E43">
        <v>150</v>
      </c>
      <c r="F43">
        <v>312</v>
      </c>
      <c r="G43">
        <v>224</v>
      </c>
      <c r="H43">
        <v>730</v>
      </c>
    </row>
    <row r="44" spans="1:8" x14ac:dyDescent="0.25">
      <c r="B44" s="9" t="s">
        <v>2524</v>
      </c>
      <c r="C44">
        <v>8</v>
      </c>
      <c r="D44">
        <v>51</v>
      </c>
      <c r="E44">
        <v>182</v>
      </c>
      <c r="F44">
        <v>373</v>
      </c>
      <c r="G44">
        <v>247</v>
      </c>
      <c r="H44">
        <v>861</v>
      </c>
    </row>
    <row r="45" spans="1:8" x14ac:dyDescent="0.25">
      <c r="B45" s="9" t="s">
        <v>2525</v>
      </c>
      <c r="C45">
        <v>6</v>
      </c>
      <c r="D45">
        <v>39</v>
      </c>
      <c r="E45">
        <v>163</v>
      </c>
      <c r="F45">
        <v>351</v>
      </c>
      <c r="G45">
        <v>250</v>
      </c>
      <c r="H45">
        <v>809</v>
      </c>
    </row>
    <row r="46" spans="1:8" x14ac:dyDescent="0.25">
      <c r="B46" s="9" t="s">
        <v>2513</v>
      </c>
      <c r="C46">
        <v>21</v>
      </c>
      <c r="D46">
        <v>127</v>
      </c>
      <c r="E46">
        <v>495</v>
      </c>
      <c r="F46">
        <v>1036</v>
      </c>
      <c r="G46">
        <v>721</v>
      </c>
      <c r="H46">
        <v>2400</v>
      </c>
    </row>
    <row r="49" spans="2:3" x14ac:dyDescent="0.25">
      <c r="C49" t="s">
        <v>2527</v>
      </c>
    </row>
    <row r="50" spans="2:3" x14ac:dyDescent="0.25">
      <c r="B50" s="8" t="s">
        <v>2512</v>
      </c>
      <c r="C50" t="s">
        <v>2503</v>
      </c>
    </row>
    <row r="51" spans="2:3" x14ac:dyDescent="0.25">
      <c r="B51" s="9">
        <v>0</v>
      </c>
      <c r="C51">
        <v>175</v>
      </c>
    </row>
    <row r="52" spans="2:3" x14ac:dyDescent="0.25">
      <c r="B52" s="9">
        <v>1</v>
      </c>
      <c r="C52">
        <v>888</v>
      </c>
    </row>
    <row r="53" spans="2:3" x14ac:dyDescent="0.25">
      <c r="B53" s="9">
        <v>2</v>
      </c>
      <c r="C53">
        <v>538</v>
      </c>
    </row>
    <row r="54" spans="2:3" x14ac:dyDescent="0.25">
      <c r="B54" s="9">
        <v>3</v>
      </c>
      <c r="C54">
        <v>344</v>
      </c>
    </row>
    <row r="55" spans="2:3" x14ac:dyDescent="0.25">
      <c r="B55" s="9">
        <v>4</v>
      </c>
      <c r="C55">
        <v>200</v>
      </c>
    </row>
    <row r="56" spans="2:3" x14ac:dyDescent="0.25">
      <c r="B56" s="9">
        <v>5</v>
      </c>
      <c r="C56">
        <v>94</v>
      </c>
    </row>
    <row r="57" spans="2:3" x14ac:dyDescent="0.25">
      <c r="B57" s="9">
        <v>6</v>
      </c>
      <c r="C57">
        <v>51</v>
      </c>
    </row>
    <row r="58" spans="2:3" x14ac:dyDescent="0.25">
      <c r="B58" s="9">
        <v>7</v>
      </c>
      <c r="C58">
        <v>32</v>
      </c>
    </row>
    <row r="59" spans="2:3" x14ac:dyDescent="0.25">
      <c r="B59" s="9">
        <v>8</v>
      </c>
      <c r="C59">
        <v>23</v>
      </c>
    </row>
    <row r="60" spans="2:3" x14ac:dyDescent="0.25">
      <c r="B60" s="9">
        <v>9</v>
      </c>
      <c r="C60">
        <v>9</v>
      </c>
    </row>
    <row r="61" spans="2:3" x14ac:dyDescent="0.25">
      <c r="B61" s="9">
        <v>10</v>
      </c>
      <c r="C61">
        <v>8</v>
      </c>
    </row>
    <row r="62" spans="2:3" x14ac:dyDescent="0.25">
      <c r="B62" s="9">
        <v>11</v>
      </c>
      <c r="C62">
        <v>11</v>
      </c>
    </row>
    <row r="63" spans="2:3" x14ac:dyDescent="0.25">
      <c r="B63" s="9">
        <v>12</v>
      </c>
      <c r="C63">
        <v>4</v>
      </c>
    </row>
    <row r="64" spans="2:3" x14ac:dyDescent="0.25">
      <c r="B64" s="9">
        <v>13</v>
      </c>
      <c r="C64">
        <v>10</v>
      </c>
    </row>
    <row r="65" spans="2:3" x14ac:dyDescent="0.25">
      <c r="B65" s="9">
        <v>14</v>
      </c>
      <c r="C65">
        <v>13</v>
      </c>
    </row>
    <row r="66" spans="2:3" x14ac:dyDescent="0.25">
      <c r="B66" s="9" t="s">
        <v>2513</v>
      </c>
      <c r="C66">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3FD4-94EA-40EE-96F9-4DE414772104}">
  <dimension ref="A3:B11"/>
  <sheetViews>
    <sheetView topLeftCell="A3" workbookViewId="0">
      <selection activeCell="F33" sqref="F33"/>
    </sheetView>
  </sheetViews>
  <sheetFormatPr defaultRowHeight="15" x14ac:dyDescent="0.25"/>
  <cols>
    <col min="1" max="1" width="13.42578125" bestFit="1" customWidth="1"/>
    <col min="2" max="2" width="14" bestFit="1" customWidth="1"/>
  </cols>
  <sheetData>
    <row r="3" spans="1:2" x14ac:dyDescent="0.25">
      <c r="A3" s="8" t="s">
        <v>2512</v>
      </c>
      <c r="B3" t="s">
        <v>2503</v>
      </c>
    </row>
    <row r="4" spans="1:2" x14ac:dyDescent="0.25">
      <c r="A4" s="9">
        <v>1</v>
      </c>
      <c r="B4">
        <v>397</v>
      </c>
    </row>
    <row r="5" spans="1:2" x14ac:dyDescent="0.25">
      <c r="A5" s="9">
        <v>2</v>
      </c>
      <c r="B5">
        <v>540</v>
      </c>
    </row>
    <row r="6" spans="1:2" x14ac:dyDescent="0.25">
      <c r="A6" s="9">
        <v>3</v>
      </c>
      <c r="B6">
        <v>375</v>
      </c>
    </row>
    <row r="7" spans="1:2" x14ac:dyDescent="0.25">
      <c r="A7" s="9">
        <v>4</v>
      </c>
      <c r="B7">
        <v>246</v>
      </c>
    </row>
    <row r="8" spans="1:2" x14ac:dyDescent="0.25">
      <c r="A8" s="9">
        <v>5</v>
      </c>
      <c r="B8">
        <v>195</v>
      </c>
    </row>
    <row r="9" spans="1:2" x14ac:dyDescent="0.25">
      <c r="A9" s="9" t="s">
        <v>2530</v>
      </c>
      <c r="B9">
        <v>414</v>
      </c>
    </row>
    <row r="10" spans="1:2" x14ac:dyDescent="0.25">
      <c r="A10" s="9" t="s">
        <v>2531</v>
      </c>
      <c r="B10">
        <v>233</v>
      </c>
    </row>
    <row r="11" spans="1:2" x14ac:dyDescent="0.25">
      <c r="A11" s="9" t="s">
        <v>2513</v>
      </c>
      <c r="B11">
        <v>2400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A78A-2DC6-4E61-91A8-8B8624148B4F}">
  <dimension ref="A3:A28"/>
  <sheetViews>
    <sheetView workbookViewId="0">
      <selection activeCell="A28" sqref="A28"/>
    </sheetView>
  </sheetViews>
  <sheetFormatPr defaultRowHeight="15" x14ac:dyDescent="0.25"/>
  <cols>
    <col min="1" max="1" width="15" bestFit="1" customWidth="1"/>
  </cols>
  <sheetData>
    <row r="3" spans="1:1" x14ac:dyDescent="0.25">
      <c r="A3" s="8" t="s">
        <v>2512</v>
      </c>
    </row>
    <row r="4" spans="1:1" x14ac:dyDescent="0.25">
      <c r="A4" s="9" t="s">
        <v>2515</v>
      </c>
    </row>
    <row r="5" spans="1:1" x14ac:dyDescent="0.25">
      <c r="A5" s="13" t="s">
        <v>3</v>
      </c>
    </row>
    <row r="6" spans="1:1" x14ac:dyDescent="0.25">
      <c r="A6" s="13" t="s">
        <v>36</v>
      </c>
    </row>
    <row r="7" spans="1:1" x14ac:dyDescent="0.25">
      <c r="A7" s="13" t="s">
        <v>55</v>
      </c>
    </row>
    <row r="8" spans="1:1" x14ac:dyDescent="0.25">
      <c r="A8" s="13" t="s">
        <v>25</v>
      </c>
    </row>
    <row r="9" spans="1:1" x14ac:dyDescent="0.25">
      <c r="A9" s="13" t="s">
        <v>20</v>
      </c>
    </row>
    <row r="10" spans="1:1" x14ac:dyDescent="0.25">
      <c r="A10" s="9" t="s">
        <v>2516</v>
      </c>
    </row>
    <row r="11" spans="1:1" x14ac:dyDescent="0.25">
      <c r="A11" s="13" t="s">
        <v>3</v>
      </c>
    </row>
    <row r="12" spans="1:1" x14ac:dyDescent="0.25">
      <c r="A12" s="13" t="s">
        <v>36</v>
      </c>
    </row>
    <row r="13" spans="1:1" x14ac:dyDescent="0.25">
      <c r="A13" s="13" t="s">
        <v>55</v>
      </c>
    </row>
    <row r="14" spans="1:1" x14ac:dyDescent="0.25">
      <c r="A14" s="13" t="s">
        <v>25</v>
      </c>
    </row>
    <row r="15" spans="1:1" x14ac:dyDescent="0.25">
      <c r="A15" s="13" t="s">
        <v>20</v>
      </c>
    </row>
    <row r="16" spans="1:1" x14ac:dyDescent="0.25">
      <c r="A16" s="9" t="s">
        <v>2517</v>
      </c>
    </row>
    <row r="17" spans="1:1" x14ac:dyDescent="0.25">
      <c r="A17" s="13" t="s">
        <v>3</v>
      </c>
    </row>
    <row r="18" spans="1:1" x14ac:dyDescent="0.25">
      <c r="A18" s="13" t="s">
        <v>36</v>
      </c>
    </row>
    <row r="19" spans="1:1" x14ac:dyDescent="0.25">
      <c r="A19" s="13" t="s">
        <v>55</v>
      </c>
    </row>
    <row r="20" spans="1:1" x14ac:dyDescent="0.25">
      <c r="A20" s="13" t="s">
        <v>25</v>
      </c>
    </row>
    <row r="21" spans="1:1" x14ac:dyDescent="0.25">
      <c r="A21" s="13" t="s">
        <v>20</v>
      </c>
    </row>
    <row r="22" spans="1:1" x14ac:dyDescent="0.25">
      <c r="A22" s="9" t="s">
        <v>2518</v>
      </c>
    </row>
    <row r="23" spans="1:1" x14ac:dyDescent="0.25">
      <c r="A23" s="13" t="s">
        <v>3</v>
      </c>
    </row>
    <row r="24" spans="1:1" x14ac:dyDescent="0.25">
      <c r="A24" s="13" t="s">
        <v>36</v>
      </c>
    </row>
    <row r="25" spans="1:1" x14ac:dyDescent="0.25">
      <c r="A25" s="13" t="s">
        <v>55</v>
      </c>
    </row>
    <row r="26" spans="1:1" x14ac:dyDescent="0.25">
      <c r="A26" s="13" t="s">
        <v>25</v>
      </c>
    </row>
    <row r="27" spans="1:1" x14ac:dyDescent="0.25">
      <c r="A27" s="13" t="s">
        <v>20</v>
      </c>
    </row>
    <row r="28" spans="1:1" x14ac:dyDescent="0.25">
      <c r="A28" s="9" t="s">
        <v>2513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37E2-7285-4A5D-BC02-AEED216068D9}">
  <dimension ref="A3:R228"/>
  <sheetViews>
    <sheetView topLeftCell="B104" zoomScale="90" workbookViewId="0">
      <selection activeCell="F143" sqref="F143"/>
    </sheetView>
  </sheetViews>
  <sheetFormatPr defaultRowHeight="15" x14ac:dyDescent="0.25"/>
  <cols>
    <col min="1" max="1" width="14" bestFit="1" customWidth="1"/>
    <col min="2" max="2" width="14.85546875" bestFit="1" customWidth="1"/>
    <col min="3" max="3" width="22" bestFit="1" customWidth="1"/>
    <col min="4" max="4" width="15.5703125" bestFit="1" customWidth="1"/>
    <col min="5" max="5" width="14.85546875" bestFit="1" customWidth="1"/>
    <col min="6" max="6" width="9.28515625" bestFit="1" customWidth="1"/>
    <col min="7" max="7" width="11.28515625" bestFit="1" customWidth="1"/>
    <col min="8" max="9" width="16.85546875" bestFit="1" customWidth="1"/>
    <col min="10" max="10" width="19.85546875" bestFit="1" customWidth="1"/>
    <col min="11" max="11" width="20.5703125" bestFit="1" customWidth="1"/>
    <col min="12" max="12" width="17.42578125" bestFit="1" customWidth="1"/>
    <col min="14" max="14" width="10.42578125" bestFit="1" customWidth="1"/>
    <col min="16" max="16" width="15.5703125" customWidth="1"/>
    <col min="17" max="17" width="22" bestFit="1" customWidth="1"/>
  </cols>
  <sheetData>
    <row r="3" spans="1:12" x14ac:dyDescent="0.25">
      <c r="A3" t="s">
        <v>2503</v>
      </c>
      <c r="B3" t="s">
        <v>2504</v>
      </c>
      <c r="C3" t="s">
        <v>2505</v>
      </c>
      <c r="D3" t="s">
        <v>2506</v>
      </c>
      <c r="E3" t="s">
        <v>2507</v>
      </c>
      <c r="H3" t="s">
        <v>2508</v>
      </c>
      <c r="I3" t="s">
        <v>2509</v>
      </c>
      <c r="J3" t="s">
        <v>2492</v>
      </c>
      <c r="K3" t="s">
        <v>2510</v>
      </c>
      <c r="L3" t="s">
        <v>2511</v>
      </c>
    </row>
    <row r="4" spans="1:12" x14ac:dyDescent="0.25">
      <c r="A4">
        <v>2400</v>
      </c>
      <c r="B4">
        <v>11997</v>
      </c>
      <c r="C4">
        <v>649019.80000000144</v>
      </c>
      <c r="D4">
        <v>3.9620833333333332</v>
      </c>
      <c r="E4">
        <v>2.3424999999999998</v>
      </c>
      <c r="H4" t="str">
        <f>TEXT(A4,"#,##")</f>
        <v>2,400</v>
      </c>
      <c r="I4" t="str">
        <f>TEXT(B4,"#,##")</f>
        <v>11,997</v>
      </c>
      <c r="J4" t="str">
        <f>TEXT(C4,"$#,#,.0k")</f>
        <v>$649.0k</v>
      </c>
      <c r="K4" t="str">
        <f>TEXT(D4,"0.0")</f>
        <v>4.0</v>
      </c>
      <c r="L4" t="str">
        <f>TEXT(E4,"0.0")</f>
        <v>2.3</v>
      </c>
    </row>
    <row r="6" spans="1:12" x14ac:dyDescent="0.25">
      <c r="H6" t="str">
        <f>TEXT(A4,"#,##")</f>
        <v>2,400</v>
      </c>
    </row>
    <row r="9" spans="1:12" x14ac:dyDescent="0.25">
      <c r="A9" s="8" t="s">
        <v>2512</v>
      </c>
      <c r="B9" t="s">
        <v>2504</v>
      </c>
      <c r="C9" t="s">
        <v>2505</v>
      </c>
    </row>
    <row r="10" spans="1:12" x14ac:dyDescent="0.25">
      <c r="A10" s="9">
        <v>1</v>
      </c>
      <c r="B10">
        <v>546</v>
      </c>
      <c r="C10">
        <v>32413.300000000003</v>
      </c>
    </row>
    <row r="11" spans="1:12" x14ac:dyDescent="0.25">
      <c r="A11" s="9">
        <v>2</v>
      </c>
      <c r="B11">
        <v>905</v>
      </c>
      <c r="C11">
        <v>49562.999999999993</v>
      </c>
    </row>
    <row r="12" spans="1:12" x14ac:dyDescent="0.25">
      <c r="A12" s="9">
        <v>3</v>
      </c>
      <c r="B12">
        <v>796</v>
      </c>
      <c r="C12">
        <v>41700.400000000016</v>
      </c>
    </row>
    <row r="13" spans="1:12" x14ac:dyDescent="0.25">
      <c r="A13" s="9">
        <v>4</v>
      </c>
      <c r="B13">
        <v>913</v>
      </c>
      <c r="C13">
        <v>46782.599999999984</v>
      </c>
    </row>
    <row r="14" spans="1:12" x14ac:dyDescent="0.25">
      <c r="A14" s="9">
        <v>5</v>
      </c>
      <c r="B14">
        <v>844</v>
      </c>
      <c r="C14">
        <v>42676.100000000006</v>
      </c>
    </row>
    <row r="15" spans="1:12" x14ac:dyDescent="0.25">
      <c r="A15" s="9">
        <v>6</v>
      </c>
      <c r="B15">
        <v>1202</v>
      </c>
      <c r="C15">
        <v>62910.7</v>
      </c>
    </row>
    <row r="16" spans="1:12" x14ac:dyDescent="0.25">
      <c r="A16" s="9">
        <v>7</v>
      </c>
      <c r="B16">
        <v>935</v>
      </c>
      <c r="C16">
        <v>50332.200000000004</v>
      </c>
    </row>
    <row r="17" spans="1:14" x14ac:dyDescent="0.25">
      <c r="A17" s="9">
        <v>8</v>
      </c>
      <c r="B17">
        <v>1128</v>
      </c>
      <c r="C17">
        <v>58760.599999999977</v>
      </c>
    </row>
    <row r="18" spans="1:14" x14ac:dyDescent="0.25">
      <c r="A18" s="9">
        <v>9</v>
      </c>
      <c r="B18">
        <v>1007</v>
      </c>
      <c r="C18">
        <v>52017.299999999996</v>
      </c>
    </row>
    <row r="19" spans="1:14" x14ac:dyDescent="0.25">
      <c r="A19" s="9">
        <v>10</v>
      </c>
      <c r="B19">
        <v>1128</v>
      </c>
      <c r="C19">
        <v>64915.700000000033</v>
      </c>
    </row>
    <row r="20" spans="1:14" x14ac:dyDescent="0.25">
      <c r="A20" s="9">
        <v>11</v>
      </c>
      <c r="B20">
        <v>861</v>
      </c>
      <c r="C20">
        <v>45943.80000000001</v>
      </c>
    </row>
    <row r="21" spans="1:14" x14ac:dyDescent="0.25">
      <c r="A21" s="9">
        <v>12</v>
      </c>
      <c r="B21">
        <v>944</v>
      </c>
      <c r="C21">
        <v>55077.900000000031</v>
      </c>
    </row>
    <row r="22" spans="1:14" x14ac:dyDescent="0.25">
      <c r="A22" s="9">
        <v>13</v>
      </c>
      <c r="B22">
        <v>788</v>
      </c>
      <c r="C22">
        <v>45926.19999999999</v>
      </c>
    </row>
    <row r="23" spans="1:14" x14ac:dyDescent="0.25">
      <c r="A23" s="9" t="s">
        <v>2513</v>
      </c>
      <c r="B23">
        <v>11997</v>
      </c>
      <c r="C23">
        <v>649019.79999999993</v>
      </c>
    </row>
    <row r="29" spans="1:14" ht="15.75" thickBot="1" x14ac:dyDescent="0.3"/>
    <row r="30" spans="1:14" ht="17.25" thickTop="1" thickBot="1" x14ac:dyDescent="0.35">
      <c r="B30" s="8" t="s">
        <v>2505</v>
      </c>
      <c r="C30" s="8" t="s">
        <v>2514</v>
      </c>
      <c r="J30" s="18"/>
      <c r="K30" s="18" t="str">
        <f t="shared" ref="K30:N35" si="0">C31</f>
        <v>Female</v>
      </c>
      <c r="L30" s="18" t="str">
        <f t="shared" si="0"/>
        <v>Male</v>
      </c>
      <c r="M30" s="18" t="str">
        <f t="shared" si="0"/>
        <v>Other</v>
      </c>
      <c r="N30" s="18" t="str">
        <f t="shared" si="0"/>
        <v>Unknown</v>
      </c>
    </row>
    <row r="31" spans="1:14" ht="17.25" thickTop="1" thickBot="1" x14ac:dyDescent="0.35">
      <c r="B31" s="8" t="s">
        <v>2512</v>
      </c>
      <c r="C31" t="s">
        <v>2515</v>
      </c>
      <c r="D31" t="s">
        <v>2516</v>
      </c>
      <c r="E31" t="s">
        <v>2517</v>
      </c>
      <c r="F31" t="s">
        <v>2518</v>
      </c>
      <c r="G31" t="s">
        <v>2513</v>
      </c>
      <c r="J31" s="18" t="str">
        <f>B32</f>
        <v>App</v>
      </c>
      <c r="K31" s="19">
        <f t="shared" si="0"/>
        <v>0.18961825201634841</v>
      </c>
      <c r="L31" s="19">
        <f t="shared" si="0"/>
        <v>0.12262322351336576</v>
      </c>
      <c r="M31" s="19">
        <f t="shared" si="0"/>
        <v>1.060537752469185E-2</v>
      </c>
      <c r="N31" s="19">
        <f t="shared" si="0"/>
        <v>3.0599220547662797E-2</v>
      </c>
    </row>
    <row r="32" spans="1:14" ht="17.25" thickTop="1" thickBot="1" x14ac:dyDescent="0.35">
      <c r="B32" s="9" t="s">
        <v>3</v>
      </c>
      <c r="C32" s="11">
        <v>0.18961825201634841</v>
      </c>
      <c r="D32" s="11">
        <v>0.12262322351336576</v>
      </c>
      <c r="E32" s="11">
        <v>1.060537752469185E-2</v>
      </c>
      <c r="F32" s="11">
        <v>3.0599220547662797E-2</v>
      </c>
      <c r="G32" s="11">
        <v>0.35344607360206881</v>
      </c>
      <c r="J32" s="18" t="str">
        <f>B33</f>
        <v>Instagram</v>
      </c>
      <c r="K32" s="19">
        <f t="shared" si="0"/>
        <v>5.0283982091147303E-2</v>
      </c>
      <c r="L32" s="19">
        <f t="shared" si="0"/>
        <v>4.3060781812819873E-2</v>
      </c>
      <c r="M32" s="19">
        <f t="shared" si="0"/>
        <v>1.5320025675641944E-3</v>
      </c>
      <c r="N32" s="19">
        <f t="shared" si="0"/>
        <v>1.7794988689097006E-2</v>
      </c>
    </row>
    <row r="33" spans="2:14" ht="17.25" thickTop="1" thickBot="1" x14ac:dyDescent="0.35">
      <c r="B33" s="9" t="s">
        <v>36</v>
      </c>
      <c r="C33" s="11">
        <v>5.0283982091147303E-2</v>
      </c>
      <c r="D33" s="11">
        <v>4.3060781812819873E-2</v>
      </c>
      <c r="E33" s="11">
        <v>1.5320025675641944E-3</v>
      </c>
      <c r="F33" s="11">
        <v>1.7794988689097006E-2</v>
      </c>
      <c r="G33" s="11">
        <v>0.11267175516062837</v>
      </c>
      <c r="J33" s="18" t="str">
        <f>B34</f>
        <v>Partner App</v>
      </c>
      <c r="K33" s="19">
        <f t="shared" si="0"/>
        <v>6.3496059750411282E-2</v>
      </c>
      <c r="L33" s="19">
        <f t="shared" si="0"/>
        <v>4.6071629863988765E-2</v>
      </c>
      <c r="M33" s="19">
        <f t="shared" si="0"/>
        <v>2.306247051322625E-3</v>
      </c>
      <c r="N33" s="19">
        <f t="shared" si="0"/>
        <v>3.8927934093844286E-3</v>
      </c>
    </row>
    <row r="34" spans="2:14" ht="17.25" thickTop="1" thickBot="1" x14ac:dyDescent="0.35">
      <c r="B34" s="9" t="s">
        <v>55</v>
      </c>
      <c r="C34" s="11">
        <v>6.3496059750411282E-2</v>
      </c>
      <c r="D34" s="11">
        <v>4.6071629863988765E-2</v>
      </c>
      <c r="E34" s="11">
        <v>2.306247051322625E-3</v>
      </c>
      <c r="F34" s="11">
        <v>3.8927934093844286E-3</v>
      </c>
      <c r="G34" s="11">
        <v>0.11576673007510711</v>
      </c>
      <c r="J34" s="18" t="str">
        <f>B35</f>
        <v>Target.com</v>
      </c>
      <c r="K34" s="19">
        <f t="shared" si="0"/>
        <v>9.6337892927149532E-2</v>
      </c>
      <c r="L34" s="19">
        <f t="shared" si="0"/>
        <v>6.7920115842382611E-2</v>
      </c>
      <c r="M34" s="19">
        <f t="shared" si="0"/>
        <v>5.4979832664581261E-3</v>
      </c>
      <c r="N34" s="19">
        <f t="shared" si="0"/>
        <v>1.2933041488102518E-2</v>
      </c>
    </row>
    <row r="35" spans="2:14" ht="17.25" thickTop="1" thickBot="1" x14ac:dyDescent="0.35">
      <c r="B35" s="9" t="s">
        <v>25</v>
      </c>
      <c r="C35" s="11">
        <v>9.6337892927149532E-2</v>
      </c>
      <c r="D35" s="11">
        <v>6.7920115842382611E-2</v>
      </c>
      <c r="E35" s="11">
        <v>5.4979832664581261E-3</v>
      </c>
      <c r="F35" s="11">
        <v>1.2933041488102518E-2</v>
      </c>
      <c r="G35" s="11">
        <v>0.1826890335240928</v>
      </c>
      <c r="J35" s="18" t="str">
        <f>B36</f>
        <v>Website</v>
      </c>
      <c r="K35" s="19">
        <f t="shared" si="0"/>
        <v>0.12522098709469262</v>
      </c>
      <c r="L35" s="19">
        <f t="shared" si="0"/>
        <v>9.1492740283116228E-2</v>
      </c>
      <c r="M35" s="19">
        <f t="shared" si="0"/>
        <v>6.3042760790965081E-3</v>
      </c>
      <c r="N35" s="19">
        <f t="shared" si="0"/>
        <v>1.2408404181197551E-2</v>
      </c>
    </row>
    <row r="36" spans="2:14" ht="15.75" thickTop="1" x14ac:dyDescent="0.25">
      <c r="B36" s="9" t="s">
        <v>20</v>
      </c>
      <c r="C36" s="11">
        <v>0.12522098709469262</v>
      </c>
      <c r="D36" s="11">
        <v>9.1492740283116228E-2</v>
      </c>
      <c r="E36" s="11">
        <v>6.3042760790965081E-3</v>
      </c>
      <c r="F36" s="11">
        <v>1.2408404181197551E-2</v>
      </c>
      <c r="G36" s="11">
        <v>0.23542640763810288</v>
      </c>
      <c r="K36" s="12"/>
      <c r="L36" s="12"/>
      <c r="M36" s="12"/>
      <c r="N36" s="12"/>
    </row>
    <row r="37" spans="2:14" x14ac:dyDescent="0.25">
      <c r="B37" s="9" t="s">
        <v>2513</v>
      </c>
      <c r="C37" s="11">
        <v>0.52495717387974916</v>
      </c>
      <c r="D37" s="11">
        <v>0.3711684913156732</v>
      </c>
      <c r="E37" s="11">
        <v>2.6245886489133303E-2</v>
      </c>
      <c r="F37" s="11">
        <v>7.7628448315444312E-2</v>
      </c>
      <c r="G37" s="11">
        <v>1</v>
      </c>
    </row>
    <row r="42" spans="2:14" x14ac:dyDescent="0.25">
      <c r="B42" s="20" t="e" vm="1">
        <v>#VALUE!</v>
      </c>
    </row>
    <row r="64" spans="2:10" x14ac:dyDescent="0.25">
      <c r="B64" t="s">
        <v>2519</v>
      </c>
      <c r="G64" s="10"/>
      <c r="H64" s="10"/>
      <c r="I64" s="10"/>
      <c r="J64" s="10"/>
    </row>
    <row r="65" spans="2:10" x14ac:dyDescent="0.25">
      <c r="B65" s="20" t="e" vm="1">
        <v>#VALUE!</v>
      </c>
      <c r="G65" s="7" t="s">
        <v>2516</v>
      </c>
      <c r="H65" s="7" t="s">
        <v>2517</v>
      </c>
      <c r="I65" s="7" t="s">
        <v>2518</v>
      </c>
      <c r="J65" s="7" t="s">
        <v>2513</v>
      </c>
    </row>
    <row r="66" spans="2:10" x14ac:dyDescent="0.25">
      <c r="G66" s="11">
        <v>0.12262322351336576</v>
      </c>
      <c r="H66" s="11">
        <v>1.060537752469185E-2</v>
      </c>
      <c r="I66" s="11">
        <v>3.0599220547662797E-2</v>
      </c>
      <c r="J66" s="11">
        <v>0.35344607360206881</v>
      </c>
    </row>
    <row r="67" spans="2:10" x14ac:dyDescent="0.25">
      <c r="G67" s="11">
        <v>4.3060781812819873E-2</v>
      </c>
      <c r="H67" s="11">
        <v>1.5320025675641944E-3</v>
      </c>
      <c r="I67" s="11">
        <v>1.7794988689097006E-2</v>
      </c>
      <c r="J67" s="11">
        <v>0.11267175516062837</v>
      </c>
    </row>
    <row r="68" spans="2:10" x14ac:dyDescent="0.25">
      <c r="G68" s="11">
        <v>4.6071629863988765E-2</v>
      </c>
      <c r="H68" s="11">
        <v>2.306247051322625E-3</v>
      </c>
      <c r="I68" s="11">
        <v>3.8927934093844286E-3</v>
      </c>
      <c r="J68" s="11">
        <v>0.11576673007510711</v>
      </c>
    </row>
    <row r="69" spans="2:10" x14ac:dyDescent="0.25">
      <c r="G69" s="11">
        <v>6.7920115842382611E-2</v>
      </c>
      <c r="H69" s="11">
        <v>5.4979832664581261E-3</v>
      </c>
      <c r="I69" s="11">
        <v>1.2933041488102518E-2</v>
      </c>
      <c r="J69" s="11">
        <v>0.1826890335240928</v>
      </c>
    </row>
    <row r="70" spans="2:10" x14ac:dyDescent="0.25">
      <c r="G70" s="11">
        <v>9.1492740283116228E-2</v>
      </c>
      <c r="H70" s="11">
        <v>6.3042760790965081E-3</v>
      </c>
      <c r="I70" s="11">
        <v>1.2408404181197551E-2</v>
      </c>
      <c r="J70" s="11">
        <v>0.23542640763810288</v>
      </c>
    </row>
    <row r="71" spans="2:10" x14ac:dyDescent="0.25">
      <c r="G71" s="17">
        <v>0.3711684913156732</v>
      </c>
      <c r="H71" s="17">
        <v>2.6245886489133303E-2</v>
      </c>
      <c r="I71" s="17">
        <v>7.7628448315444312E-2</v>
      </c>
      <c r="J71" s="17">
        <v>1</v>
      </c>
    </row>
    <row r="78" spans="2:10" x14ac:dyDescent="0.25">
      <c r="B78" s="8" t="s">
        <v>2498</v>
      </c>
      <c r="C78" s="8" t="s">
        <v>2499</v>
      </c>
      <c r="D78" t="s">
        <v>2504</v>
      </c>
      <c r="E78" t="s">
        <v>2505</v>
      </c>
    </row>
    <row r="79" spans="2:10" x14ac:dyDescent="0.25">
      <c r="B79" t="s">
        <v>4</v>
      </c>
      <c r="C79" t="s">
        <v>100</v>
      </c>
      <c r="D79">
        <v>579</v>
      </c>
      <c r="E79">
        <v>31884.999999999996</v>
      </c>
    </row>
    <row r="80" spans="2:10" x14ac:dyDescent="0.25">
      <c r="B80" t="s">
        <v>4</v>
      </c>
      <c r="C80" t="s">
        <v>5</v>
      </c>
      <c r="D80">
        <v>1</v>
      </c>
      <c r="E80">
        <v>10.9</v>
      </c>
    </row>
    <row r="81" spans="2:18" x14ac:dyDescent="0.25">
      <c r="B81" t="s">
        <v>4</v>
      </c>
      <c r="C81" t="s">
        <v>626</v>
      </c>
      <c r="D81">
        <v>9</v>
      </c>
      <c r="E81">
        <v>800.3</v>
      </c>
      <c r="H81" t="s">
        <v>2521</v>
      </c>
      <c r="I81" t="s">
        <v>2499</v>
      </c>
      <c r="J81" t="s">
        <v>2522</v>
      </c>
      <c r="P81" t="s">
        <v>2498</v>
      </c>
      <c r="Q81" t="s">
        <v>2499</v>
      </c>
      <c r="R81" t="s">
        <v>2492</v>
      </c>
    </row>
    <row r="82" spans="2:18" x14ac:dyDescent="0.25">
      <c r="B82" t="s">
        <v>4</v>
      </c>
      <c r="C82" t="s">
        <v>952</v>
      </c>
      <c r="D82">
        <v>35</v>
      </c>
      <c r="E82">
        <v>1062.5999999999999</v>
      </c>
      <c r="H82" s="14" t="s">
        <v>4</v>
      </c>
      <c r="I82" t="s">
        <v>100</v>
      </c>
      <c r="J82">
        <v>579</v>
      </c>
      <c r="P82" s="14" t="s">
        <v>4</v>
      </c>
      <c r="Q82" t="s">
        <v>100</v>
      </c>
      <c r="R82">
        <v>31884.999999999996</v>
      </c>
    </row>
    <row r="83" spans="2:18" x14ac:dyDescent="0.25">
      <c r="B83" t="s">
        <v>4</v>
      </c>
      <c r="C83" t="s">
        <v>69</v>
      </c>
      <c r="D83">
        <v>12</v>
      </c>
      <c r="E83">
        <v>326.20000000000005</v>
      </c>
      <c r="H83" s="14" t="s">
        <v>4</v>
      </c>
      <c r="I83" t="s">
        <v>5</v>
      </c>
      <c r="J83">
        <v>1</v>
      </c>
      <c r="P83" s="14" t="s">
        <v>4</v>
      </c>
      <c r="Q83" t="s">
        <v>5</v>
      </c>
      <c r="R83">
        <v>10.9</v>
      </c>
    </row>
    <row r="84" spans="2:18" x14ac:dyDescent="0.25">
      <c r="B84" t="s">
        <v>4</v>
      </c>
      <c r="C84" t="s">
        <v>1368</v>
      </c>
      <c r="D84">
        <v>4</v>
      </c>
      <c r="E84">
        <v>167.5</v>
      </c>
      <c r="H84" s="14" t="s">
        <v>4</v>
      </c>
      <c r="I84" t="s">
        <v>626</v>
      </c>
      <c r="J84">
        <v>9</v>
      </c>
      <c r="P84" s="14" t="s">
        <v>4</v>
      </c>
      <c r="Q84" t="s">
        <v>626</v>
      </c>
      <c r="R84">
        <v>800.3</v>
      </c>
    </row>
    <row r="85" spans="2:18" x14ac:dyDescent="0.25">
      <c r="B85" t="s">
        <v>4</v>
      </c>
      <c r="C85" t="s">
        <v>9</v>
      </c>
      <c r="D85">
        <v>341</v>
      </c>
      <c r="E85">
        <v>16168.7</v>
      </c>
      <c r="H85" s="14" t="s">
        <v>4</v>
      </c>
      <c r="I85" t="s">
        <v>952</v>
      </c>
      <c r="J85">
        <v>35</v>
      </c>
      <c r="P85" s="14" t="s">
        <v>4</v>
      </c>
      <c r="Q85" t="s">
        <v>952</v>
      </c>
      <c r="R85">
        <v>1062.5999999999999</v>
      </c>
    </row>
    <row r="86" spans="2:18" x14ac:dyDescent="0.25">
      <c r="B86" t="s">
        <v>4</v>
      </c>
      <c r="C86" t="s">
        <v>2189</v>
      </c>
      <c r="D86">
        <v>13</v>
      </c>
      <c r="E86">
        <v>322.40000000000003</v>
      </c>
      <c r="H86" s="14" t="s">
        <v>4</v>
      </c>
      <c r="I86" t="s">
        <v>69</v>
      </c>
      <c r="J86">
        <v>12</v>
      </c>
      <c r="P86" s="14" t="s">
        <v>4</v>
      </c>
      <c r="Q86" t="s">
        <v>69</v>
      </c>
      <c r="R86">
        <v>326.20000000000005</v>
      </c>
    </row>
    <row r="87" spans="2:18" x14ac:dyDescent="0.25">
      <c r="B87" t="s">
        <v>4</v>
      </c>
      <c r="C87" t="s">
        <v>422</v>
      </c>
      <c r="D87">
        <v>31</v>
      </c>
      <c r="E87">
        <v>2092.8000000000002</v>
      </c>
      <c r="H87" s="14" t="s">
        <v>4</v>
      </c>
      <c r="I87" t="s">
        <v>1368</v>
      </c>
      <c r="J87">
        <v>4</v>
      </c>
      <c r="P87" s="14" t="s">
        <v>4</v>
      </c>
      <c r="Q87" t="s">
        <v>1368</v>
      </c>
      <c r="R87">
        <v>167.5</v>
      </c>
    </row>
    <row r="88" spans="2:18" x14ac:dyDescent="0.25">
      <c r="B88" t="s">
        <v>4</v>
      </c>
      <c r="C88" t="s">
        <v>13</v>
      </c>
      <c r="D88">
        <v>279</v>
      </c>
      <c r="E88">
        <v>12662.500000000002</v>
      </c>
      <c r="H88" s="14" t="s">
        <v>4</v>
      </c>
      <c r="I88" t="s">
        <v>9</v>
      </c>
      <c r="J88">
        <v>341</v>
      </c>
      <c r="P88" s="14" t="s">
        <v>4</v>
      </c>
      <c r="Q88" t="s">
        <v>9</v>
      </c>
      <c r="R88">
        <v>16168.7</v>
      </c>
    </row>
    <row r="89" spans="2:18" x14ac:dyDescent="0.25">
      <c r="B89" t="s">
        <v>4</v>
      </c>
      <c r="C89" t="s">
        <v>193</v>
      </c>
      <c r="D89">
        <v>9</v>
      </c>
      <c r="E89">
        <v>343.2</v>
      </c>
      <c r="H89" s="14" t="s">
        <v>4</v>
      </c>
      <c r="I89" t="s">
        <v>2189</v>
      </c>
      <c r="J89">
        <v>13</v>
      </c>
      <c r="P89" s="14" t="s">
        <v>4</v>
      </c>
      <c r="Q89" t="s">
        <v>2189</v>
      </c>
      <c r="R89">
        <v>322.40000000000003</v>
      </c>
    </row>
    <row r="90" spans="2:18" x14ac:dyDescent="0.25">
      <c r="B90" t="s">
        <v>4</v>
      </c>
      <c r="C90" t="s">
        <v>572</v>
      </c>
      <c r="D90">
        <v>49</v>
      </c>
      <c r="E90">
        <v>2188.2999999999997</v>
      </c>
      <c r="H90" s="14" t="s">
        <v>4</v>
      </c>
      <c r="I90" t="s">
        <v>422</v>
      </c>
      <c r="J90">
        <v>31</v>
      </c>
      <c r="P90" s="14" t="s">
        <v>4</v>
      </c>
      <c r="Q90" t="s">
        <v>422</v>
      </c>
      <c r="R90">
        <v>2092.8000000000002</v>
      </c>
    </row>
    <row r="91" spans="2:18" x14ac:dyDescent="0.25">
      <c r="B91" t="s">
        <v>4</v>
      </c>
      <c r="C91" t="s">
        <v>316</v>
      </c>
      <c r="D91">
        <v>59</v>
      </c>
      <c r="E91">
        <v>2661.5999999999995</v>
      </c>
      <c r="H91" s="14" t="s">
        <v>4</v>
      </c>
      <c r="I91" t="s">
        <v>13</v>
      </c>
      <c r="J91">
        <v>279</v>
      </c>
      <c r="P91" s="14" t="s">
        <v>4</v>
      </c>
      <c r="Q91" t="s">
        <v>13</v>
      </c>
      <c r="R91">
        <v>12662.500000000002</v>
      </c>
    </row>
    <row r="92" spans="2:18" x14ac:dyDescent="0.25">
      <c r="B92" t="s">
        <v>4</v>
      </c>
      <c r="C92" t="s">
        <v>71</v>
      </c>
      <c r="D92">
        <v>8</v>
      </c>
      <c r="E92">
        <v>887.5</v>
      </c>
      <c r="H92" s="14" t="s">
        <v>4</v>
      </c>
      <c r="I92" t="s">
        <v>193</v>
      </c>
      <c r="J92">
        <v>9</v>
      </c>
      <c r="P92" s="14" t="s">
        <v>4</v>
      </c>
      <c r="Q92" t="s">
        <v>193</v>
      </c>
      <c r="R92">
        <v>343.2</v>
      </c>
    </row>
    <row r="93" spans="2:18" x14ac:dyDescent="0.25">
      <c r="B93" t="s">
        <v>4</v>
      </c>
      <c r="C93" t="s">
        <v>132</v>
      </c>
      <c r="D93">
        <v>222</v>
      </c>
      <c r="E93">
        <v>11354.199999999993</v>
      </c>
      <c r="H93" s="14" t="s">
        <v>4</v>
      </c>
      <c r="I93" t="s">
        <v>572</v>
      </c>
      <c r="J93">
        <v>49</v>
      </c>
      <c r="P93" s="14" t="s">
        <v>4</v>
      </c>
      <c r="Q93" t="s">
        <v>572</v>
      </c>
      <c r="R93">
        <v>2188.2999999999997</v>
      </c>
    </row>
    <row r="94" spans="2:18" x14ac:dyDescent="0.25">
      <c r="B94" t="s">
        <v>4</v>
      </c>
      <c r="C94" t="s">
        <v>319</v>
      </c>
      <c r="D94">
        <v>36</v>
      </c>
      <c r="E94">
        <v>1558.4</v>
      </c>
      <c r="H94" s="14" t="s">
        <v>4</v>
      </c>
      <c r="I94" t="s">
        <v>316</v>
      </c>
      <c r="J94">
        <v>59</v>
      </c>
      <c r="P94" s="14" t="s">
        <v>4</v>
      </c>
      <c r="Q94" t="s">
        <v>316</v>
      </c>
      <c r="R94">
        <v>2661.5999999999995</v>
      </c>
    </row>
    <row r="95" spans="2:18" x14ac:dyDescent="0.25">
      <c r="B95" t="s">
        <v>4</v>
      </c>
      <c r="C95" t="s">
        <v>934</v>
      </c>
      <c r="D95">
        <v>30</v>
      </c>
      <c r="E95">
        <v>2223.9</v>
      </c>
      <c r="H95" s="14" t="s">
        <v>4</v>
      </c>
      <c r="I95" t="s">
        <v>71</v>
      </c>
      <c r="J95">
        <v>8</v>
      </c>
      <c r="P95" s="14" t="s">
        <v>4</v>
      </c>
      <c r="Q95" t="s">
        <v>71</v>
      </c>
      <c r="R95">
        <v>887.5</v>
      </c>
    </row>
    <row r="96" spans="2:18" x14ac:dyDescent="0.25">
      <c r="B96" t="s">
        <v>4</v>
      </c>
      <c r="C96" t="s">
        <v>1411</v>
      </c>
      <c r="D96">
        <v>1</v>
      </c>
      <c r="E96">
        <v>26.2</v>
      </c>
      <c r="H96" s="14" t="s">
        <v>4</v>
      </c>
      <c r="I96" t="s">
        <v>132</v>
      </c>
      <c r="J96">
        <v>222</v>
      </c>
      <c r="P96" s="14" t="s">
        <v>4</v>
      </c>
      <c r="Q96" t="s">
        <v>132</v>
      </c>
      <c r="R96">
        <v>11354.199999999993</v>
      </c>
    </row>
    <row r="97" spans="2:18" x14ac:dyDescent="0.25">
      <c r="B97" t="s">
        <v>4</v>
      </c>
      <c r="C97" t="s">
        <v>18</v>
      </c>
      <c r="D97">
        <v>3991</v>
      </c>
      <c r="E97">
        <v>215551.19999999981</v>
      </c>
      <c r="H97" s="14" t="s">
        <v>4</v>
      </c>
      <c r="I97" t="s">
        <v>319</v>
      </c>
      <c r="J97">
        <v>36</v>
      </c>
      <c r="P97" s="14" t="s">
        <v>4</v>
      </c>
      <c r="Q97" t="s">
        <v>319</v>
      </c>
      <c r="R97">
        <v>1558.4</v>
      </c>
    </row>
    <row r="98" spans="2:18" x14ac:dyDescent="0.25">
      <c r="B98" t="s">
        <v>4</v>
      </c>
      <c r="C98" t="s">
        <v>349</v>
      </c>
      <c r="D98">
        <v>45</v>
      </c>
      <c r="E98">
        <v>2687.3999999999996</v>
      </c>
      <c r="H98" s="14" t="s">
        <v>4</v>
      </c>
      <c r="I98" t="s">
        <v>934</v>
      </c>
      <c r="J98">
        <v>30</v>
      </c>
      <c r="P98" s="14" t="s">
        <v>4</v>
      </c>
      <c r="Q98" t="s">
        <v>934</v>
      </c>
      <c r="R98">
        <v>2223.9</v>
      </c>
    </row>
    <row r="99" spans="2:18" x14ac:dyDescent="0.25">
      <c r="B99" t="s">
        <v>4</v>
      </c>
      <c r="C99" t="s">
        <v>530</v>
      </c>
      <c r="D99">
        <v>39</v>
      </c>
      <c r="E99">
        <v>1463.3000000000002</v>
      </c>
      <c r="H99" s="14" t="s">
        <v>4</v>
      </c>
      <c r="I99" t="s">
        <v>1411</v>
      </c>
      <c r="J99">
        <v>1</v>
      </c>
      <c r="P99" s="14" t="s">
        <v>4</v>
      </c>
      <c r="Q99" t="s">
        <v>1411</v>
      </c>
      <c r="R99">
        <v>26.2</v>
      </c>
    </row>
    <row r="100" spans="2:18" x14ac:dyDescent="0.25">
      <c r="B100" t="s">
        <v>4</v>
      </c>
      <c r="C100" t="s">
        <v>401</v>
      </c>
      <c r="D100">
        <v>6</v>
      </c>
      <c r="E100">
        <v>445.79999999999995</v>
      </c>
      <c r="H100" s="14" t="s">
        <v>4</v>
      </c>
      <c r="I100" t="s">
        <v>18</v>
      </c>
      <c r="J100">
        <v>3991</v>
      </c>
      <c r="P100" s="14" t="s">
        <v>4</v>
      </c>
      <c r="Q100" t="s">
        <v>18</v>
      </c>
      <c r="R100">
        <v>215551.19999999981</v>
      </c>
    </row>
    <row r="101" spans="2:18" x14ac:dyDescent="0.25">
      <c r="B101" t="s">
        <v>4</v>
      </c>
      <c r="C101" t="s">
        <v>243</v>
      </c>
      <c r="D101">
        <v>9</v>
      </c>
      <c r="E101">
        <v>273.59999999999997</v>
      </c>
      <c r="H101" s="14" t="s">
        <v>4</v>
      </c>
      <c r="I101" t="s">
        <v>349</v>
      </c>
      <c r="J101">
        <v>45</v>
      </c>
      <c r="P101" s="14" t="s">
        <v>4</v>
      </c>
      <c r="Q101" t="s">
        <v>349</v>
      </c>
      <c r="R101">
        <v>2687.3999999999996</v>
      </c>
    </row>
    <row r="102" spans="2:18" x14ac:dyDescent="0.25">
      <c r="B102" t="s">
        <v>4</v>
      </c>
      <c r="C102" t="s">
        <v>171</v>
      </c>
      <c r="D102">
        <v>60</v>
      </c>
      <c r="E102">
        <v>2690.4</v>
      </c>
      <c r="H102" s="14" t="s">
        <v>4</v>
      </c>
      <c r="I102" t="s">
        <v>530</v>
      </c>
      <c r="J102">
        <v>39</v>
      </c>
      <c r="P102" s="14" t="s">
        <v>4</v>
      </c>
      <c r="Q102" t="s">
        <v>530</v>
      </c>
      <c r="R102">
        <v>1463.3000000000002</v>
      </c>
    </row>
    <row r="103" spans="2:18" x14ac:dyDescent="0.25">
      <c r="B103" t="s">
        <v>4</v>
      </c>
      <c r="C103" t="s">
        <v>377</v>
      </c>
      <c r="D103">
        <v>2</v>
      </c>
      <c r="E103">
        <v>28.4</v>
      </c>
      <c r="H103" s="14" t="s">
        <v>4</v>
      </c>
      <c r="I103" t="s">
        <v>401</v>
      </c>
      <c r="J103">
        <v>6</v>
      </c>
      <c r="P103" s="14" t="s">
        <v>4</v>
      </c>
      <c r="Q103" t="s">
        <v>401</v>
      </c>
      <c r="R103">
        <v>445.79999999999995</v>
      </c>
    </row>
    <row r="104" spans="2:18" x14ac:dyDescent="0.25">
      <c r="B104" t="s">
        <v>4</v>
      </c>
      <c r="C104" t="s">
        <v>655</v>
      </c>
      <c r="D104">
        <v>4</v>
      </c>
      <c r="E104">
        <v>204.8</v>
      </c>
      <c r="H104" s="14" t="s">
        <v>4</v>
      </c>
      <c r="I104" t="s">
        <v>243</v>
      </c>
      <c r="J104">
        <v>9</v>
      </c>
      <c r="P104" s="14" t="s">
        <v>4</v>
      </c>
      <c r="Q104" t="s">
        <v>243</v>
      </c>
      <c r="R104">
        <v>273.59999999999997</v>
      </c>
    </row>
    <row r="105" spans="2:18" x14ac:dyDescent="0.25">
      <c r="B105" t="s">
        <v>4</v>
      </c>
      <c r="C105" t="s">
        <v>787</v>
      </c>
      <c r="D105">
        <v>31</v>
      </c>
      <c r="E105">
        <v>1607.8999999999999</v>
      </c>
      <c r="H105" s="14" t="s">
        <v>4</v>
      </c>
      <c r="I105" t="s">
        <v>171</v>
      </c>
      <c r="J105">
        <v>60</v>
      </c>
      <c r="P105" s="14" t="s">
        <v>4</v>
      </c>
      <c r="Q105" t="s">
        <v>171</v>
      </c>
      <c r="R105">
        <v>2690.4</v>
      </c>
    </row>
    <row r="106" spans="2:18" x14ac:dyDescent="0.25">
      <c r="B106" t="s">
        <v>4</v>
      </c>
      <c r="C106" t="s">
        <v>83</v>
      </c>
      <c r="D106">
        <v>88</v>
      </c>
      <c r="E106">
        <v>6444.9</v>
      </c>
      <c r="H106" s="14" t="s">
        <v>4</v>
      </c>
      <c r="I106" t="s">
        <v>377</v>
      </c>
      <c r="J106">
        <v>2</v>
      </c>
      <c r="P106" s="14" t="s">
        <v>4</v>
      </c>
      <c r="Q106" t="s">
        <v>377</v>
      </c>
      <c r="R106">
        <v>28.4</v>
      </c>
    </row>
    <row r="107" spans="2:18" x14ac:dyDescent="0.25">
      <c r="B107" t="s">
        <v>4</v>
      </c>
      <c r="C107" t="s">
        <v>34</v>
      </c>
      <c r="D107">
        <v>25</v>
      </c>
      <c r="E107">
        <v>1809.3</v>
      </c>
      <c r="H107" s="14" t="s">
        <v>4</v>
      </c>
      <c r="I107" t="s">
        <v>655</v>
      </c>
      <c r="J107">
        <v>4</v>
      </c>
      <c r="P107" s="14" t="s">
        <v>4</v>
      </c>
      <c r="Q107" t="s">
        <v>655</v>
      </c>
      <c r="R107">
        <v>204.8</v>
      </c>
    </row>
    <row r="108" spans="2:18" x14ac:dyDescent="0.25">
      <c r="B108" t="s">
        <v>4</v>
      </c>
      <c r="C108" t="s">
        <v>173</v>
      </c>
      <c r="D108">
        <v>178</v>
      </c>
      <c r="E108">
        <v>9680.399999999996</v>
      </c>
      <c r="H108" s="14" t="s">
        <v>4</v>
      </c>
      <c r="I108" t="s">
        <v>787</v>
      </c>
      <c r="J108">
        <v>31</v>
      </c>
      <c r="P108" s="14" t="s">
        <v>4</v>
      </c>
      <c r="Q108" t="s">
        <v>787</v>
      </c>
      <c r="R108">
        <v>1607.8999999999999</v>
      </c>
    </row>
    <row r="109" spans="2:18" x14ac:dyDescent="0.25">
      <c r="B109" t="s">
        <v>4</v>
      </c>
      <c r="C109" t="s">
        <v>37</v>
      </c>
      <c r="D109">
        <v>141</v>
      </c>
      <c r="E109">
        <v>9414.7999999999993</v>
      </c>
      <c r="H109" s="14" t="s">
        <v>4</v>
      </c>
      <c r="I109" t="s">
        <v>83</v>
      </c>
      <c r="J109">
        <v>88</v>
      </c>
      <c r="P109" s="14" t="s">
        <v>4</v>
      </c>
      <c r="Q109" t="s">
        <v>83</v>
      </c>
      <c r="R109">
        <v>6444.9</v>
      </c>
    </row>
    <row r="110" spans="2:18" x14ac:dyDescent="0.25">
      <c r="B110" t="s">
        <v>4</v>
      </c>
      <c r="C110" t="s">
        <v>323</v>
      </c>
      <c r="D110">
        <v>6</v>
      </c>
      <c r="E110">
        <v>206.1</v>
      </c>
      <c r="H110" s="14" t="s">
        <v>4</v>
      </c>
      <c r="I110" t="s">
        <v>34</v>
      </c>
      <c r="J110">
        <v>25</v>
      </c>
      <c r="P110" s="14" t="s">
        <v>4</v>
      </c>
      <c r="Q110" t="s">
        <v>34</v>
      </c>
      <c r="R110">
        <v>1809.3</v>
      </c>
    </row>
    <row r="111" spans="2:18" x14ac:dyDescent="0.25">
      <c r="B111" t="s">
        <v>4</v>
      </c>
      <c r="C111" t="s">
        <v>143</v>
      </c>
      <c r="D111">
        <v>178</v>
      </c>
      <c r="E111">
        <v>7691.3</v>
      </c>
      <c r="H111" s="14" t="s">
        <v>4</v>
      </c>
      <c r="I111" t="s">
        <v>173</v>
      </c>
      <c r="J111">
        <v>178</v>
      </c>
      <c r="P111" s="14" t="s">
        <v>4</v>
      </c>
      <c r="Q111" t="s">
        <v>173</v>
      </c>
      <c r="R111">
        <v>9680.399999999996</v>
      </c>
    </row>
    <row r="112" spans="2:18" x14ac:dyDescent="0.25">
      <c r="B112" t="s">
        <v>4</v>
      </c>
      <c r="C112" t="s">
        <v>40</v>
      </c>
      <c r="D112">
        <v>699</v>
      </c>
      <c r="E112">
        <v>37784.900000000016</v>
      </c>
      <c r="H112" s="14" t="s">
        <v>4</v>
      </c>
      <c r="I112" t="s">
        <v>37</v>
      </c>
      <c r="J112">
        <v>141</v>
      </c>
      <c r="P112" s="14" t="s">
        <v>4</v>
      </c>
      <c r="Q112" t="s">
        <v>37</v>
      </c>
      <c r="R112">
        <v>9414.7999999999993</v>
      </c>
    </row>
    <row r="113" spans="2:18" x14ac:dyDescent="0.25">
      <c r="B113" t="s">
        <v>4</v>
      </c>
      <c r="C113" t="s">
        <v>327</v>
      </c>
      <c r="D113">
        <v>23</v>
      </c>
      <c r="E113">
        <v>1129.7</v>
      </c>
      <c r="H113" s="14" t="s">
        <v>4</v>
      </c>
      <c r="I113" t="s">
        <v>323</v>
      </c>
      <c r="J113">
        <v>6</v>
      </c>
      <c r="P113" s="14" t="s">
        <v>4</v>
      </c>
      <c r="Q113" t="s">
        <v>323</v>
      </c>
      <c r="R113">
        <v>206.1</v>
      </c>
    </row>
    <row r="114" spans="2:18" x14ac:dyDescent="0.25">
      <c r="B114" t="s">
        <v>4</v>
      </c>
      <c r="C114" t="s">
        <v>44</v>
      </c>
      <c r="D114">
        <v>356</v>
      </c>
      <c r="E114">
        <v>20988.9</v>
      </c>
      <c r="H114" s="14" t="s">
        <v>4</v>
      </c>
      <c r="I114" t="s">
        <v>143</v>
      </c>
      <c r="J114">
        <v>178</v>
      </c>
      <c r="P114" s="14" t="s">
        <v>4</v>
      </c>
      <c r="Q114" t="s">
        <v>143</v>
      </c>
      <c r="R114">
        <v>7691.3</v>
      </c>
    </row>
    <row r="115" spans="2:18" x14ac:dyDescent="0.25">
      <c r="B115" t="s">
        <v>4</v>
      </c>
      <c r="C115" t="s">
        <v>47</v>
      </c>
      <c r="D115">
        <v>1768</v>
      </c>
      <c r="E115">
        <v>98367.099999999977</v>
      </c>
      <c r="H115" s="14" t="s">
        <v>4</v>
      </c>
      <c r="I115" t="s">
        <v>40</v>
      </c>
      <c r="J115">
        <v>699</v>
      </c>
      <c r="P115" s="14" t="s">
        <v>4</v>
      </c>
      <c r="Q115" t="s">
        <v>40</v>
      </c>
      <c r="R115">
        <v>37784.900000000016</v>
      </c>
    </row>
    <row r="116" spans="2:18" x14ac:dyDescent="0.25">
      <c r="B116" t="s">
        <v>4</v>
      </c>
      <c r="C116" t="s">
        <v>88</v>
      </c>
      <c r="D116">
        <v>307</v>
      </c>
      <c r="E116">
        <v>21911.9</v>
      </c>
      <c r="H116" s="14" t="s">
        <v>4</v>
      </c>
      <c r="I116" t="s">
        <v>327</v>
      </c>
      <c r="J116">
        <v>23</v>
      </c>
      <c r="P116" s="14" t="s">
        <v>4</v>
      </c>
      <c r="Q116" t="s">
        <v>327</v>
      </c>
      <c r="R116">
        <v>1129.7</v>
      </c>
    </row>
    <row r="117" spans="2:18" x14ac:dyDescent="0.25">
      <c r="B117" t="s">
        <v>4</v>
      </c>
      <c r="C117" t="s">
        <v>186</v>
      </c>
      <c r="D117">
        <v>117</v>
      </c>
      <c r="E117">
        <v>5441.2</v>
      </c>
      <c r="H117" s="14" t="s">
        <v>4</v>
      </c>
      <c r="I117" t="s">
        <v>44</v>
      </c>
      <c r="J117">
        <v>356</v>
      </c>
      <c r="P117" s="14" t="s">
        <v>4</v>
      </c>
      <c r="Q117" t="s">
        <v>44</v>
      </c>
      <c r="R117">
        <v>20988.9</v>
      </c>
    </row>
    <row r="118" spans="2:18" x14ac:dyDescent="0.25">
      <c r="B118" t="s">
        <v>4</v>
      </c>
      <c r="C118" t="s">
        <v>414</v>
      </c>
      <c r="D118">
        <v>13</v>
      </c>
      <c r="E118">
        <v>392.8</v>
      </c>
      <c r="H118" s="14" t="s">
        <v>4</v>
      </c>
      <c r="I118" t="s">
        <v>47</v>
      </c>
      <c r="J118">
        <v>1768</v>
      </c>
      <c r="P118" s="14" t="s">
        <v>4</v>
      </c>
      <c r="Q118" t="s">
        <v>47</v>
      </c>
      <c r="R118">
        <v>98367.099999999977</v>
      </c>
    </row>
    <row r="119" spans="2:18" x14ac:dyDescent="0.25">
      <c r="B119" t="s">
        <v>4</v>
      </c>
      <c r="C119" t="s">
        <v>57</v>
      </c>
      <c r="D119">
        <v>364</v>
      </c>
      <c r="E119">
        <v>16172.000000000005</v>
      </c>
      <c r="H119" s="14" t="s">
        <v>4</v>
      </c>
      <c r="I119" t="s">
        <v>88</v>
      </c>
      <c r="J119">
        <v>307</v>
      </c>
      <c r="P119" s="14" t="s">
        <v>4</v>
      </c>
      <c r="Q119" t="s">
        <v>88</v>
      </c>
      <c r="R119">
        <v>21911.9</v>
      </c>
    </row>
    <row r="120" spans="2:18" x14ac:dyDescent="0.25">
      <c r="B120" t="s">
        <v>4</v>
      </c>
      <c r="C120" t="s">
        <v>59</v>
      </c>
      <c r="D120">
        <v>95</v>
      </c>
      <c r="E120">
        <v>4334.9999999999991</v>
      </c>
      <c r="H120" s="14" t="s">
        <v>4</v>
      </c>
      <c r="I120" t="s">
        <v>186</v>
      </c>
      <c r="J120">
        <v>117</v>
      </c>
      <c r="P120" s="14" t="s">
        <v>4</v>
      </c>
      <c r="Q120" t="s">
        <v>186</v>
      </c>
      <c r="R120">
        <v>5441.2</v>
      </c>
    </row>
    <row r="121" spans="2:18" x14ac:dyDescent="0.25">
      <c r="B121" t="s">
        <v>4</v>
      </c>
      <c r="C121" t="s">
        <v>62</v>
      </c>
      <c r="D121">
        <v>737</v>
      </c>
      <c r="E121">
        <v>37449.000000000007</v>
      </c>
      <c r="H121" s="14" t="s">
        <v>4</v>
      </c>
      <c r="I121" t="s">
        <v>414</v>
      </c>
      <c r="J121">
        <v>13</v>
      </c>
      <c r="P121" s="14" t="s">
        <v>4</v>
      </c>
      <c r="Q121" t="s">
        <v>414</v>
      </c>
      <c r="R121">
        <v>392.8</v>
      </c>
    </row>
    <row r="122" spans="2:18" x14ac:dyDescent="0.25">
      <c r="B122" t="s">
        <v>4</v>
      </c>
      <c r="C122" t="s">
        <v>294</v>
      </c>
      <c r="D122">
        <v>39</v>
      </c>
      <c r="E122">
        <v>2447.5</v>
      </c>
      <c r="H122" s="14" t="s">
        <v>4</v>
      </c>
      <c r="I122" t="s">
        <v>57</v>
      </c>
      <c r="J122">
        <v>364</v>
      </c>
      <c r="P122" s="14" t="s">
        <v>4</v>
      </c>
      <c r="Q122" t="s">
        <v>57</v>
      </c>
      <c r="R122">
        <v>16172.000000000005</v>
      </c>
    </row>
    <row r="123" spans="2:18" x14ac:dyDescent="0.25">
      <c r="B123" t="s">
        <v>4</v>
      </c>
      <c r="C123" t="s">
        <v>1101</v>
      </c>
      <c r="D123">
        <v>56</v>
      </c>
      <c r="E123">
        <v>3391.1</v>
      </c>
      <c r="H123" s="14" t="s">
        <v>4</v>
      </c>
      <c r="I123" t="s">
        <v>59</v>
      </c>
      <c r="J123">
        <v>95</v>
      </c>
      <c r="P123" s="14" t="s">
        <v>4</v>
      </c>
      <c r="Q123" t="s">
        <v>59</v>
      </c>
      <c r="R123">
        <v>4334.9999999999991</v>
      </c>
    </row>
    <row r="124" spans="2:18" x14ac:dyDescent="0.25">
      <c r="B124" t="s">
        <v>4</v>
      </c>
      <c r="C124" t="s">
        <v>685</v>
      </c>
      <c r="D124">
        <v>2</v>
      </c>
      <c r="E124">
        <v>30.8</v>
      </c>
      <c r="H124" s="14" t="s">
        <v>4</v>
      </c>
      <c r="I124" t="s">
        <v>62</v>
      </c>
      <c r="J124">
        <v>737</v>
      </c>
      <c r="P124" s="14" t="s">
        <v>4</v>
      </c>
      <c r="Q124" t="s">
        <v>62</v>
      </c>
      <c r="R124">
        <v>37449.000000000007</v>
      </c>
    </row>
    <row r="125" spans="2:18" x14ac:dyDescent="0.25">
      <c r="B125" t="s">
        <v>4</v>
      </c>
      <c r="C125" t="s">
        <v>253</v>
      </c>
      <c r="D125">
        <v>8</v>
      </c>
      <c r="E125">
        <v>332.3</v>
      </c>
      <c r="H125" s="14" t="s">
        <v>4</v>
      </c>
      <c r="I125" t="s">
        <v>294</v>
      </c>
      <c r="J125">
        <v>39</v>
      </c>
      <c r="P125" s="14" t="s">
        <v>4</v>
      </c>
      <c r="Q125" t="s">
        <v>294</v>
      </c>
      <c r="R125">
        <v>2447.5</v>
      </c>
    </row>
    <row r="126" spans="2:18" x14ac:dyDescent="0.25">
      <c r="B126" t="s">
        <v>4</v>
      </c>
      <c r="C126" t="s">
        <v>362</v>
      </c>
      <c r="D126">
        <v>52</v>
      </c>
      <c r="E126">
        <v>3175.9999999999995</v>
      </c>
      <c r="H126" s="14" t="s">
        <v>4</v>
      </c>
      <c r="I126" t="s">
        <v>1101</v>
      </c>
      <c r="J126">
        <v>56</v>
      </c>
      <c r="P126" s="14" t="s">
        <v>4</v>
      </c>
      <c r="Q126" t="s">
        <v>1101</v>
      </c>
      <c r="R126">
        <v>3391.1</v>
      </c>
    </row>
    <row r="127" spans="2:18" x14ac:dyDescent="0.25">
      <c r="B127" t="s">
        <v>4</v>
      </c>
      <c r="C127" t="s">
        <v>93</v>
      </c>
      <c r="D127">
        <v>295</v>
      </c>
      <c r="E127">
        <v>20939.600000000002</v>
      </c>
      <c r="H127" s="14" t="s">
        <v>4</v>
      </c>
      <c r="I127" t="s">
        <v>685</v>
      </c>
      <c r="J127">
        <v>2</v>
      </c>
      <c r="P127" s="14" t="s">
        <v>4</v>
      </c>
      <c r="Q127" t="s">
        <v>685</v>
      </c>
      <c r="R127">
        <v>30.8</v>
      </c>
    </row>
    <row r="128" spans="2:18" x14ac:dyDescent="0.25">
      <c r="B128" t="s">
        <v>4</v>
      </c>
      <c r="C128" t="s">
        <v>95</v>
      </c>
      <c r="D128">
        <v>195</v>
      </c>
      <c r="E128">
        <v>10185.899999999996</v>
      </c>
      <c r="H128" s="14" t="s">
        <v>4</v>
      </c>
      <c r="I128" t="s">
        <v>253</v>
      </c>
      <c r="J128">
        <v>8</v>
      </c>
      <c r="P128" s="14" t="s">
        <v>4</v>
      </c>
      <c r="Q128" t="s">
        <v>253</v>
      </c>
      <c r="R128">
        <v>332.3</v>
      </c>
    </row>
    <row r="129" spans="2:18" x14ac:dyDescent="0.25">
      <c r="B129" t="s">
        <v>4</v>
      </c>
      <c r="C129" t="s">
        <v>277</v>
      </c>
      <c r="D129">
        <v>20</v>
      </c>
      <c r="E129">
        <v>958.7</v>
      </c>
      <c r="H129" s="14" t="s">
        <v>4</v>
      </c>
      <c r="I129" t="s">
        <v>362</v>
      </c>
      <c r="J129">
        <v>52</v>
      </c>
      <c r="P129" s="14" t="s">
        <v>4</v>
      </c>
      <c r="Q129" t="s">
        <v>362</v>
      </c>
      <c r="R129">
        <v>3175.9999999999995</v>
      </c>
    </row>
    <row r="130" spans="2:18" x14ac:dyDescent="0.25">
      <c r="B130" t="s">
        <v>4</v>
      </c>
      <c r="C130" t="s">
        <v>64</v>
      </c>
      <c r="D130">
        <v>6</v>
      </c>
      <c r="E130">
        <v>323</v>
      </c>
      <c r="H130" s="14" t="s">
        <v>4</v>
      </c>
      <c r="I130" t="s">
        <v>93</v>
      </c>
      <c r="J130">
        <v>295</v>
      </c>
      <c r="P130" s="14" t="s">
        <v>4</v>
      </c>
      <c r="Q130" t="s">
        <v>93</v>
      </c>
      <c r="R130">
        <v>20939.600000000002</v>
      </c>
    </row>
    <row r="131" spans="2:18" x14ac:dyDescent="0.25">
      <c r="B131" t="s">
        <v>4</v>
      </c>
      <c r="C131" t="s">
        <v>593</v>
      </c>
      <c r="D131">
        <v>5</v>
      </c>
      <c r="E131">
        <v>167.70000000000002</v>
      </c>
      <c r="H131" s="14" t="s">
        <v>4</v>
      </c>
      <c r="I131" t="s">
        <v>95</v>
      </c>
      <c r="J131">
        <v>195</v>
      </c>
      <c r="P131" s="14" t="s">
        <v>4</v>
      </c>
      <c r="Q131" t="s">
        <v>95</v>
      </c>
      <c r="R131">
        <v>10185.899999999996</v>
      </c>
    </row>
    <row r="132" spans="2:18" x14ac:dyDescent="0.25">
      <c r="B132" t="s">
        <v>4</v>
      </c>
      <c r="C132" t="s">
        <v>98</v>
      </c>
      <c r="D132">
        <v>94</v>
      </c>
      <c r="E132">
        <v>3978.5</v>
      </c>
      <c r="H132" s="14" t="s">
        <v>4</v>
      </c>
      <c r="I132" t="s">
        <v>277</v>
      </c>
      <c r="J132">
        <v>20</v>
      </c>
      <c r="P132" s="14" t="s">
        <v>4</v>
      </c>
      <c r="Q132" t="s">
        <v>277</v>
      </c>
      <c r="R132">
        <v>958.7</v>
      </c>
    </row>
    <row r="133" spans="2:18" x14ac:dyDescent="0.25">
      <c r="B133" t="s">
        <v>4</v>
      </c>
      <c r="C133" t="s">
        <v>982</v>
      </c>
      <c r="D133">
        <v>28</v>
      </c>
      <c r="E133">
        <v>1405</v>
      </c>
      <c r="H133" s="14" t="s">
        <v>4</v>
      </c>
      <c r="I133" t="s">
        <v>64</v>
      </c>
      <c r="J133">
        <v>6</v>
      </c>
      <c r="P133" s="14" t="s">
        <v>4</v>
      </c>
      <c r="Q133" t="s">
        <v>64</v>
      </c>
      <c r="R133">
        <v>323</v>
      </c>
    </row>
    <row r="134" spans="2:18" x14ac:dyDescent="0.25">
      <c r="B134" t="s">
        <v>4</v>
      </c>
      <c r="C134" t="s">
        <v>67</v>
      </c>
      <c r="D134">
        <v>179</v>
      </c>
      <c r="E134">
        <v>9869.0999999999985</v>
      </c>
      <c r="H134" s="14" t="s">
        <v>4</v>
      </c>
      <c r="I134" t="s">
        <v>593</v>
      </c>
      <c r="J134">
        <v>5</v>
      </c>
      <c r="P134" s="14" t="s">
        <v>4</v>
      </c>
      <c r="Q134" t="s">
        <v>593</v>
      </c>
      <c r="R134">
        <v>167.70000000000002</v>
      </c>
    </row>
    <row r="135" spans="2:18" x14ac:dyDescent="0.25">
      <c r="B135" t="s">
        <v>4</v>
      </c>
      <c r="C135" t="s">
        <v>228</v>
      </c>
      <c r="D135">
        <v>15</v>
      </c>
      <c r="E135">
        <v>615.29999999999995</v>
      </c>
      <c r="H135" s="14" t="s">
        <v>4</v>
      </c>
      <c r="I135" t="s">
        <v>98</v>
      </c>
      <c r="J135">
        <v>94</v>
      </c>
      <c r="P135" s="14" t="s">
        <v>4</v>
      </c>
      <c r="Q135" t="s">
        <v>98</v>
      </c>
      <c r="R135">
        <v>3978.5</v>
      </c>
    </row>
    <row r="136" spans="2:18" x14ac:dyDescent="0.25">
      <c r="B136" t="s">
        <v>4</v>
      </c>
      <c r="C136" t="s">
        <v>1896</v>
      </c>
      <c r="D136">
        <v>3</v>
      </c>
      <c r="E136">
        <v>285</v>
      </c>
      <c r="H136" s="14" t="s">
        <v>4</v>
      </c>
      <c r="I136" t="s">
        <v>982</v>
      </c>
      <c r="J136">
        <v>28</v>
      </c>
      <c r="P136" s="14" t="s">
        <v>4</v>
      </c>
      <c r="Q136" t="s">
        <v>982</v>
      </c>
      <c r="R136">
        <v>1405</v>
      </c>
    </row>
    <row r="137" spans="2:18" x14ac:dyDescent="0.25">
      <c r="B137" t="s">
        <v>2520</v>
      </c>
      <c r="D137">
        <v>11997</v>
      </c>
      <c r="E137">
        <v>649019.79999999981</v>
      </c>
      <c r="H137" s="14" t="s">
        <v>4</v>
      </c>
      <c r="I137" t="s">
        <v>67</v>
      </c>
      <c r="J137">
        <v>179</v>
      </c>
      <c r="P137" s="14" t="s">
        <v>4</v>
      </c>
      <c r="Q137" t="s">
        <v>67</v>
      </c>
      <c r="R137">
        <v>9869.0999999999985</v>
      </c>
    </row>
    <row r="138" spans="2:18" x14ac:dyDescent="0.25">
      <c r="B138" t="s">
        <v>2513</v>
      </c>
      <c r="D138">
        <v>11997</v>
      </c>
      <c r="E138">
        <v>649019.79999999981</v>
      </c>
      <c r="H138" s="14" t="s">
        <v>4</v>
      </c>
      <c r="I138" t="s">
        <v>228</v>
      </c>
      <c r="J138">
        <v>15</v>
      </c>
      <c r="P138" s="14" t="s">
        <v>4</v>
      </c>
      <c r="Q138" t="s">
        <v>228</v>
      </c>
      <c r="R138">
        <v>615.29999999999995</v>
      </c>
    </row>
    <row r="139" spans="2:18" x14ac:dyDescent="0.25">
      <c r="H139" s="15" t="s">
        <v>4</v>
      </c>
      <c r="I139" t="s">
        <v>1896</v>
      </c>
      <c r="J139">
        <v>3</v>
      </c>
      <c r="P139" s="15" t="s">
        <v>4</v>
      </c>
      <c r="Q139" t="s">
        <v>1896</v>
      </c>
      <c r="R139">
        <v>285</v>
      </c>
    </row>
    <row r="172" spans="11:12" x14ac:dyDescent="0.25">
      <c r="K172" s="8" t="s">
        <v>2512</v>
      </c>
      <c r="L172" t="s">
        <v>2503</v>
      </c>
    </row>
    <row r="173" spans="11:12" x14ac:dyDescent="0.25">
      <c r="K173" s="9">
        <v>1</v>
      </c>
      <c r="L173">
        <v>397</v>
      </c>
    </row>
    <row r="174" spans="11:12" x14ac:dyDescent="0.25">
      <c r="K174" s="13">
        <v>1</v>
      </c>
      <c r="L174">
        <v>397</v>
      </c>
    </row>
    <row r="175" spans="11:12" x14ac:dyDescent="0.25">
      <c r="K175" s="9">
        <v>2</v>
      </c>
      <c r="L175">
        <v>540</v>
      </c>
    </row>
    <row r="176" spans="11:12" x14ac:dyDescent="0.25">
      <c r="K176" s="13">
        <v>2</v>
      </c>
      <c r="L176">
        <v>540</v>
      </c>
    </row>
    <row r="177" spans="11:12" x14ac:dyDescent="0.25">
      <c r="K177" s="9">
        <v>3</v>
      </c>
      <c r="L177">
        <v>375</v>
      </c>
    </row>
    <row r="178" spans="11:12" x14ac:dyDescent="0.25">
      <c r="K178" s="13">
        <v>3</v>
      </c>
      <c r="L178">
        <v>375</v>
      </c>
    </row>
    <row r="179" spans="11:12" x14ac:dyDescent="0.25">
      <c r="K179" s="9">
        <v>4</v>
      </c>
      <c r="L179">
        <v>246</v>
      </c>
    </row>
    <row r="180" spans="11:12" x14ac:dyDescent="0.25">
      <c r="K180" s="13">
        <v>4</v>
      </c>
      <c r="L180">
        <v>246</v>
      </c>
    </row>
    <row r="181" spans="11:12" x14ac:dyDescent="0.25">
      <c r="K181" s="9">
        <v>5</v>
      </c>
      <c r="L181">
        <v>195</v>
      </c>
    </row>
    <row r="182" spans="11:12" x14ac:dyDescent="0.25">
      <c r="K182" s="13">
        <v>5</v>
      </c>
      <c r="L182">
        <v>195</v>
      </c>
    </row>
    <row r="183" spans="11:12" x14ac:dyDescent="0.25">
      <c r="K183" s="9" t="s">
        <v>2528</v>
      </c>
      <c r="L183">
        <v>414</v>
      </c>
    </row>
    <row r="184" spans="11:12" x14ac:dyDescent="0.25">
      <c r="K184" s="13">
        <v>6</v>
      </c>
      <c r="L184">
        <v>122</v>
      </c>
    </row>
    <row r="185" spans="11:12" x14ac:dyDescent="0.25">
      <c r="K185" s="13">
        <v>7</v>
      </c>
      <c r="L185">
        <v>114</v>
      </c>
    </row>
    <row r="186" spans="11:12" x14ac:dyDescent="0.25">
      <c r="K186" s="13">
        <v>8</v>
      </c>
      <c r="L186">
        <v>73</v>
      </c>
    </row>
    <row r="187" spans="11:12" x14ac:dyDescent="0.25">
      <c r="K187" s="13">
        <v>9</v>
      </c>
      <c r="L187">
        <v>52</v>
      </c>
    </row>
    <row r="188" spans="11:12" x14ac:dyDescent="0.25">
      <c r="K188" s="13">
        <v>10</v>
      </c>
      <c r="L188">
        <v>53</v>
      </c>
    </row>
    <row r="189" spans="11:12" x14ac:dyDescent="0.25">
      <c r="K189" s="9" t="s">
        <v>2529</v>
      </c>
      <c r="L189">
        <v>233</v>
      </c>
    </row>
    <row r="190" spans="11:12" x14ac:dyDescent="0.25">
      <c r="K190" s="13">
        <v>11</v>
      </c>
      <c r="L190">
        <v>37</v>
      </c>
    </row>
    <row r="191" spans="11:12" x14ac:dyDescent="0.25">
      <c r="K191" s="13">
        <v>12</v>
      </c>
      <c r="L191">
        <v>33</v>
      </c>
    </row>
    <row r="192" spans="11:12" x14ac:dyDescent="0.25">
      <c r="K192" s="13">
        <v>13</v>
      </c>
      <c r="L192">
        <v>23</v>
      </c>
    </row>
    <row r="193" spans="11:12" x14ac:dyDescent="0.25">
      <c r="K193" s="13">
        <v>14</v>
      </c>
      <c r="L193">
        <v>17</v>
      </c>
    </row>
    <row r="194" spans="11:12" x14ac:dyDescent="0.25">
      <c r="K194" s="13">
        <v>15</v>
      </c>
      <c r="L194">
        <v>15</v>
      </c>
    </row>
    <row r="195" spans="11:12" x14ac:dyDescent="0.25">
      <c r="K195" s="13">
        <v>16</v>
      </c>
      <c r="L195">
        <v>13</v>
      </c>
    </row>
    <row r="196" spans="11:12" x14ac:dyDescent="0.25">
      <c r="K196" s="13">
        <v>17</v>
      </c>
      <c r="L196">
        <v>10</v>
      </c>
    </row>
    <row r="197" spans="11:12" x14ac:dyDescent="0.25">
      <c r="K197" s="13">
        <v>18</v>
      </c>
      <c r="L197">
        <v>10</v>
      </c>
    </row>
    <row r="198" spans="11:12" x14ac:dyDescent="0.25">
      <c r="K198" s="13">
        <v>19</v>
      </c>
      <c r="L198">
        <v>13</v>
      </c>
    </row>
    <row r="199" spans="11:12" x14ac:dyDescent="0.25">
      <c r="K199" s="13">
        <v>20</v>
      </c>
      <c r="L199">
        <v>4</v>
      </c>
    </row>
    <row r="200" spans="11:12" x14ac:dyDescent="0.25">
      <c r="K200" s="13">
        <v>21</v>
      </c>
      <c r="L200">
        <v>4</v>
      </c>
    </row>
    <row r="201" spans="11:12" x14ac:dyDescent="0.25">
      <c r="K201" s="13">
        <v>22</v>
      </c>
      <c r="L201">
        <v>4</v>
      </c>
    </row>
    <row r="202" spans="11:12" x14ac:dyDescent="0.25">
      <c r="K202" s="13">
        <v>23</v>
      </c>
      <c r="L202">
        <v>4</v>
      </c>
    </row>
    <row r="203" spans="11:12" x14ac:dyDescent="0.25">
      <c r="K203" s="13">
        <v>24</v>
      </c>
      <c r="L203">
        <v>3</v>
      </c>
    </row>
    <row r="204" spans="11:12" x14ac:dyDescent="0.25">
      <c r="K204" s="13">
        <v>25</v>
      </c>
      <c r="L204">
        <v>3</v>
      </c>
    </row>
    <row r="205" spans="11:12" x14ac:dyDescent="0.25">
      <c r="K205" s="13">
        <v>26</v>
      </c>
      <c r="L205">
        <v>4</v>
      </c>
    </row>
    <row r="206" spans="11:12" x14ac:dyDescent="0.25">
      <c r="K206" s="13">
        <v>27</v>
      </c>
      <c r="L206">
        <v>4</v>
      </c>
    </row>
    <row r="207" spans="11:12" x14ac:dyDescent="0.25">
      <c r="K207" s="13">
        <v>28</v>
      </c>
      <c r="L207">
        <v>5</v>
      </c>
    </row>
    <row r="208" spans="11:12" x14ac:dyDescent="0.25">
      <c r="K208" s="13">
        <v>29</v>
      </c>
      <c r="L208">
        <v>2</v>
      </c>
    </row>
    <row r="209" spans="11:12" x14ac:dyDescent="0.25">
      <c r="K209" s="13">
        <v>30</v>
      </c>
      <c r="L209">
        <v>4</v>
      </c>
    </row>
    <row r="210" spans="11:12" x14ac:dyDescent="0.25">
      <c r="K210" s="13">
        <v>31</v>
      </c>
      <c r="L210">
        <v>1</v>
      </c>
    </row>
    <row r="211" spans="11:12" x14ac:dyDescent="0.25">
      <c r="K211" s="13">
        <v>32</v>
      </c>
      <c r="L211">
        <v>1</v>
      </c>
    </row>
    <row r="212" spans="11:12" x14ac:dyDescent="0.25">
      <c r="K212" s="13">
        <v>33</v>
      </c>
      <c r="L212">
        <v>1</v>
      </c>
    </row>
    <row r="213" spans="11:12" x14ac:dyDescent="0.25">
      <c r="K213" s="13">
        <v>34</v>
      </c>
      <c r="L213">
        <v>2</v>
      </c>
    </row>
    <row r="214" spans="11:12" x14ac:dyDescent="0.25">
      <c r="K214" s="13">
        <v>35</v>
      </c>
      <c r="L214">
        <v>2</v>
      </c>
    </row>
    <row r="215" spans="11:12" x14ac:dyDescent="0.25">
      <c r="K215" s="13">
        <v>36</v>
      </c>
      <c r="L215">
        <v>2</v>
      </c>
    </row>
    <row r="216" spans="11:12" x14ac:dyDescent="0.25">
      <c r="K216" s="13">
        <v>38</v>
      </c>
      <c r="L216">
        <v>1</v>
      </c>
    </row>
    <row r="217" spans="11:12" x14ac:dyDescent="0.25">
      <c r="K217" s="13">
        <v>40</v>
      </c>
      <c r="L217">
        <v>1</v>
      </c>
    </row>
    <row r="218" spans="11:12" x14ac:dyDescent="0.25">
      <c r="K218" s="13">
        <v>41</v>
      </c>
      <c r="L218">
        <v>1</v>
      </c>
    </row>
    <row r="219" spans="11:12" x14ac:dyDescent="0.25">
      <c r="K219" s="13">
        <v>42</v>
      </c>
      <c r="L219">
        <v>1</v>
      </c>
    </row>
    <row r="220" spans="11:12" x14ac:dyDescent="0.25">
      <c r="K220" s="13">
        <v>43</v>
      </c>
      <c r="L220">
        <v>1</v>
      </c>
    </row>
    <row r="221" spans="11:12" x14ac:dyDescent="0.25">
      <c r="K221" s="13">
        <v>45</v>
      </c>
      <c r="L221">
        <v>1</v>
      </c>
    </row>
    <row r="222" spans="11:12" x14ac:dyDescent="0.25">
      <c r="K222" s="13">
        <v>47</v>
      </c>
      <c r="L222">
        <v>1</v>
      </c>
    </row>
    <row r="223" spans="11:12" x14ac:dyDescent="0.25">
      <c r="K223" s="13">
        <v>49</v>
      </c>
      <c r="L223">
        <v>1</v>
      </c>
    </row>
    <row r="224" spans="11:12" x14ac:dyDescent="0.25">
      <c r="K224" s="13">
        <v>62</v>
      </c>
      <c r="L224">
        <v>1</v>
      </c>
    </row>
    <row r="225" spans="11:12" x14ac:dyDescent="0.25">
      <c r="K225" s="13">
        <v>63</v>
      </c>
      <c r="L225">
        <v>1</v>
      </c>
    </row>
    <row r="226" spans="11:12" x14ac:dyDescent="0.25">
      <c r="K226" s="13">
        <v>70</v>
      </c>
      <c r="L226">
        <v>1</v>
      </c>
    </row>
    <row r="227" spans="11:12" x14ac:dyDescent="0.25">
      <c r="K227" s="13">
        <v>87</v>
      </c>
      <c r="L227">
        <v>1</v>
      </c>
    </row>
    <row r="228" spans="11:12" x14ac:dyDescent="0.25">
      <c r="K228" s="9" t="s">
        <v>2513</v>
      </c>
      <c r="L228">
        <v>2400</v>
      </c>
    </row>
  </sheetData>
  <conditionalFormatting sqref="K31:N36">
    <cfRule type="colorScale" priority="2">
      <colorScale>
        <cfvo type="min"/>
        <cfvo type="max"/>
        <color rgb="FFFFEF9C"/>
        <color rgb="FF63BE7B"/>
      </colorScale>
    </cfRule>
  </conditionalFormatting>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01B9-7F87-466C-AE5A-5995B5F0538F}">
  <dimension ref="Y17"/>
  <sheetViews>
    <sheetView tabSelected="1" topLeftCell="A2" zoomScale="89" zoomScaleNormal="89" workbookViewId="0">
      <selection activeCell="AC22" sqref="AC22"/>
    </sheetView>
  </sheetViews>
  <sheetFormatPr defaultRowHeight="15" x14ac:dyDescent="0.25"/>
  <cols>
    <col min="25" max="25" width="6.28515625" customWidth="1"/>
  </cols>
  <sheetData>
    <row r="17" spans="25:25" ht="18.75" x14ac:dyDescent="0.45">
      <c r="Y17"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Ques&amp;KPIs</vt:lpstr>
      <vt:lpstr>data</vt:lpstr>
      <vt:lpstr>pivotes4</vt:lpstr>
      <vt:lpstr>pivotes2</vt:lpstr>
      <vt:lpstr>Pivotes3</vt:lpstr>
      <vt:lpstr>Pivotes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 G</dc:creator>
  <cp:lastModifiedBy>Raji G</cp:lastModifiedBy>
  <dcterms:created xsi:type="dcterms:W3CDTF">2026-01-13T05:44:34Z</dcterms:created>
  <dcterms:modified xsi:type="dcterms:W3CDTF">2026-01-13T16:14:03Z</dcterms:modified>
</cp:coreProperties>
</file>